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drawings/drawing3.xml" ContentType="application/vnd.openxmlformats-officedocument.drawing+xml"/>
  <Override PartName="/xl/worksheets/sheet12.xml" ContentType="application/vnd.openxmlformats-officedocument.spreadsheetml.worksheet+xml"/>
  <Override PartName="/xl/tables/table3.xml" ContentType="application/vnd.openxmlformats-officedocument.spreadsheetml.table+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drawings/drawing5.xml" ContentType="application/vnd.openxmlformats-officedocument.drawing+xml"/>
  <Override PartName="/xl/worksheets/sheet15.xml" ContentType="application/vnd.openxmlformats-officedocument.spreadsheetml.worksheet+xml"/>
  <Override PartName="/xl/drawings/drawing6.xml" ContentType="application/vnd.openxmlformats-officedocument.drawing+xml"/>
  <Override PartName="/xl/worksheets/sheet16.xml" ContentType="application/vnd.openxmlformats-officedocument.spreadsheetml.worksheet+xml"/>
  <Override PartName="/xl/drawings/drawing7.xml" ContentType="application/vnd.openxmlformats-officedocument.drawing+xml"/>
  <Override PartName="/xl/worksheets/sheet17.xml" ContentType="application/vnd.openxmlformats-officedocument.spreadsheetml.worksheet+xml"/>
  <Override PartName="/xl/drawings/drawing8.xml" ContentType="application/vnd.openxmlformats-officedocument.drawing+xml"/>
  <Override PartName="/xl/worksheets/sheet18.xml" ContentType="application/vnd.openxmlformats-officedocument.spreadsheetml.worksheet+xml"/>
  <Override PartName="/xl/drawings/drawing9.xml" ContentType="application/vnd.openxmlformats-officedocument.drawing+xml"/>
  <Override PartName="/xl/worksheets/sheet19.xml" ContentType="application/vnd.openxmlformats-officedocument.spreadsheetml.worksheet+xml"/>
  <Override PartName="/xl/drawings/drawing10.xml" ContentType="application/vnd.openxmlformats-officedocument.drawing+xml"/>
  <Override PartName="/xl/worksheets/sheet20.xml" ContentType="application/vnd.openxmlformats-officedocument.spreadsheetml.worksheet+xml"/>
  <Override PartName="/xl/drawings/drawing11.xml" ContentType="application/vnd.openxmlformats-officedocument.drawing+xml"/>
  <Override PartName="/xl/worksheets/sheet21.xml" ContentType="application/vnd.openxmlformats-officedocument.spreadsheetml.worksheet+xml"/>
  <Override PartName="/xl/drawings/drawing12.xml" ContentType="application/vnd.openxmlformats-officedocument.drawing+xml"/>
  <Override PartName="/xl/worksheets/sheet22.xml" ContentType="application/vnd.openxmlformats-officedocument.spreadsheetml.worksheet+xml"/>
  <Override PartName="/xl/drawings/drawing13.xml" ContentType="application/vnd.openxmlformats-officedocument.drawing+xml"/>
  <Override PartName="/xl/worksheets/sheet23.xml" ContentType="application/vnd.openxmlformats-officedocument.spreadsheetml.worksheet+xml"/>
  <Override PartName="/xl/drawings/drawing14.xml" ContentType="application/vnd.openxmlformats-officedocument.drawing+xml"/>
  <Override PartName="/xl/worksheets/sheet24.xml" ContentType="application/vnd.openxmlformats-officedocument.spreadsheetml.worksheet+xml"/>
  <Override PartName="/xl/drawings/drawing15.xml" ContentType="application/vnd.openxmlformats-officedocument.drawing+xml"/>
  <Override PartName="/xl/worksheets/sheet25.xml" ContentType="application/vnd.openxmlformats-officedocument.spreadsheetml.worksheet+xml"/>
  <Override PartName="/xl/drawings/drawing16.xml" ContentType="application/vnd.openxmlformats-officedocument.drawing+xml"/>
  <Override PartName="/xl/worksheets/sheet26.xml" ContentType="application/vnd.openxmlformats-officedocument.spreadsheetml.worksheet+xml"/>
  <Override PartName="/xl/drawings/drawing17.xml" ContentType="application/vnd.openxmlformats-officedocument.drawing+xml"/>
  <Override PartName="/xl/tables/table4.xml" ContentType="application/vnd.openxmlformats-officedocument.spreadsheetml.table+xml"/>
  <Override PartName="/xl/worksheets/sheet27.xml" ContentType="application/vnd.openxmlformats-officedocument.spreadsheetml.worksheet+xml"/>
  <Override PartName="/xl/drawings/drawing18.xml" ContentType="application/vnd.openxmlformats-officedocument.drawing+xml"/>
  <Override PartName="/xl/worksheets/sheet28.xml" ContentType="application/vnd.openxmlformats-officedocument.spreadsheetml.worksheet+xml"/>
  <Override PartName="/xl/drawings/drawing19.xml" ContentType="application/vnd.openxmlformats-officedocument.drawing+xml"/>
  <Override PartName="/xl/tables/table5.xml" ContentType="application/vnd.openxmlformats-officedocument.spreadsheetml.table+xml"/>
  <Override PartName="/xl/worksheets/sheet29.xml" ContentType="application/vnd.openxmlformats-officedocument.spreadsheetml.worksheet+xml"/>
  <Override PartName="/xl/drawings/drawing20.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3896" tabRatio="897" firstSheet="0" activeTab="0" autoFilterDateGrouping="1"/>
  </bookViews>
  <sheets>
    <sheet name="Cover" sheetId="1" state="visible" r:id="rId1"/>
    <sheet name="Index" sheetId="2" state="visible" r:id="rId2"/>
    <sheet name="Database Import" sheetId="3" state="visible" r:id="rId3"/>
    <sheet name="Forecast Horizon" sheetId="4" state="visible" r:id="rId4"/>
    <sheet name="Control Panel" sheetId="5" state="visible" r:id="rId5"/>
    <sheet name="Model Assumptions" sheetId="6" state="visible" r:id="rId6"/>
    <sheet name="Model Calibration" sheetId="7" state="visible" r:id="rId7"/>
    <sheet name="Macroeconomic Model" sheetId="8" state="visible" r:id="rId8"/>
    <sheet name="Steel Demand Model" sheetId="9" state="visible" r:id="rId9"/>
    <sheet name="Steel Supply Model" sheetId="10" state="visible" r:id="rId10"/>
    <sheet name="Capacity Forecast" sheetId="11" state="visible" r:id="rId11"/>
    <sheet name="Capacity Expansion Tracker" sheetId="12" state="visible" r:id="rId12"/>
    <sheet name="Capacity Utilisation" sheetId="13" state="visible" r:id="rId13"/>
    <sheet name="Steel Price Forecast" sheetId="14" state="visible" r:id="rId14"/>
    <sheet name="Raw Material Forecast" sheetId="15" state="visible" r:id="rId15"/>
    <sheet name="Cost Curve" sheetId="16" state="visible" r:id="rId16"/>
    <sheet name="Revenue Forecast" sheetId="17" state="visible" r:id="rId17"/>
    <sheet name="EBITDA Model" sheetId="18" state="visible" r:id="rId18"/>
    <sheet name="Margin Analysis" sheetId="19" state="visible" r:id="rId19"/>
    <sheet name="Working Capital Model" sheetId="20" state="visible" r:id="rId20"/>
    <sheet name="Cash Flow Model" sheetId="21" state="visible" r:id="rId21"/>
    <sheet name="Capital Allocation" sheetId="22" state="visible" r:id="rId22"/>
    <sheet name="Industry Cycle Model" sheetId="23" state="visible" r:id="rId23"/>
    <sheet name="Trade Model" sheetId="24" state="visible" r:id="rId24"/>
    <sheet name="ESG Model" sheetId="25" state="visible" r:id="rId25"/>
    <sheet name="Scenario Manager" sheetId="26" state="visible" r:id="rId26"/>
    <sheet name="Sensitivity Analysis" sheetId="27" state="visible" r:id="rId27"/>
    <sheet name="Comparable Valuation" sheetId="28" state="visible" r:id="rId28"/>
    <sheet name="Industry Dashboard" sheetId="29" state="visible" r:id="rId29"/>
    <sheet name="Audit Checks" sheetId="30" state="visible" r:id="rId30"/>
    <sheet name="Sources" sheetId="31" state="visible" r:id="rId31"/>
  </sheets>
  <definedNames>
    <definedName name="Selected_Scenario">'Scenario Manager'!$I$1</definedName>
    <definedName name="ScenID">'Control Panel'!$E$18</definedName>
  </definedNames>
  <calcPr calcId="191029" fullCalcOnLoad="1" calcCompleted="0"/>
</workbook>
</file>

<file path=xl/styles.xml><?xml version="1.0" encoding="utf-8"?>
<styleSheet xmlns="http://schemas.openxmlformats.org/spreadsheetml/2006/main">
  <numFmts count="20">
    <numFmt numFmtId="164" formatCode="#,##0.00;\(#,##0.00\)"/>
    <numFmt numFmtId="165" formatCode="0.0%;\(0.0%\)"/>
    <numFmt numFmtId="166" formatCode="#,##0.0;\(#,##0.0\)"/>
    <numFmt numFmtId="167" formatCode="#,##0;\(#,##0\)"/>
    <numFmt numFmtId="168" formatCode="#,##0.00&quot;x&quot;"/>
    <numFmt numFmtId="169" formatCode="#,##0.000;\(#,##0.000\)"/>
    <numFmt numFmtId="170" formatCode="0.0%"/>
    <numFmt numFmtId="171" formatCode="0.0"/>
    <numFmt numFmtId="172" formatCode="0.00&quot;x&quot;"/>
    <numFmt numFmtId="173" formatCode="#,##0.0"/>
    <numFmt numFmtId="174" formatCode="0.0000&quot;x&quot;"/>
    <numFmt numFmtId="175" formatCode="+#,##0.0;-#,##0.0;0.0"/>
    <numFmt numFmtId="176" formatCode="0.000&quot;x&quot;"/>
    <numFmt numFmtId="177" formatCode="#,##0;(#,##0)"/>
    <numFmt numFmtId="178" formatCode="0.0&quot;x&quot;"/>
    <numFmt numFmtId="179" formatCode="0.0000"/>
    <numFmt numFmtId="180" formatCode="0.000"/>
    <numFmt numFmtId="181" formatCode="+0.0&quot; ppt&quot;;-0.0&quot; ppt&quot;;0.0&quot; ppt&quot;"/>
    <numFmt numFmtId="182" formatCode="#,##0.000"/>
    <numFmt numFmtId="183" formatCode="+0%;-0%;&quot;Base&quot;"/>
  </numFmts>
  <fonts count="79">
    <font>
      <name val="Calibri"/>
      <family val="2"/>
      <color theme="1"/>
      <sz val="11"/>
      <scheme val="minor"/>
    </font>
    <font>
      <name val="Calibri"/>
      <family val="2"/>
      <color theme="1"/>
      <sz val="11"/>
      <scheme val="minor"/>
    </font>
    <font>
      <name val="Calibri"/>
      <family val="2"/>
      <color theme="1"/>
      <sz val="10"/>
      <scheme val="minor"/>
    </font>
    <font>
      <name val="Calibri"/>
      <family val="2"/>
      <b val="1"/>
      <color rgb="FF595959"/>
      <sz val="9"/>
    </font>
    <font>
      <name val="Calibri"/>
      <family val="2"/>
      <color rgb="FF595959"/>
      <sz val="9"/>
    </font>
    <font>
      <name val="Calibri"/>
      <family val="2"/>
      <b val="1"/>
      <color rgb="FFFFFFFF"/>
      <sz val="10"/>
    </font>
    <font>
      <name val="Calibri"/>
      <family val="2"/>
      <color rgb="FF000000"/>
      <sz val="10"/>
    </font>
    <font>
      <name val="Calibri"/>
      <family val="2"/>
      <b val="1"/>
      <color rgb="FF000000"/>
      <sz val="10"/>
    </font>
    <font>
      <name val="Calibri"/>
      <family val="2"/>
      <color rgb="FF595959"/>
      <sz val="8"/>
    </font>
    <font>
      <name val="Calibri"/>
      <family val="2"/>
      <b val="1"/>
      <color rgb="FF1F3864"/>
      <sz val="10"/>
    </font>
    <font>
      <name val="Calibri"/>
      <family val="2"/>
      <color rgb="FF000000"/>
      <sz val="9"/>
    </font>
    <font>
      <name val="Calibri"/>
      <family val="2"/>
      <sz val="9"/>
    </font>
    <font>
      <name val="Calibri"/>
      <family val="2"/>
      <i val="1"/>
      <color rgb="FF595959"/>
      <sz val="8"/>
    </font>
    <font>
      <name val="Calibri"/>
      <family val="2"/>
      <i val="1"/>
      <color rgb="FF595959"/>
      <sz val="9"/>
    </font>
    <font>
      <name val="Calibri"/>
      <family val="2"/>
      <b val="1"/>
      <color rgb="FF000000"/>
      <sz val="9"/>
    </font>
    <font>
      <name val="Calibri"/>
      <family val="2"/>
      <b val="1"/>
      <color rgb="FF1F3864"/>
      <sz val="9"/>
    </font>
    <font>
      <name val="Calibri"/>
      <family val="2"/>
      <sz val="10"/>
      <scheme val="minor"/>
    </font>
    <font>
      <name val="Calibri"/>
      <family val="2"/>
      <b val="1"/>
      <sz val="10"/>
    </font>
    <font>
      <name val="Calibri"/>
      <family val="2"/>
      <sz val="10"/>
    </font>
    <font>
      <name val="Calibri"/>
      <family val="2"/>
      <i val="1"/>
      <sz val="9"/>
    </font>
    <font>
      <name val="Calibri"/>
      <family val="2"/>
      <b val="1"/>
      <color rgb="FF002060"/>
      <sz val="11"/>
    </font>
    <font>
      <name val="Calibri"/>
      <family val="2"/>
      <b val="1"/>
      <color rgb="FF002060"/>
      <sz val="10"/>
    </font>
    <font>
      <name val="Calibri"/>
      <family val="2"/>
      <b val="1"/>
      <color rgb="FF002060"/>
      <sz val="12"/>
    </font>
    <font>
      <name val="Calibri"/>
      <family val="2"/>
      <b val="1"/>
      <color theme="0"/>
      <sz val="16"/>
    </font>
    <font>
      <name val="Calibri"/>
      <family val="2"/>
      <color rgb="FF002060"/>
      <sz val="10"/>
    </font>
    <font>
      <name val="Calibri"/>
      <family val="2"/>
      <color theme="0"/>
      <sz val="16"/>
      <scheme val="minor"/>
    </font>
    <font>
      <name val="Calibri"/>
      <family val="2"/>
      <color rgb="FF002060"/>
      <sz val="11"/>
      <scheme val="minor"/>
    </font>
    <font>
      <name val="Calibri"/>
      <family val="2"/>
      <color theme="10"/>
      <sz val="11"/>
      <u val="single"/>
      <scheme val="minor"/>
    </font>
    <font>
      <name val="Calibri"/>
      <family val="2"/>
      <b val="1"/>
      <color theme="1"/>
      <sz val="11"/>
      <scheme val="minor"/>
    </font>
    <font>
      <name val="Calibri"/>
      <family val="2"/>
      <i val="1"/>
      <color theme="1"/>
      <sz val="10"/>
      <scheme val="minor"/>
    </font>
    <font>
      <name val="Calibri"/>
      <family val="2"/>
      <i val="1"/>
      <sz val="10"/>
    </font>
    <font>
      <name val="Calibri"/>
      <family val="2"/>
      <b val="1"/>
      <color rgb="FF002060"/>
      <sz val="11"/>
      <scheme val="minor"/>
    </font>
    <font>
      <name val="Calibri"/>
      <family val="2"/>
      <b val="1"/>
      <i val="1"/>
      <color rgb="FF002060"/>
      <sz val="11"/>
    </font>
    <font>
      <name val="Calibri"/>
      <family val="2"/>
      <b val="1"/>
      <color rgb="FF002060"/>
      <sz val="12"/>
      <scheme val="minor"/>
    </font>
    <font>
      <name val="Calibri"/>
      <family val="2"/>
      <i val="1"/>
      <color theme="0" tint="-0.499984740745262"/>
      <sz val="9"/>
      <scheme val="minor"/>
    </font>
    <font>
      <name val="Calibri"/>
      <family val="2"/>
      <color theme="2" tint="-0.749992370372631"/>
      <sz val="11"/>
      <scheme val="minor"/>
    </font>
    <font>
      <name val="Calibri"/>
      <family val="2"/>
      <b val="1"/>
      <color rgb="FF002060"/>
      <sz val="9"/>
    </font>
    <font>
      <name val="Calibri"/>
      <family val="2"/>
      <color theme="1" tint="0.249977111117893"/>
      <sz val="11"/>
      <scheme val="minor"/>
    </font>
    <font>
      <name val="Calibri"/>
      <family val="2"/>
      <color theme="8"/>
      <sz val="11"/>
      <scheme val="minor"/>
    </font>
    <font>
      <name val="Calibri"/>
      <family val="2"/>
      <color theme="1" tint="0.1499984740745262"/>
      <sz val="11"/>
      <scheme val="minor"/>
    </font>
    <font>
      <name val="Calibri"/>
      <family val="2"/>
      <color theme="6" tint="-0.249977111117893"/>
      <sz val="9"/>
      <scheme val="minor"/>
    </font>
    <font>
      <name val="Calibri"/>
      <family val="2"/>
      <b val="1"/>
      <color theme="6" tint="-0.499984740745262"/>
      <sz val="10"/>
    </font>
    <font>
      <name val="Calibri"/>
      <family val="2"/>
      <b val="1"/>
      <color theme="6" tint="-0.499984740745262"/>
      <sz val="9"/>
    </font>
    <font>
      <name val="Calibri"/>
      <family val="2"/>
      <b val="1"/>
      <color rgb="FFFFFFFF"/>
      <sz val="11"/>
    </font>
    <font>
      <name val="Calibri"/>
      <family val="2"/>
      <b val="1"/>
      <color theme="0"/>
      <sz val="20"/>
    </font>
    <font>
      <name val="Calibri"/>
      <family val="2"/>
      <b val="1"/>
      <i val="1"/>
      <color rgb="FF595959"/>
      <sz val="8"/>
    </font>
    <font>
      <name val="Calibri"/>
      <family val="2"/>
      <b val="1"/>
      <color theme="5" tint="-0.499984740745262"/>
      <sz val="11"/>
    </font>
    <font>
      <name val="Calibri"/>
      <family val="2"/>
      <b val="1"/>
      <color rgb="FF595959"/>
      <sz val="11"/>
    </font>
    <font>
      <name val="Calibri"/>
      <family val="2"/>
      <sz val="8"/>
      <scheme val="minor"/>
    </font>
    <font>
      <name val="Calibri"/>
      <family val="2"/>
      <b val="1"/>
      <color theme="0"/>
      <sz val="14"/>
    </font>
    <font>
      <name val="Calibri"/>
      <family val="2"/>
      <b val="1"/>
      <sz val="11"/>
    </font>
    <font>
      <name val="Calibri"/>
      <family val="2"/>
      <b val="1"/>
      <color rgb="FF002060"/>
      <sz val="14"/>
    </font>
    <font>
      <name val="Calibri"/>
      <color rgb="FF008000"/>
      <sz val="11"/>
    </font>
    <font>
      <name val="Calibri"/>
      <color rgb="FF0000CC"/>
      <sz val="11"/>
    </font>
    <font>
      <name val="Calibri"/>
      <b val="1"/>
      <color rgb="FFFFFFFF"/>
      <sz val="12"/>
    </font>
    <font>
      <name val="Calibri"/>
      <i val="1"/>
      <color rgb="FF595959"/>
      <sz val="9"/>
    </font>
    <font>
      <name val="Calibri"/>
      <b val="1"/>
      <color rgb="FFFFFFFF"/>
      <sz val="9"/>
    </font>
    <font>
      <name val="Calibri"/>
      <b val="1"/>
      <color rgb="FF1F3864"/>
      <sz val="10"/>
    </font>
    <font>
      <name val="Calibri"/>
      <color rgb="FF404040"/>
      <sz val="9"/>
    </font>
    <font>
      <name val="Calibri"/>
      <color rgb="FF808080"/>
      <sz val="8"/>
    </font>
    <font>
      <name val="Calibri"/>
      <color rgb="FF008000"/>
      <sz val="9"/>
    </font>
    <font>
      <name val="Calibri"/>
      <color rgb="FF000000"/>
      <sz val="9"/>
    </font>
    <font>
      <name val="Calibri"/>
      <color rgb="FF000000"/>
      <sz val="11"/>
    </font>
    <font>
      <name val="Calibri"/>
      <color rgb="FF0563C1"/>
      <sz val="11"/>
      <u val="single"/>
    </font>
    <font>
      <name val="Calibri"/>
      <color rgb="FF7F4F00"/>
      <sz val="11"/>
    </font>
    <font>
      <name val="Calibri"/>
      <color rgb="FF0000CC"/>
      <sz val="10"/>
    </font>
    <font>
      <name val="Calibri"/>
      <color rgb="FF000000"/>
      <sz val="10"/>
    </font>
    <font>
      <name val="Calibri"/>
      <b val="1"/>
      <color rgb="FF000000"/>
      <sz val="11"/>
    </font>
    <font>
      <name val="Calibri"/>
      <color rgb="FF404040"/>
      <sz val="8"/>
    </font>
    <font>
      <name val="Calibri"/>
      <color rgb="FF008000"/>
      <sz val="10"/>
    </font>
    <font>
      <name val="Calibri"/>
      <color rgb="FF7F4F00"/>
      <sz val="10"/>
    </font>
    <font>
      <name val="Calibri"/>
      <b val="1"/>
      <color rgb="FF0563C1"/>
      <sz val="11"/>
      <u val="single"/>
    </font>
    <font>
      <name val="Calibri"/>
      <b val="1"/>
      <color rgb="FF008000"/>
      <sz val="10"/>
    </font>
    <font>
      <name val="Calibri"/>
      <b val="1"/>
      <color rgb="FF1F3864"/>
      <sz val="8"/>
      <u val="single"/>
    </font>
    <font>
      <name val="Calibri"/>
      <b val="1"/>
      <color rgb="FFFFFFFF"/>
      <sz val="8"/>
    </font>
    <font>
      <name val="Calibri"/>
      <color rgb="FF0563C1"/>
      <sz val="9"/>
      <u val="single"/>
    </font>
    <font>
      <name val="Calibri"/>
      <b val="1"/>
      <color rgb="FFFFFFFF"/>
      <sz val="10"/>
    </font>
    <font>
      <name val="Calibri"/>
      <i val="1"/>
      <color rgb="FF595959"/>
      <sz val="8"/>
    </font>
    <font>
      <name val="Calibri"/>
      <b val="1"/>
      <color rgb="FF1F3864"/>
      <sz val="9"/>
    </font>
  </fonts>
  <fills count="15">
    <fill>
      <patternFill/>
    </fill>
    <fill>
      <patternFill patternType="gray125"/>
    </fill>
    <fill>
      <patternFill patternType="solid">
        <fgColor rgb="FFD9E1F2"/>
      </patternFill>
    </fill>
    <fill>
      <patternFill patternType="solid">
        <fgColor rgb="FF002060"/>
        <bgColor indexed="64"/>
      </patternFill>
    </fill>
    <fill>
      <patternFill patternType="solid">
        <fgColor theme="0" tint="-0.249977111117893"/>
        <bgColor indexed="64"/>
      </patternFill>
    </fill>
    <fill>
      <patternFill patternType="solid">
        <fgColor rgb="FFFF0000"/>
        <bgColor indexed="64"/>
      </patternFill>
    </fill>
    <fill>
      <patternFill patternType="solid">
        <fgColor theme="5" tint="0.5999938962981048"/>
        <bgColor indexed="64"/>
      </patternFill>
    </fill>
    <fill>
      <patternFill patternType="solid">
        <fgColor theme="8" tint="0.3999755851924192"/>
        <bgColor indexed="64"/>
      </patternFill>
    </fill>
    <fill>
      <patternFill patternType="solid">
        <fgColor rgb="FFFFC7CE"/>
      </patternFill>
    </fill>
    <fill>
      <patternFill patternType="solid">
        <fgColor rgb="FF1F3864"/>
      </patternFill>
    </fill>
    <fill>
      <patternFill patternType="solid">
        <fgColor rgb="FF2E5C8A"/>
      </patternFill>
    </fill>
    <fill>
      <patternFill patternType="solid">
        <fgColor rgb="FFDCE6F1"/>
      </patternFill>
    </fill>
    <fill>
      <patternFill patternType="solid">
        <fgColor rgb="FFFFD9A0"/>
      </patternFill>
    </fill>
    <fill>
      <patternFill patternType="solid">
        <fgColor rgb="FFEDF2F8"/>
      </patternFill>
    </fill>
    <fill>
      <patternFill patternType="solid">
        <fgColor rgb="FFFAFAFA"/>
      </patternFill>
    </fill>
  </fills>
  <borders count="165">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style="medium">
        <color theme="0" tint="-0.249977111117893"/>
      </left>
      <right/>
      <top/>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medium">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style="medium">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medium">
        <color theme="0" tint="-0.249977111117893"/>
      </right>
      <top style="thin">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medium">
        <color theme="0" tint="-0.249977111117893"/>
      </left>
      <right style="thin">
        <color theme="0" tint="-0.249977111117893"/>
      </right>
      <top style="medium">
        <color theme="0" tint="-0.249977111117893"/>
      </top>
      <bottom/>
      <diagonal/>
    </border>
    <border>
      <left style="thin">
        <color theme="0" tint="-0.249977111117893"/>
      </left>
      <right style="thin">
        <color theme="0" tint="-0.249977111117893"/>
      </right>
      <top style="medium">
        <color theme="0" tint="-0.249977111117893"/>
      </top>
      <bottom/>
      <diagonal/>
    </border>
    <border>
      <left style="thin">
        <color theme="0" tint="-0.249977111117893"/>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style="thin">
        <color theme="0" tint="-0.249977111117893"/>
      </right>
      <top/>
      <bottom/>
      <diagonal/>
    </border>
    <border>
      <left/>
      <right style="medium">
        <color theme="0" tint="-0.249977111117893"/>
      </right>
      <top/>
      <bottom/>
      <diagonal/>
    </border>
    <border>
      <left style="medium">
        <color theme="0" tint="-0.249977111117893"/>
      </left>
      <right style="thin">
        <color theme="0" tint="-0.249977111117893"/>
      </right>
      <top/>
      <bottom style="medium">
        <color theme="0" tint="-0.249977111117893"/>
      </bottom>
      <diagonal/>
    </border>
    <border>
      <left style="thin">
        <color theme="0" tint="-0.249977111117893"/>
      </left>
      <right style="thin">
        <color theme="0" tint="-0.249977111117893"/>
      </right>
      <top/>
      <bottom style="medium">
        <color theme="0" tint="-0.249977111117893"/>
      </bottom>
      <diagonal/>
    </border>
    <border>
      <left style="thin">
        <color theme="0" tint="-0.249977111117893"/>
      </left>
      <right/>
      <top style="thin">
        <color theme="0" tint="-0.249977111117893"/>
      </top>
      <bottom style="medium">
        <color theme="0" tint="-0.249977111117893"/>
      </bottom>
      <diagonal/>
    </border>
    <border>
      <left style="thin">
        <color theme="0" tint="-0.249977111117893"/>
      </left>
      <right/>
      <top/>
      <bottom style="medium">
        <color theme="0" tint="-0.249977111117893"/>
      </bottom>
      <diagonal/>
    </border>
    <border>
      <left/>
      <right style="medium">
        <color theme="0" tint="-0.249977111117893"/>
      </right>
      <top/>
      <bottom style="medium">
        <color theme="0" tint="-0.249977111117893"/>
      </bottom>
      <diagonal/>
    </border>
    <border>
      <left style="medium">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medium">
        <color theme="0" tint="-0.249977111117893"/>
      </right>
      <top style="thin">
        <color theme="0" tint="-0.249977111117893"/>
      </top>
      <bottom style="thin">
        <color theme="0" tint="-0.249977111117893"/>
      </bottom>
      <diagonal/>
    </border>
    <border>
      <left style="medium">
        <color theme="0" tint="-0.249977111117893"/>
      </left>
      <right/>
      <top style="medium">
        <color theme="0" tint="-0.249977111117893"/>
      </top>
      <bottom style="thin">
        <color theme="0" tint="-0.249977111117893"/>
      </bottom>
      <diagonal/>
    </border>
    <border>
      <left/>
      <right/>
      <top style="medium">
        <color theme="0" tint="-0.249977111117893"/>
      </top>
      <bottom style="thin">
        <color theme="0" tint="-0.249977111117893"/>
      </bottom>
      <diagonal/>
    </border>
    <border>
      <left style="thin">
        <color theme="0" tint="-0.249977111117893"/>
      </left>
      <right style="medium">
        <color theme="0" tint="-0.249977111117893"/>
      </right>
      <top/>
      <bottom style="medium">
        <color theme="0" tint="-0.249977111117893"/>
      </bottom>
      <diagonal/>
    </border>
    <border>
      <left style="medium">
        <color theme="0" tint="-0.249977111117893"/>
      </left>
      <right style="thin">
        <color theme="0" tint="-0.249977111117893"/>
      </right>
      <top style="thin">
        <color theme="0" tint="-0.249977111117893"/>
      </top>
      <bottom style="double">
        <color theme="0" tint="-0.249977111117893"/>
      </bottom>
      <diagonal/>
    </border>
    <border>
      <left style="thin">
        <color theme="0" tint="-0.249977111117893"/>
      </left>
      <right style="thin">
        <color theme="0" tint="-0.249977111117893"/>
      </right>
      <top style="thin">
        <color theme="0" tint="-0.249977111117893"/>
      </top>
      <bottom style="double">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medium">
        <color theme="0" tint="-0.3499862666707358"/>
      </left>
      <right style="thin">
        <color theme="0" tint="-0.3499862666707358"/>
      </right>
      <top style="medium">
        <color theme="0" tint="-0.3499862666707358"/>
      </top>
      <bottom style="thin">
        <color theme="0" tint="-0.3499862666707358"/>
      </bottom>
      <diagonal/>
    </border>
    <border>
      <left style="thin">
        <color theme="0" tint="-0.3499862666707358"/>
      </left>
      <right style="medium">
        <color theme="0" tint="-0.3499862666707358"/>
      </right>
      <top style="medium">
        <color theme="0" tint="-0.3499862666707358"/>
      </top>
      <bottom style="thin">
        <color theme="0" tint="-0.3499862666707358"/>
      </bottom>
      <diagonal/>
    </border>
    <border>
      <left style="medium">
        <color theme="0" tint="-0.3499862666707358"/>
      </left>
      <right style="thin">
        <color theme="0" tint="-0.3499862666707358"/>
      </right>
      <top style="thin">
        <color theme="0" tint="-0.3499862666707358"/>
      </top>
      <bottom style="thin">
        <color theme="0" tint="-0.3499862666707358"/>
      </bottom>
      <diagonal/>
    </border>
    <border>
      <left style="thin">
        <color theme="0" tint="-0.3499862666707358"/>
      </left>
      <right style="medium">
        <color theme="0" tint="-0.3499862666707358"/>
      </right>
      <top style="thin">
        <color theme="0" tint="-0.3499862666707358"/>
      </top>
      <bottom style="thin">
        <color theme="0" tint="-0.3499862666707358"/>
      </bottom>
      <diagonal/>
    </border>
    <border>
      <left style="medium">
        <color theme="0" tint="-0.3499862666707358"/>
      </left>
      <right style="thin">
        <color theme="0" tint="-0.3499862666707358"/>
      </right>
      <top style="thin">
        <color theme="0" tint="-0.3499862666707358"/>
      </top>
      <bottom style="medium">
        <color theme="0" tint="-0.3499862666707358"/>
      </bottom>
      <diagonal/>
    </border>
    <border>
      <left style="thin">
        <color theme="0" tint="-0.3499862666707358"/>
      </left>
      <right style="medium">
        <color theme="0" tint="-0.3499862666707358"/>
      </right>
      <top style="thin">
        <color theme="0" tint="-0.3499862666707358"/>
      </top>
      <bottom style="medium">
        <color theme="0" tint="-0.3499862666707358"/>
      </bottom>
      <diagonal/>
    </border>
    <border>
      <left style="medium">
        <color theme="0" tint="-0.3499862666707358"/>
      </left>
      <right style="thin">
        <color theme="0" tint="-0.3499862666707358"/>
      </right>
      <top/>
      <bottom style="thin">
        <color theme="0" tint="-0.3499862666707358"/>
      </bottom>
      <diagonal/>
    </border>
    <border>
      <left style="thin">
        <color theme="0" tint="-0.3499862666707358"/>
      </left>
      <right style="medium">
        <color theme="0" tint="-0.3499862666707358"/>
      </right>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style="thin">
        <color theme="0" tint="-0.3499862666707358"/>
      </left>
      <right style="thin">
        <color theme="0" tint="-0.3499862666707358"/>
      </right>
      <top/>
      <bottom style="thin">
        <color theme="0" tint="-0.3499862666707358"/>
      </bottom>
      <diagonal/>
    </border>
    <border>
      <left style="medium">
        <color theme="0" tint="-0.3499862666707358"/>
      </left>
      <right/>
      <top style="thin">
        <color theme="0" tint="-0.3499862666707358"/>
      </top>
      <bottom style="thin">
        <color theme="0" tint="-0.3499862666707358"/>
      </bottom>
      <diagonal/>
    </border>
    <border>
      <left style="medium">
        <color theme="0" tint="-0.3499862666707358"/>
      </left>
      <right/>
      <top style="thin">
        <color theme="0" tint="-0.3499862666707358"/>
      </top>
      <bottom style="medium">
        <color theme="0" tint="-0.3499862666707358"/>
      </bottom>
      <diagonal/>
    </border>
    <border>
      <left style="medium">
        <color theme="0" tint="-0.3499862666707358"/>
      </left>
      <right style="medium">
        <color theme="0" tint="-0.3499862666707358"/>
      </right>
      <top style="medium">
        <color theme="0" tint="-0.3499862666707358"/>
      </top>
      <bottom style="thin">
        <color theme="0" tint="-0.3499862666707358"/>
      </bottom>
      <diagonal/>
    </border>
    <border>
      <left style="medium">
        <color theme="0" tint="-0.3499862666707358"/>
      </left>
      <right style="medium">
        <color theme="0" tint="-0.3499862666707358"/>
      </right>
      <top style="thin">
        <color theme="0" tint="-0.3499862666707358"/>
      </top>
      <bottom style="thin">
        <color theme="0" tint="-0.3499862666707358"/>
      </bottom>
      <diagonal/>
    </border>
    <border>
      <left style="medium">
        <color theme="0" tint="-0.3499862666707358"/>
      </left>
      <right style="medium">
        <color theme="0" tint="-0.3499862666707358"/>
      </right>
      <top style="thin">
        <color theme="0" tint="-0.3499862666707358"/>
      </top>
      <bottom style="medium">
        <color theme="0" tint="-0.3499862666707358"/>
      </bottom>
      <diagonal/>
    </border>
    <border>
      <left style="medium">
        <color theme="0" tint="-0.3499862666707358"/>
      </left>
      <right style="medium">
        <color theme="0" tint="-0.3499862666707358"/>
      </right>
      <top/>
      <bottom style="thin">
        <color theme="0" tint="-0.3499862666707358"/>
      </bottom>
      <diagonal/>
    </border>
    <border>
      <left style="medium">
        <color theme="0" tint="-0.3499862666707358"/>
      </left>
      <right/>
      <top/>
      <bottom style="thin">
        <color theme="0" tint="-0.3499862666707358"/>
      </bottom>
      <diagonal/>
    </border>
    <border>
      <left style="medium">
        <color theme="0" tint="-0.3499862666707358"/>
      </left>
      <right style="thin">
        <color theme="0" tint="-0.3499862666707358"/>
      </right>
      <top style="medium">
        <color theme="0" tint="-0.3499862666707358"/>
      </top>
      <bottom style="double">
        <color theme="0" tint="-0.3499862666707358"/>
      </bottom>
      <diagonal/>
    </border>
    <border>
      <left style="thin">
        <color theme="0" tint="-0.3499862666707358"/>
      </left>
      <right style="medium">
        <color theme="0" tint="-0.3499862666707358"/>
      </right>
      <top style="medium">
        <color theme="0" tint="-0.3499862666707358"/>
      </top>
      <bottom style="double">
        <color theme="0" tint="-0.3499862666707358"/>
      </bottom>
      <diagonal/>
    </border>
    <border>
      <left/>
      <right/>
      <top style="thin">
        <color theme="0" tint="-0.3499862666707358"/>
      </top>
      <bottom style="thin">
        <color theme="0" tint="-0.3499862666707358"/>
      </bottom>
      <diagonal/>
    </border>
    <border>
      <left style="thin">
        <color theme="0" tint="-0.3499862666707358"/>
      </left>
      <right style="thin">
        <color theme="0" tint="-0.3499862666707358"/>
      </right>
      <top style="thin">
        <color theme="0" tint="-0.3499862666707358"/>
      </top>
      <bottom style="medium">
        <color theme="0" tint="-0.3499862666707358"/>
      </bottom>
      <diagonal/>
    </border>
    <border>
      <left style="medium">
        <color theme="0" tint="-0.3499862666707358"/>
      </left>
      <right style="medium">
        <color theme="0" tint="-0.3499862666707358"/>
      </right>
      <top/>
      <bottom/>
      <diagonal/>
    </border>
    <border>
      <left style="thin">
        <color theme="0" tint="-0.3499862666707358"/>
      </left>
      <right style="medium">
        <color theme="0" tint="-0.3499862666707358"/>
      </right>
      <top/>
      <bottom style="medium">
        <color theme="0" tint="-0.3499862666707358"/>
      </bottom>
      <diagonal/>
    </border>
    <border>
      <left style="thin">
        <color theme="0" tint="-0.249977111117893"/>
      </left>
      <right style="thin">
        <color theme="0" tint="-0.249977111117893"/>
      </right>
      <top style="thin">
        <color theme="0" tint="-0.249977111117893"/>
      </top>
      <bottom style="double">
        <color theme="0" tint="-0.3499862666707358"/>
      </bottom>
      <diagonal/>
    </border>
    <border>
      <left style="medium">
        <color theme="0" tint="-0.3499862666707358"/>
      </left>
      <right style="thin">
        <color theme="0" tint="-0.249977111117893"/>
      </right>
      <top style="thin">
        <color theme="0" tint="-0.249977111117893"/>
      </top>
      <bottom style="thin">
        <color theme="0" tint="-0.249977111117893"/>
      </bottom>
      <diagonal/>
    </border>
    <border>
      <left style="thin">
        <color theme="0" tint="-0.249977111117893"/>
      </left>
      <right style="medium">
        <color theme="0" tint="-0.3499862666707358"/>
      </right>
      <top style="thin">
        <color theme="0" tint="-0.249977111117893"/>
      </top>
      <bottom style="thin">
        <color theme="0" tint="-0.249977111117893"/>
      </bottom>
      <diagonal/>
    </border>
    <border>
      <left style="medium">
        <color theme="0" tint="-0.3499862666707358"/>
      </left>
      <right style="thin">
        <color theme="0" tint="-0.249977111117893"/>
      </right>
      <top style="thin">
        <color theme="0" tint="-0.249977111117893"/>
      </top>
      <bottom style="medium">
        <color theme="0" tint="-0.3499862666707358"/>
      </bottom>
      <diagonal/>
    </border>
    <border>
      <left style="thin">
        <color theme="0" tint="-0.249977111117893"/>
      </left>
      <right style="thin">
        <color theme="0" tint="-0.249977111117893"/>
      </right>
      <top style="thin">
        <color theme="0" tint="-0.249977111117893"/>
      </top>
      <bottom style="medium">
        <color theme="0" tint="-0.3499862666707358"/>
      </bottom>
      <diagonal/>
    </border>
    <border>
      <left style="thin">
        <color theme="0" tint="-0.249977111117893"/>
      </left>
      <right style="medium">
        <color theme="0" tint="-0.3499862666707358"/>
      </right>
      <top style="thin">
        <color theme="0" tint="-0.249977111117893"/>
      </top>
      <bottom style="medium">
        <color theme="0" tint="-0.3499862666707358"/>
      </bottom>
      <diagonal/>
    </border>
    <border>
      <left style="medium">
        <color theme="0" tint="-0.3499862666707358"/>
      </left>
      <right style="thin">
        <color theme="0" tint="-0.249977111117893"/>
      </right>
      <top/>
      <bottom style="thin">
        <color theme="0" tint="-0.249977111117893"/>
      </bottom>
      <diagonal/>
    </border>
    <border>
      <left style="thin">
        <color theme="0" tint="-0.249977111117893"/>
      </left>
      <right style="medium">
        <color theme="0" tint="-0.3499862666707358"/>
      </right>
      <top/>
      <bottom style="thin">
        <color theme="0" tint="-0.249977111117893"/>
      </bottom>
      <diagonal/>
    </border>
    <border>
      <left style="medium">
        <color theme="0" tint="-0.3499862666707358"/>
      </left>
      <right style="thin">
        <color theme="0" tint="-0.249977111117893"/>
      </right>
      <top style="medium">
        <color theme="0" tint="-0.3499862666707358"/>
      </top>
      <bottom style="double">
        <color theme="0" tint="-0.3499862666707358"/>
      </bottom>
      <diagonal/>
    </border>
    <border>
      <left style="thin">
        <color theme="0" tint="-0.249977111117893"/>
      </left>
      <right style="thin">
        <color theme="0" tint="-0.249977111117893"/>
      </right>
      <top style="medium">
        <color theme="0" tint="-0.3499862666707358"/>
      </top>
      <bottom style="double">
        <color theme="0" tint="-0.3499862666707358"/>
      </bottom>
      <diagonal/>
    </border>
    <border>
      <left style="thin">
        <color theme="0" tint="-0.249977111117893"/>
      </left>
      <right style="medium">
        <color theme="0" tint="-0.3499862666707358"/>
      </right>
      <top style="medium">
        <color theme="0" tint="-0.3499862666707358"/>
      </top>
      <bottom style="double">
        <color theme="0" tint="-0.3499862666707358"/>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diagonal/>
    </border>
    <border>
      <left/>
      <right style="thin">
        <color theme="0" tint="-0.499984740745262"/>
      </right>
      <top/>
      <bottom style="double">
        <color theme="0" tint="-0.499984740745262"/>
      </bottom>
      <diagonal/>
    </border>
    <border>
      <left style="thin">
        <color theme="0" tint="-0.499984740745262"/>
      </left>
      <right style="thin">
        <color theme="0" tint="-0.499984740745262"/>
      </right>
      <top/>
      <bottom style="double">
        <color theme="0" tint="-0.499984740745262"/>
      </bottom>
      <diagonal/>
    </border>
    <border>
      <left style="thin">
        <color theme="0" tint="-0.499984740745262"/>
      </left>
      <right/>
      <top/>
      <bottom style="double">
        <color theme="0" tint="-0.499984740745262"/>
      </bottom>
      <diagonal/>
    </border>
    <border>
      <left style="medium">
        <color theme="0" tint="-0.3499862666707358"/>
      </left>
      <right style="medium">
        <color theme="0" tint="-0.3499862666707358"/>
      </right>
      <top style="medium">
        <color theme="0" tint="-0.3499862666707358"/>
      </top>
      <bottom style="medium">
        <color theme="0" tint="-0.3499862666707358"/>
      </bottom>
      <diagonal/>
    </border>
    <border>
      <left style="medium">
        <color theme="0" tint="-0.3499862666707358"/>
      </left>
      <right style="medium">
        <color theme="0" tint="-0.3499862666707358"/>
      </right>
      <top style="medium">
        <color theme="0" tint="-0.3499862666707358"/>
      </top>
      <bottom style="double">
        <color theme="0" tint="-0.3499862666707358"/>
      </bottom>
      <diagonal/>
    </border>
    <border>
      <left style="medium">
        <color theme="0" tint="-0.3499862666707358"/>
      </left>
      <right style="thin">
        <color theme="0" tint="-0.499984740745262"/>
      </right>
      <top style="medium">
        <color theme="0" tint="-0.3499862666707358"/>
      </top>
      <bottom style="double">
        <color theme="0" tint="-0.499984740745262"/>
      </bottom>
      <diagonal/>
    </border>
    <border>
      <left style="thin">
        <color theme="0" tint="-0.499984740745262"/>
      </left>
      <right style="thin">
        <color theme="0" tint="-0.499984740745262"/>
      </right>
      <top style="medium">
        <color theme="0" tint="-0.3499862666707358"/>
      </top>
      <bottom style="double">
        <color theme="0" tint="-0.499984740745262"/>
      </bottom>
      <diagonal/>
    </border>
    <border>
      <left style="medium">
        <color theme="0" tint="-0.499984740745262"/>
      </left>
      <right style="thin">
        <color theme="0" tint="-0.499984740745262"/>
      </right>
      <top style="medium">
        <color theme="0" tint="-0.3499862666707358"/>
      </top>
      <bottom style="double">
        <color theme="0" tint="-0.499984740745262"/>
      </bottom>
      <diagonal/>
    </border>
    <border>
      <left style="medium">
        <color theme="0" tint="-0.499984740745262"/>
      </left>
      <right style="medium">
        <color theme="0" tint="-0.3499862666707358"/>
      </right>
      <top style="medium">
        <color theme="0" tint="-0.3499862666707358"/>
      </top>
      <bottom style="double">
        <color theme="0" tint="-0.499984740745262"/>
      </bottom>
      <diagonal/>
    </border>
    <border>
      <left style="thin">
        <color theme="0" tint="-0.3499862666707358"/>
      </left>
      <right style="thin">
        <color theme="0" tint="-0.3499862666707358"/>
      </right>
      <top style="medium">
        <color theme="0" tint="-0.3499862666707358"/>
      </top>
      <bottom style="double">
        <color theme="0" tint="-0.3499862666707358"/>
      </bottom>
      <diagonal/>
    </border>
    <border>
      <left style="thin">
        <color theme="0" tint="-0.3499862666707358"/>
      </left>
      <right/>
      <top/>
      <bottom style="thin">
        <color theme="0" tint="-0.3499862666707358"/>
      </bottom>
      <diagonal/>
    </border>
    <border>
      <left/>
      <right/>
      <top/>
      <bottom style="thin">
        <color theme="0" tint="-0.3499862666707358"/>
      </bottom>
      <diagonal/>
    </border>
    <border>
      <left style="thin">
        <color theme="0" tint="-0.3499862666707358"/>
      </left>
      <right/>
      <top style="medium">
        <color theme="0" tint="-0.3499862666707358"/>
      </top>
      <bottom style="double">
        <color theme="0" tint="-0.3499862666707358"/>
      </bottom>
      <diagonal/>
    </border>
    <border>
      <left/>
      <right/>
      <top style="medium">
        <color theme="0" tint="-0.3499862666707358"/>
      </top>
      <bottom style="double">
        <color theme="0" tint="-0.3499862666707358"/>
      </bottom>
      <diagonal/>
    </border>
    <border>
      <left/>
      <right style="medium">
        <color theme="0" tint="-0.3499862666707358"/>
      </right>
      <top style="medium">
        <color theme="0" tint="-0.3499862666707358"/>
      </top>
      <bottom style="double">
        <color theme="0" tint="-0.3499862666707358"/>
      </bottom>
      <diagonal/>
    </border>
    <border>
      <left/>
      <right style="medium">
        <color theme="0" tint="-0.3499862666707358"/>
      </right>
      <top/>
      <bottom style="thin">
        <color theme="0" tint="-0.3499862666707358"/>
      </bottom>
      <diagonal/>
    </border>
    <border>
      <left/>
      <right style="medium">
        <color theme="0" tint="-0.3499862666707358"/>
      </right>
      <top style="thin">
        <color theme="0" tint="-0.3499862666707358"/>
      </top>
      <bottom style="thin">
        <color theme="0" tint="-0.3499862666707358"/>
      </bottom>
      <diagonal/>
    </border>
    <border>
      <left style="thin">
        <color theme="0" tint="-0.3499862666707358"/>
      </left>
      <right/>
      <top style="thin">
        <color theme="0" tint="-0.3499862666707358"/>
      </top>
      <bottom style="medium">
        <color theme="0" tint="-0.3499862666707358"/>
      </bottom>
      <diagonal/>
    </border>
    <border>
      <left/>
      <right/>
      <top style="thin">
        <color theme="0" tint="-0.3499862666707358"/>
      </top>
      <bottom style="medium">
        <color theme="0" tint="-0.3499862666707358"/>
      </bottom>
      <diagonal/>
    </border>
    <border>
      <left/>
      <right style="medium">
        <color theme="0" tint="-0.3499862666707358"/>
      </right>
      <top style="thin">
        <color theme="0" tint="-0.3499862666707358"/>
      </top>
      <bottom style="medium">
        <color theme="0" tint="-0.3499862666707358"/>
      </bottom>
      <diagonal/>
    </border>
    <border>
      <left style="medium">
        <color theme="0" tint="-0.249977111117893"/>
      </left>
      <right style="thin">
        <color theme="0" tint="-0.249977111117893"/>
      </right>
      <top style="medium">
        <color theme="0" tint="-0.3499862666707358"/>
      </top>
      <bottom style="double">
        <color theme="0" tint="-0.3499862666707358"/>
      </bottom>
      <diagonal/>
    </border>
    <border>
      <left style="medium">
        <color theme="0" tint="-0.249977111117893"/>
      </left>
      <right style="medium">
        <color theme="0" tint="-0.3499862666707358"/>
      </right>
      <top style="medium">
        <color theme="0" tint="-0.3499862666707358"/>
      </top>
      <bottom style="double">
        <color theme="0" tint="-0.3499862666707358"/>
      </bottom>
      <diagonal/>
    </border>
    <border>
      <left/>
      <right/>
      <top/>
      <bottom style="medium">
        <color theme="0" tint="-0.3499862666707358"/>
      </bottom>
      <diagonal/>
    </border>
    <border>
      <left style="medium">
        <color theme="0" tint="-0.3499862666707358"/>
      </left>
      <right style="thin">
        <color theme="0" tint="-0.3499862666707358"/>
      </right>
      <top/>
      <bottom style="double">
        <color theme="0" tint="-0.3499862666707358"/>
      </bottom>
      <diagonal/>
    </border>
    <border>
      <left style="thin">
        <color theme="0" tint="-0.3499862666707358"/>
      </left>
      <right style="thin">
        <color theme="0" tint="-0.3499862666707358"/>
      </right>
      <top/>
      <bottom style="double">
        <color theme="0" tint="-0.3499862666707358"/>
      </bottom>
      <diagonal/>
    </border>
    <border>
      <left style="thin">
        <color theme="0" tint="-0.3499862666707358"/>
      </left>
      <right style="medium">
        <color theme="0" tint="-0.3499862666707358"/>
      </right>
      <top/>
      <bottom style="double">
        <color theme="0" tint="-0.3499862666707358"/>
      </bottom>
      <diagonal/>
    </border>
    <border>
      <left/>
      <right/>
      <top/>
      <bottom style="double">
        <color theme="0" tint="-0.3499862666707358"/>
      </bottom>
      <diagonal/>
    </border>
    <border>
      <left style="medium">
        <color theme="0" tint="-0.3499862666707358"/>
      </left>
      <right style="thin">
        <color theme="0" tint="-0.3499862666707358"/>
      </right>
      <top style="double">
        <color theme="0" tint="-0.3499862666707358"/>
      </top>
      <bottom style="double">
        <color theme="0" tint="-0.3499862666707358"/>
      </bottom>
      <diagonal/>
    </border>
    <border>
      <left style="thin">
        <color theme="0" tint="-0.3499862666707358"/>
      </left>
      <right style="thin">
        <color theme="0" tint="-0.3499862666707358"/>
      </right>
      <top style="double">
        <color theme="0" tint="-0.3499862666707358"/>
      </top>
      <bottom style="double">
        <color theme="0" tint="-0.3499862666707358"/>
      </bottom>
      <diagonal/>
    </border>
    <border>
      <left style="thin">
        <color theme="0" tint="-0.3499862666707358"/>
      </left>
      <right style="medium">
        <color theme="0" tint="-0.3499862666707358"/>
      </right>
      <top style="double">
        <color theme="0" tint="-0.3499862666707358"/>
      </top>
      <bottom style="double">
        <color theme="0" tint="-0.3499862666707358"/>
      </bottom>
      <diagonal/>
    </border>
    <border>
      <left style="medium">
        <color theme="0" tint="-0.3499862666707358"/>
      </left>
      <right style="medium">
        <color theme="0" tint="-0.3499862666707358"/>
      </right>
      <top/>
      <bottom style="double">
        <color theme="0" tint="-0.3499862666707358"/>
      </bottom>
      <diagonal/>
    </border>
    <border>
      <left style="thin">
        <color theme="0" tint="-0.249977111117893"/>
      </left>
      <right style="thin">
        <color theme="0" tint="-0.249977111117893"/>
      </right>
      <top/>
      <bottom style="double">
        <color theme="0" tint="-0.3499862666707358"/>
      </bottom>
      <diagonal/>
    </border>
    <border>
      <left style="medium">
        <color theme="0" tint="-0.3499862666707358"/>
      </left>
      <right style="thin">
        <color theme="0" tint="-0.3499862666707358"/>
      </right>
      <top style="medium">
        <color theme="0" tint="-0.3499862666707358"/>
      </top>
      <bottom style="medium">
        <color theme="0" tint="-0.3499862666707358"/>
      </bottom>
      <diagonal/>
    </border>
    <border>
      <left style="thin">
        <color theme="0" tint="-0.3499862666707358"/>
      </left>
      <right style="thin">
        <color theme="0" tint="-0.3499862666707358"/>
      </right>
      <top style="medium">
        <color theme="0" tint="-0.3499862666707358"/>
      </top>
      <bottom style="medium">
        <color theme="0" tint="-0.3499862666707358"/>
      </bottom>
      <diagonal/>
    </border>
    <border>
      <left style="thin">
        <color theme="0" tint="-0.3499862666707358"/>
      </left>
      <right style="medium">
        <color theme="0" tint="-0.3499862666707358"/>
      </right>
      <top style="medium">
        <color theme="0" tint="-0.3499862666707358"/>
      </top>
      <bottom style="medium">
        <color theme="0" tint="-0.3499862666707358"/>
      </bottom>
      <diagonal/>
    </border>
    <border>
      <left/>
      <right/>
      <top style="medium">
        <color theme="0" tint="-0.3499862666707358"/>
      </top>
      <bottom/>
      <diagonal/>
    </border>
    <border>
      <left/>
      <right style="thin">
        <color theme="0" tint="-0.3499862666707358"/>
      </right>
      <top style="medium">
        <color theme="0" tint="-0.3499862666707358"/>
      </top>
      <bottom/>
      <diagonal/>
    </border>
    <border>
      <left/>
      <right style="thin">
        <color theme="0" tint="-0.3499862666707358"/>
      </right>
      <top style="medium">
        <color theme="0" tint="-0.3499862666707358"/>
      </top>
      <bottom style="double">
        <color theme="0" tint="-0.3499862666707358"/>
      </bottom>
      <diagonal/>
    </border>
    <border>
      <left/>
      <right/>
      <top style="thin">
        <color theme="0" tint="-0.3499862666707358"/>
      </top>
      <bottom/>
      <diagonal/>
    </border>
    <border>
      <left/>
      <right style="medium">
        <color theme="0" tint="-0.3499862666707358"/>
      </right>
      <top style="thin">
        <color theme="0" tint="-0.3499862666707358"/>
      </top>
      <bottom/>
      <diagonal/>
    </border>
    <border>
      <left/>
      <right style="medium">
        <color theme="0" tint="-0.3499862666707358"/>
      </right>
      <top/>
      <bottom/>
      <diagonal/>
    </border>
    <border>
      <left/>
      <right style="thin">
        <color theme="0" tint="-0.3499862666707358"/>
      </right>
      <top style="thin">
        <color theme="0" tint="-0.3499862666707358"/>
      </top>
      <bottom/>
      <diagonal/>
    </border>
    <border>
      <left/>
      <right style="thin">
        <color theme="0" tint="-0.3499862666707358"/>
      </right>
      <top style="thin">
        <color theme="0" tint="-0.3499862666707358"/>
      </top>
      <bottom style="thin">
        <color theme="0" tint="-0.3499862666707358"/>
      </bottom>
      <diagonal/>
    </border>
    <border>
      <left/>
      <right/>
      <top style="thin">
        <color theme="0" tint="-0.499984740745262"/>
      </top>
      <bottom/>
      <diagonal/>
    </border>
    <border>
      <left/>
      <right/>
      <top style="thin">
        <color theme="0" tint="-0.499984740745262"/>
      </top>
      <bottom style="thin">
        <color theme="0" tint="-0.499984740745262"/>
      </bottom>
      <diagonal/>
    </border>
    <border>
      <left style="medium">
        <color theme="0" tint="-0.249977111117893"/>
      </left>
      <right style="thin">
        <color theme="0" tint="-0.249977111117893"/>
      </right>
      <top/>
      <bottom style="thin">
        <color theme="0" tint="-0.249977111117893"/>
      </bottom>
      <diagonal/>
    </border>
    <border>
      <left/>
      <right/>
      <top style="medium">
        <color indexed="64"/>
      </top>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theme="0" tint="-0.249977111117893"/>
      </left>
      <right style="thin">
        <color theme="0" tint="-0.249977111117893"/>
      </right>
      <top style="medium">
        <color theme="0" tint="-0.249977111117893"/>
      </top>
      <bottom style="medium">
        <color theme="0" tint="-0.249977111117893"/>
      </bottom>
      <diagonal/>
    </border>
    <border>
      <left style="medium">
        <color theme="0" tint="-0.249977111117893"/>
      </left>
      <right style="thin">
        <color theme="0" tint="-0.249977111117893"/>
      </right>
      <top style="medium">
        <color theme="0" tint="-0.249977111117893"/>
      </top>
      <bottom style="medium">
        <color theme="0" tint="-0.249977111117893"/>
      </bottom>
      <diagonal/>
    </border>
    <border>
      <left style="thin">
        <color theme="0" tint="-0.249977111117893"/>
      </left>
      <right style="medium">
        <color theme="0" tint="-0.249977111117893"/>
      </right>
      <top style="medium">
        <color theme="0" tint="-0.249977111117893"/>
      </top>
      <bottom/>
      <diagonal/>
    </border>
    <border>
      <left/>
      <right/>
      <top style="medium">
        <color theme="0" tint="-0.249977111117893"/>
      </top>
      <bottom/>
      <diagonal/>
    </border>
    <border>
      <left style="thin">
        <color theme="0" tint="-0.249977111117893"/>
      </left>
      <right style="medium">
        <color theme="0" tint="-0.249977111117893"/>
      </right>
      <top style="medium">
        <color theme="0" tint="-0.249977111117893"/>
      </top>
      <bottom style="medium">
        <color theme="0" tint="-0.249977111117893"/>
      </bottom>
      <diagonal/>
    </border>
    <border>
      <left/>
      <right style="thin">
        <color theme="0" tint="-0.249977111117893"/>
      </right>
      <top style="medium">
        <color theme="0" tint="-0.249977111117893"/>
      </top>
      <bottom/>
      <diagonal/>
    </border>
    <border>
      <left/>
      <right style="thin">
        <color theme="0" tint="-0.249977111117893"/>
      </right>
      <top/>
      <bottom/>
      <diagonal/>
    </border>
    <border>
      <left/>
      <right style="thin">
        <color theme="0" tint="-0.3499862666707358"/>
      </right>
      <top style="thin">
        <color theme="0" tint="-0.3499862666707358"/>
      </top>
      <bottom style="medium">
        <color theme="0" tint="-0.3499862666707358"/>
      </bottom>
      <diagonal/>
    </border>
    <border>
      <left/>
      <right style="thin">
        <color theme="0" tint="-0.3499862666707358"/>
      </right>
      <top/>
      <bottom/>
      <diagonal/>
    </border>
    <border>
      <left/>
      <right style="thin">
        <color theme="0" tint="-0.3499862666707358"/>
      </right>
      <top/>
      <bottom style="thin">
        <color theme="0" tint="-0.3499862666707358"/>
      </bottom>
      <diagonal/>
    </border>
    <border>
      <left style="medium">
        <color theme="0" tint="-0.249977111117893"/>
      </left>
      <right style="medium">
        <color theme="0" tint="-0.249977111117893"/>
      </right>
      <top style="thin">
        <color theme="0" tint="-0.249977111117893"/>
      </top>
      <bottom style="thin">
        <color theme="0" tint="-0.249977111117893"/>
      </bottom>
      <diagonal/>
    </border>
    <border>
      <left/>
      <right/>
      <top style="thin">
        <color theme="0" tint="-0.249977111117893"/>
      </top>
      <bottom/>
      <diagonal/>
    </border>
    <border>
      <left/>
      <right style="medium">
        <color theme="0" tint="-0.249977111117893"/>
      </right>
      <top style="thin">
        <color theme="0" tint="-0.249977111117893"/>
      </top>
      <bottom/>
      <diagonal/>
    </border>
    <border>
      <left/>
      <right style="medium">
        <color theme="0" tint="-0.3499862666707358"/>
      </right>
      <top style="medium">
        <color theme="0" tint="-0.3499862666707358"/>
      </top>
      <bottom/>
      <diagonal/>
    </border>
    <border>
      <left/>
      <right/>
      <top style="double">
        <color theme="0" tint="-0.3499862666707358"/>
      </top>
      <bottom/>
      <diagonal/>
    </border>
    <border>
      <left/>
      <right style="thin">
        <color theme="0" tint="-0.3499862666707358"/>
      </right>
      <top style="double">
        <color theme="0" tint="-0.3499862666707358"/>
      </top>
      <bottom/>
      <diagonal/>
    </border>
    <border>
      <left/>
      <right/>
      <top style="double">
        <color theme="0" tint="-0.3499862666707358"/>
      </top>
      <bottom style="double">
        <color theme="0" tint="-0.3499862666707358"/>
      </bottom>
      <diagonal/>
    </border>
    <border>
      <left/>
      <right style="thin">
        <color theme="0" tint="-0.3499862666707358"/>
      </right>
      <top style="double">
        <color theme="0" tint="-0.3499862666707358"/>
      </top>
      <bottom style="double">
        <color theme="0" tint="-0.3499862666707358"/>
      </bottom>
      <diagonal/>
    </border>
    <border>
      <left style="medium">
        <color theme="0" tint="-0.249977111117893"/>
      </left>
      <right style="medium">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right/>
      <top style="thin">
        <color theme="0" tint="-0.249977111117893"/>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right style="thin">
        <color theme="0" tint="-0.249977111117893"/>
      </right>
      <top/>
      <bottom style="medium">
        <color theme="0" tint="-0.249977111117893"/>
      </bottom>
      <diagonal/>
    </border>
    <border>
      <left style="thin">
        <color rgb="FFD9D9D9"/>
      </left>
      <right style="thin">
        <color rgb="FFD9D9D9"/>
      </right>
      <top style="thin">
        <color rgb="FFD9D9D9"/>
      </top>
      <bottom style="thin">
        <color rgb="FFD9D9D9"/>
      </bottom>
    </border>
    <border>
      <left style="thin">
        <color rgb="FFBFBFBF"/>
      </left>
      <right style="thin">
        <color rgb="FFBFBFBF"/>
      </right>
      <top style="thin">
        <color rgb="FFBFBFBF"/>
      </top>
      <bottom style="thin">
        <color rgb="FFBFBFBF"/>
      </bottom>
    </border>
  </borders>
  <cellStyleXfs count="3">
    <xf numFmtId="0" fontId="1" fillId="0" borderId="0"/>
    <xf numFmtId="9" fontId="1" fillId="0" borderId="0"/>
    <xf numFmtId="0" fontId="27" fillId="0" borderId="0"/>
  </cellStyleXfs>
  <cellXfs count="1264">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center"/>
    </xf>
    <xf numFmtId="0" fontId="4" fillId="0" borderId="0" applyAlignment="1" pivotButton="0" quotePrefix="0" xfId="0">
      <alignment horizontal="left" vertical="top" wrapText="1"/>
    </xf>
    <xf numFmtId="0" fontId="4" fillId="0" borderId="0" applyAlignment="1" pivotButton="0" quotePrefix="0" xfId="0">
      <alignment horizontal="left" vertical="top"/>
    </xf>
    <xf numFmtId="164" fontId="9" fillId="0" borderId="0" applyAlignment="1" pivotButton="0" quotePrefix="0" xfId="0">
      <alignment horizontal="right" vertical="top"/>
    </xf>
    <xf numFmtId="164" fontId="7" fillId="0" borderId="0" applyAlignment="1" pivotButton="0" quotePrefix="0" xfId="0">
      <alignment horizontal="right" vertical="top"/>
    </xf>
    <xf numFmtId="0" fontId="13" fillId="0" borderId="0" applyAlignment="1" pivotButton="0" quotePrefix="0" xfId="0">
      <alignment horizontal="left" vertical="top"/>
    </xf>
    <xf numFmtId="0" fontId="17" fillId="0" borderId="0" applyAlignment="1" pivotButton="0" quotePrefix="0" xfId="0">
      <alignment horizontal="left" vertical="top"/>
    </xf>
    <xf numFmtId="0" fontId="18" fillId="0" borderId="0" applyAlignment="1" pivotButton="0" quotePrefix="0" xfId="0">
      <alignment horizontal="left" vertical="top" wrapText="1"/>
    </xf>
    <xf numFmtId="0" fontId="20" fillId="0" borderId="0" applyAlignment="1" pivotButton="0" quotePrefix="0" xfId="0">
      <alignment horizontal="left" vertical="top"/>
    </xf>
    <xf numFmtId="0" fontId="6" fillId="0" borderId="1" applyAlignment="1" pivotButton="0" quotePrefix="0" xfId="0">
      <alignment horizontal="center" vertical="top" wrapText="1"/>
    </xf>
    <xf numFmtId="0" fontId="4" fillId="0" borderId="1" applyAlignment="1" pivotButton="0" quotePrefix="0" xfId="0">
      <alignment horizontal="left" vertical="top"/>
    </xf>
    <xf numFmtId="0" fontId="5" fillId="3" borderId="1" applyAlignment="1" pivotButton="0" quotePrefix="0" xfId="0">
      <alignment horizontal="left"/>
    </xf>
    <xf numFmtId="0" fontId="21" fillId="0" borderId="1" applyAlignment="1" pivotButton="0" quotePrefix="0" xfId="0">
      <alignment horizontal="left" vertical="top"/>
    </xf>
    <xf numFmtId="0" fontId="22" fillId="0" borderId="0" applyAlignment="1" pivotButton="0" quotePrefix="0" xfId="0">
      <alignment horizontal="left" vertical="top"/>
    </xf>
    <xf numFmtId="0" fontId="0" fillId="0" borderId="1" applyAlignment="1" pivotButton="0" quotePrefix="0" xfId="0">
      <alignment wrapText="1"/>
    </xf>
    <xf numFmtId="165" fontId="6" fillId="0" borderId="1" applyAlignment="1" pivotButton="0" quotePrefix="0" xfId="0">
      <alignment horizontal="right" vertical="top"/>
    </xf>
    <xf numFmtId="0" fontId="4" fillId="0" borderId="1" applyAlignment="1" pivotButton="0" quotePrefix="0" xfId="0">
      <alignment horizontal="center" vertical="top"/>
    </xf>
    <xf numFmtId="0" fontId="4" fillId="0" borderId="1" applyAlignment="1" pivotButton="0" quotePrefix="0" xfId="0">
      <alignment horizontal="right" vertical="top"/>
    </xf>
    <xf numFmtId="166" fontId="21" fillId="0" borderId="1" applyAlignment="1" pivotButton="0" quotePrefix="0" xfId="0">
      <alignment horizontal="right" vertical="top"/>
    </xf>
    <xf numFmtId="165" fontId="21" fillId="0" borderId="1" applyAlignment="1" pivotButton="0" quotePrefix="0" xfId="0">
      <alignment horizontal="right" vertical="top"/>
    </xf>
    <xf numFmtId="167" fontId="21" fillId="0" borderId="1" applyAlignment="1" pivotButton="0" quotePrefix="0" xfId="0">
      <alignment horizontal="right" vertical="top"/>
    </xf>
    <xf numFmtId="0" fontId="5" fillId="3" borderId="1" applyAlignment="1" pivotButton="0" quotePrefix="0" xfId="0">
      <alignment horizontal="center"/>
    </xf>
    <xf numFmtId="0" fontId="2" fillId="0" borderId="0" pivotButton="0" quotePrefix="0" xfId="0"/>
    <xf numFmtId="0" fontId="5" fillId="3" borderId="6" applyAlignment="1" pivotButton="0" quotePrefix="0" xfId="0">
      <alignment horizontal="left" vertical="center" wrapText="1"/>
    </xf>
    <xf numFmtId="0" fontId="5" fillId="3" borderId="7" applyAlignment="1" pivotButton="0" quotePrefix="0" xfId="0">
      <alignment horizontal="center" vertical="center" wrapText="1"/>
    </xf>
    <xf numFmtId="0" fontId="5" fillId="3" borderId="11" applyAlignment="1" pivotButton="0" quotePrefix="0" xfId="0">
      <alignment horizontal="center" vertical="center" wrapText="1"/>
    </xf>
    <xf numFmtId="0" fontId="4" fillId="0" borderId="10" applyAlignment="1" pivotButton="0" quotePrefix="0" xfId="0">
      <alignment horizontal="center" vertical="center" wrapText="1"/>
    </xf>
    <xf numFmtId="0" fontId="4"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4" fillId="0" borderId="17" applyAlignment="1" pivotButton="0" quotePrefix="0" xfId="0">
      <alignment horizontal="center" vertical="center" wrapText="1"/>
    </xf>
    <xf numFmtId="0" fontId="7" fillId="0" borderId="20" applyAlignment="1" pivotButton="0" quotePrefix="0" xfId="0">
      <alignment horizontal="center" vertical="center" wrapText="1"/>
    </xf>
    <xf numFmtId="0" fontId="4" fillId="0" borderId="20" applyAlignment="1" pivotButton="0" quotePrefix="0" xfId="0">
      <alignment horizontal="center" vertical="center" wrapText="1"/>
    </xf>
    <xf numFmtId="0" fontId="4" fillId="0" borderId="1" applyAlignment="1" pivotButton="0" quotePrefix="0" xfId="0">
      <alignment horizontal="left" vertical="center" wrapText="1"/>
    </xf>
    <xf numFmtId="0" fontId="4" fillId="0" borderId="18" applyAlignment="1" pivotButton="0" quotePrefix="0" xfId="0">
      <alignment horizontal="left" vertical="center" wrapText="1"/>
    </xf>
    <xf numFmtId="0" fontId="4" fillId="0" borderId="20" applyAlignment="1" pivotButton="0" quotePrefix="0" xfId="0">
      <alignment horizontal="left" vertical="center" wrapText="1"/>
    </xf>
    <xf numFmtId="0" fontId="4" fillId="0" borderId="21" applyAlignment="1" pivotButton="0" quotePrefix="0" xfId="0">
      <alignment horizontal="left" vertical="center" wrapText="1"/>
    </xf>
    <xf numFmtId="0" fontId="5" fillId="3" borderId="7" applyAlignment="1" pivotButton="0" quotePrefix="0" xfId="0">
      <alignment horizontal="left" wrapText="1"/>
    </xf>
    <xf numFmtId="0" fontId="5" fillId="3" borderId="7" applyAlignment="1" pivotButton="0" quotePrefix="0" xfId="0">
      <alignment horizontal="center" wrapText="1"/>
    </xf>
    <xf numFmtId="0" fontId="5" fillId="3" borderId="8" applyAlignment="1" pivotButton="0" quotePrefix="0" xfId="0">
      <alignment horizontal="left" wrapText="1"/>
    </xf>
    <xf numFmtId="0" fontId="5" fillId="3" borderId="7" applyAlignment="1" pivotButton="0" quotePrefix="0" xfId="0">
      <alignment horizontal="left" vertical="center" wrapText="1"/>
    </xf>
    <xf numFmtId="0" fontId="5" fillId="3" borderId="8" applyAlignment="1" pivotButton="0" quotePrefix="0" xfId="0">
      <alignment horizontal="left" vertical="center" wrapText="1"/>
    </xf>
    <xf numFmtId="0" fontId="6" fillId="0" borderId="1" applyAlignment="1" pivotButton="0" quotePrefix="0" xfId="0">
      <alignment horizontal="left" vertical="center" wrapText="1"/>
    </xf>
    <xf numFmtId="0" fontId="4" fillId="0" borderId="1" applyAlignment="1" pivotButton="0" quotePrefix="0" xfId="0">
      <alignment horizontal="left" vertical="center"/>
    </xf>
    <xf numFmtId="0" fontId="0" fillId="0" borderId="1" applyAlignment="1" pivotButton="0" quotePrefix="0" xfId="0">
      <alignment vertical="center"/>
    </xf>
    <xf numFmtId="165" fontId="6" fillId="0" borderId="1" applyAlignment="1" pivotButton="0" quotePrefix="0" xfId="0">
      <alignment horizontal="right" vertical="center"/>
    </xf>
    <xf numFmtId="0" fontId="4" fillId="0" borderId="2" applyAlignment="1" pivotButton="0" quotePrefix="0" xfId="0">
      <alignment horizontal="left" vertical="center" wrapText="1"/>
    </xf>
    <xf numFmtId="168" fontId="6" fillId="0" borderId="1" applyAlignment="1" pivotButton="0" quotePrefix="0" xfId="0">
      <alignment horizontal="right" vertical="center"/>
    </xf>
    <xf numFmtId="164" fontId="6" fillId="0" borderId="1" applyAlignment="1" pivotButton="0" quotePrefix="0" xfId="0">
      <alignment horizontal="right" vertical="center"/>
    </xf>
    <xf numFmtId="167" fontId="6" fillId="0" borderId="1" applyAlignment="1" pivotButton="0" quotePrefix="0" xfId="0">
      <alignment horizontal="right" vertical="center"/>
    </xf>
    <xf numFmtId="0" fontId="6" fillId="0" borderId="10" applyAlignment="1" pivotButton="0" quotePrefix="0" xfId="0">
      <alignment horizontal="left" vertical="center" wrapText="1"/>
    </xf>
    <xf numFmtId="0" fontId="0" fillId="0" borderId="10" applyAlignment="1" pivotButton="0" quotePrefix="0" xfId="0">
      <alignment vertical="center"/>
    </xf>
    <xf numFmtId="0" fontId="4" fillId="0" borderId="10" applyAlignment="1" pivotButton="0" quotePrefix="0" xfId="0">
      <alignment horizontal="left" vertical="center" wrapText="1"/>
    </xf>
    <xf numFmtId="0" fontId="4" fillId="0" borderId="11" applyAlignment="1" pivotButton="0" quotePrefix="0" xfId="0">
      <alignment horizontal="left" vertical="center" wrapText="1"/>
    </xf>
    <xf numFmtId="0" fontId="5" fillId="3" borderId="6" applyAlignment="1" pivotButton="0" quotePrefix="0" xfId="0">
      <alignment horizontal="left" wrapText="1"/>
    </xf>
    <xf numFmtId="0" fontId="11" fillId="0" borderId="5" applyAlignment="1" pivotButton="0" quotePrefix="0" xfId="0">
      <alignment horizontal="left" vertical="center" wrapText="1"/>
    </xf>
    <xf numFmtId="0" fontId="11" fillId="0" borderId="1" applyAlignment="1" pivotButton="0" quotePrefix="0" xfId="0">
      <alignment horizontal="left" vertical="center"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7" fillId="0" borderId="5" applyAlignment="1" pivotButton="0" quotePrefix="0" xfId="0">
      <alignment horizontal="left" vertical="center" wrapText="1"/>
    </xf>
    <xf numFmtId="0" fontId="7" fillId="0" borderId="9" applyAlignment="1" pivotButton="0" quotePrefix="0" xfId="0">
      <alignment horizontal="left" vertical="center" wrapText="1"/>
    </xf>
    <xf numFmtId="0" fontId="16" fillId="0" borderId="0" pivotButton="0" quotePrefix="0" xfId="0"/>
    <xf numFmtId="0" fontId="5" fillId="3" borderId="14" applyAlignment="1" pivotButton="0" quotePrefix="0" xfId="0">
      <alignment horizontal="left" vertical="center" wrapText="1"/>
    </xf>
    <xf numFmtId="0" fontId="5" fillId="3" borderId="15" applyAlignment="1" pivotButton="0" quotePrefix="0" xfId="0">
      <alignment horizontal="left" vertical="center" wrapText="1"/>
    </xf>
    <xf numFmtId="0" fontId="5" fillId="3" borderId="15" applyAlignment="1" pivotButton="0" quotePrefix="0" xfId="0">
      <alignment horizontal="center" vertical="center" wrapText="1"/>
    </xf>
    <xf numFmtId="0" fontId="5" fillId="3" borderId="16" applyAlignment="1" pivotButton="0" quotePrefix="0" xfId="0">
      <alignment horizontal="left" vertical="center" wrapText="1"/>
    </xf>
    <xf numFmtId="0" fontId="21" fillId="0" borderId="17" applyAlignment="1" pivotButton="0" quotePrefix="0" xfId="0">
      <alignment horizontal="left" vertical="center"/>
    </xf>
    <xf numFmtId="0" fontId="0" fillId="0" borderId="18" applyAlignment="1" pivotButton="0" quotePrefix="0" xfId="0">
      <alignment vertical="center"/>
    </xf>
    <xf numFmtId="0" fontId="6" fillId="0" borderId="17" applyAlignment="1" pivotButton="0" quotePrefix="0" xfId="0">
      <alignment horizontal="left" vertical="center" wrapText="1"/>
    </xf>
    <xf numFmtId="166" fontId="6" fillId="0" borderId="1" applyAlignment="1" pivotButton="0" quotePrefix="0" xfId="0">
      <alignment horizontal="right" vertical="center"/>
    </xf>
    <xf numFmtId="0" fontId="0" fillId="0" borderId="17" applyAlignment="1" pivotButton="0" quotePrefix="0" xfId="0">
      <alignment vertical="center"/>
    </xf>
    <xf numFmtId="0" fontId="6" fillId="0" borderId="19" applyAlignment="1" pivotButton="0" quotePrefix="0" xfId="0">
      <alignment horizontal="left" vertical="center" wrapText="1"/>
    </xf>
    <xf numFmtId="0" fontId="4" fillId="0" borderId="20" applyAlignment="1" pivotButton="0" quotePrefix="0" xfId="0">
      <alignment horizontal="left" vertical="center"/>
    </xf>
    <xf numFmtId="0" fontId="0" fillId="0" borderId="20" applyAlignment="1" pivotButton="0" quotePrefix="0" xfId="0">
      <alignment vertical="center"/>
    </xf>
    <xf numFmtId="165" fontId="6" fillId="0" borderId="20" applyAlignment="1" pivotButton="0" quotePrefix="0" xfId="0">
      <alignment horizontal="right" vertical="center"/>
    </xf>
    <xf numFmtId="0" fontId="21" fillId="0" borderId="17" applyAlignment="1" pivotButton="0" quotePrefix="0" xfId="0">
      <alignment horizontal="left" vertical="center" wrapText="1"/>
    </xf>
    <xf numFmtId="164" fontId="21" fillId="0" borderId="1" applyAlignment="1" pivotButton="0" quotePrefix="0" xfId="0">
      <alignment horizontal="right" vertical="center"/>
    </xf>
    <xf numFmtId="0" fontId="4" fillId="0" borderId="1" applyAlignment="1" pivotButton="0" quotePrefix="0" xfId="0">
      <alignment horizontal="center" vertical="center"/>
    </xf>
    <xf numFmtId="0" fontId="4" fillId="0" borderId="20" applyAlignment="1" pivotButton="0" quotePrefix="0" xfId="0">
      <alignment horizontal="center" vertical="center"/>
    </xf>
    <xf numFmtId="0" fontId="5" fillId="3" borderId="15" applyAlignment="1" pivotButton="0" quotePrefix="0" xfId="0">
      <alignment horizontal="right" vertical="center" wrapText="1"/>
    </xf>
    <xf numFmtId="0" fontId="0" fillId="0" borderId="1" applyAlignment="1" pivotButton="0" quotePrefix="0" xfId="0">
      <alignment horizontal="right" vertical="center"/>
    </xf>
    <xf numFmtId="169" fontId="6" fillId="0" borderId="1" applyAlignment="1" pivotButton="0" quotePrefix="0" xfId="0">
      <alignment horizontal="center" vertical="center"/>
    </xf>
    <xf numFmtId="0" fontId="0" fillId="0" borderId="1" applyAlignment="1" pivotButton="0" quotePrefix="0" xfId="0">
      <alignment horizontal="center" vertical="center"/>
    </xf>
    <xf numFmtId="165" fontId="6" fillId="0" borderId="1" applyAlignment="1" pivotButton="0" quotePrefix="0" xfId="0">
      <alignment horizontal="center" vertical="center"/>
    </xf>
    <xf numFmtId="166" fontId="6" fillId="0" borderId="20" applyAlignment="1" pivotButton="0" quotePrefix="0" xfId="0">
      <alignment horizontal="center" vertical="center"/>
    </xf>
    <xf numFmtId="165" fontId="6" fillId="0" borderId="20"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wrapText="1"/>
    </xf>
    <xf numFmtId="49" fontId="6" fillId="0" borderId="1" applyAlignment="1" pivotButton="0" quotePrefix="0" xfId="0">
      <alignment horizontal="right" vertical="center"/>
    </xf>
    <xf numFmtId="164" fontId="6" fillId="0" borderId="1" applyAlignment="1" pivotButton="0" quotePrefix="0" xfId="0">
      <alignment horizontal="center" vertical="center"/>
    </xf>
    <xf numFmtId="0" fontId="6" fillId="0" borderId="1" applyAlignment="1" pivotButton="0" quotePrefix="0" xfId="0">
      <alignment horizontal="center" vertical="center"/>
    </xf>
    <xf numFmtId="168" fontId="6" fillId="0" borderId="1" applyAlignment="1" pivotButton="0" quotePrefix="0" xfId="0">
      <alignment horizontal="center" vertical="center"/>
    </xf>
    <xf numFmtId="166" fontId="6" fillId="0" borderId="1" applyAlignment="1" pivotButton="0" quotePrefix="0" xfId="0">
      <alignment horizontal="center" vertical="center"/>
    </xf>
    <xf numFmtId="164" fontId="21" fillId="0" borderId="1" applyAlignment="1" pivotButton="0" quotePrefix="0" xfId="0">
      <alignment horizontal="center" vertical="center"/>
    </xf>
    <xf numFmtId="49" fontId="6" fillId="0" borderId="1" applyAlignment="1" pivotButton="0" quotePrefix="0" xfId="0">
      <alignment horizontal="center" vertical="center"/>
    </xf>
    <xf numFmtId="164" fontId="6" fillId="0" borderId="20" applyAlignment="1" pivotButton="0" quotePrefix="0" xfId="0">
      <alignment horizontal="center" vertical="center"/>
    </xf>
    <xf numFmtId="0" fontId="0" fillId="0" borderId="20" applyAlignment="1" pivotButton="0" quotePrefix="0" xfId="0">
      <alignment horizontal="center" vertical="center"/>
    </xf>
    <xf numFmtId="0" fontId="17" fillId="0" borderId="17" applyAlignment="1" pivotButton="0" quotePrefix="0" xfId="0">
      <alignment horizontal="left" vertical="center" wrapText="1"/>
    </xf>
    <xf numFmtId="166" fontId="21" fillId="0" borderId="1" applyAlignment="1" pivotButton="0" quotePrefix="0" xfId="0">
      <alignment horizontal="center" vertical="center"/>
    </xf>
    <xf numFmtId="165" fontId="24" fillId="0" borderId="1" applyAlignment="1" pivotButton="0" quotePrefix="0" xfId="0">
      <alignment horizontal="center" vertical="center"/>
    </xf>
    <xf numFmtId="165" fontId="21" fillId="0" borderId="20" applyAlignment="1" pivotButton="0" quotePrefix="0" xfId="0">
      <alignment horizontal="center" vertical="center"/>
    </xf>
    <xf numFmtId="0" fontId="21" fillId="0" borderId="19" applyAlignment="1" pivotButton="0" quotePrefix="0" xfId="0">
      <alignment horizontal="left" vertical="center" wrapText="1"/>
    </xf>
    <xf numFmtId="49" fontId="6" fillId="0" borderId="5" applyAlignment="1" pivotButton="0" quotePrefix="0" xfId="0">
      <alignment horizontal="left" vertical="top" wrapText="1"/>
    </xf>
    <xf numFmtId="49" fontId="6" fillId="0" borderId="1" applyAlignment="1" pivotButton="0" quotePrefix="0" xfId="0">
      <alignment horizontal="left" vertical="top" wrapText="1"/>
    </xf>
    <xf numFmtId="167" fontId="6" fillId="0" borderId="1" applyAlignment="1" pivotButton="0" quotePrefix="0" xfId="0">
      <alignment horizontal="right" vertical="top" wrapText="1"/>
    </xf>
    <xf numFmtId="49" fontId="4" fillId="0" borderId="2" applyAlignment="1" pivotButton="0" quotePrefix="0" xfId="0">
      <alignment horizontal="left" vertical="top" wrapText="1"/>
    </xf>
    <xf numFmtId="49" fontId="6" fillId="0" borderId="9" applyAlignment="1" pivotButton="0" quotePrefix="0" xfId="0">
      <alignment horizontal="left" vertical="top" wrapText="1"/>
    </xf>
    <xf numFmtId="49" fontId="6" fillId="0" borderId="10" applyAlignment="1" pivotButton="0" quotePrefix="0" xfId="0">
      <alignment horizontal="left" vertical="top" wrapText="1"/>
    </xf>
    <xf numFmtId="0" fontId="0" fillId="0" borderId="10" applyAlignment="1" pivotButton="0" quotePrefix="0" xfId="0">
      <alignment wrapText="1"/>
    </xf>
    <xf numFmtId="49" fontId="4" fillId="0" borderId="11" applyAlignment="1" pivotButton="0" quotePrefix="0" xfId="0">
      <alignment horizontal="left" vertical="top" wrapText="1"/>
    </xf>
    <xf numFmtId="164" fontId="6"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0" applyAlignment="1" pivotButton="0" quotePrefix="0" xfId="0">
      <alignment horizontal="center" vertical="center" wrapText="1"/>
    </xf>
    <xf numFmtId="49" fontId="6" fillId="0" borderId="1" applyAlignment="1" pivotButton="0" quotePrefix="0" xfId="0">
      <alignment horizontal="center" vertical="top" wrapText="1"/>
    </xf>
    <xf numFmtId="49" fontId="6" fillId="0" borderId="10" applyAlignment="1" pivotButton="0" quotePrefix="0" xfId="0">
      <alignment horizontal="center" vertical="top" wrapText="1"/>
    </xf>
    <xf numFmtId="165" fontId="17" fillId="0" borderId="1" applyAlignment="1" pivotButton="0" quotePrefix="0" xfId="0">
      <alignment horizontal="center" vertical="center"/>
    </xf>
    <xf numFmtId="167" fontId="21" fillId="0" borderId="1" applyAlignment="1" pivotButton="0" quotePrefix="0" xfId="0">
      <alignment horizontal="right" vertical="center"/>
    </xf>
    <xf numFmtId="0" fontId="0" fillId="0" borderId="1" applyAlignment="1" pivotButton="0" quotePrefix="0" xfId="0">
      <alignment horizontal="left" vertical="center"/>
    </xf>
    <xf numFmtId="0" fontId="0" fillId="0" borderId="18" applyAlignment="1" pivotButton="0" quotePrefix="0" xfId="0">
      <alignment horizontal="left" vertical="center"/>
    </xf>
    <xf numFmtId="0" fontId="0" fillId="0" borderId="20" applyAlignment="1" pivotButton="0" quotePrefix="0" xfId="0">
      <alignment horizontal="left" vertical="center"/>
    </xf>
    <xf numFmtId="167" fontId="6" fillId="0" borderId="1" applyAlignment="1" pivotButton="0" quotePrefix="0" xfId="0">
      <alignment horizontal="center" vertical="center"/>
    </xf>
    <xf numFmtId="167" fontId="21" fillId="0" borderId="1" applyAlignment="1" pivotButton="0" quotePrefix="0" xfId="0">
      <alignment horizontal="center" vertical="center"/>
    </xf>
    <xf numFmtId="169" fontId="21" fillId="0" borderId="20" applyAlignment="1" pivotButton="0" quotePrefix="0" xfId="0">
      <alignment horizontal="center" vertical="center"/>
    </xf>
    <xf numFmtId="167" fontId="9" fillId="0" borderId="1" applyAlignment="1" pivotButton="0" quotePrefix="0" xfId="0">
      <alignment horizontal="center" vertical="center"/>
    </xf>
    <xf numFmtId="167" fontId="21" fillId="0" borderId="20" applyAlignment="1" pivotButton="0" quotePrefix="0" xfId="0">
      <alignment horizontal="center" vertical="center"/>
    </xf>
    <xf numFmtId="167" fontId="6" fillId="0" borderId="20" applyAlignment="1" pivotButton="0" quotePrefix="0" xfId="0">
      <alignment horizontal="right" vertical="center"/>
    </xf>
    <xf numFmtId="167" fontId="6" fillId="0" borderId="20" applyAlignment="1" pivotButton="0" quotePrefix="0" xfId="0">
      <alignment horizontal="center" vertical="center"/>
    </xf>
    <xf numFmtId="0" fontId="13" fillId="0" borderId="0" applyAlignment="1" pivotButton="0" quotePrefix="0" xfId="0">
      <alignment horizontal="left" vertical="center"/>
    </xf>
    <xf numFmtId="0" fontId="0" fillId="0" borderId="0" applyAlignment="1" pivotButton="0" quotePrefix="0" xfId="0">
      <alignment horizontal="center" vertical="center"/>
    </xf>
    <xf numFmtId="0" fontId="4" fillId="0" borderId="0" applyAlignment="1" pivotButton="0" quotePrefix="0" xfId="0">
      <alignment horizontal="left" vertical="center" wrapText="1"/>
    </xf>
    <xf numFmtId="0" fontId="17" fillId="0" borderId="0" applyAlignment="1" pivotButton="0" quotePrefix="0" xfId="0">
      <alignment horizontal="left" vertical="center"/>
    </xf>
    <xf numFmtId="0" fontId="18" fillId="0" borderId="0" applyAlignment="1" pivotButton="0" quotePrefix="0" xfId="0">
      <alignment horizontal="left" vertical="center" wrapText="1"/>
    </xf>
    <xf numFmtId="0" fontId="21" fillId="0" borderId="0" applyAlignment="1" pivotButton="0" quotePrefix="0" xfId="0">
      <alignment horizontal="left" vertical="center"/>
    </xf>
    <xf numFmtId="165" fontId="21" fillId="0" borderId="1" applyAlignment="1" pivotButton="0" quotePrefix="0" xfId="0">
      <alignment horizontal="right" vertical="center"/>
    </xf>
    <xf numFmtId="0" fontId="0" fillId="0" borderId="21" applyAlignment="1" pivotButton="0" quotePrefix="0" xfId="0">
      <alignment vertical="center"/>
    </xf>
    <xf numFmtId="0" fontId="26" fillId="0" borderId="0" applyAlignment="1" pivotButton="0" quotePrefix="0" xfId="0">
      <alignment vertical="center"/>
    </xf>
    <xf numFmtId="49" fontId="6" fillId="0" borderId="20" applyAlignment="1" pivotButton="0" quotePrefix="0" xfId="0">
      <alignment horizontal="center" vertical="center"/>
    </xf>
    <xf numFmtId="170" fontId="0" fillId="0" borderId="1" applyAlignment="1" pivotButton="0" quotePrefix="0" xfId="1">
      <alignment horizontal="center" vertical="center"/>
    </xf>
    <xf numFmtId="10" fontId="0" fillId="0" borderId="1" applyAlignment="1" pivotButton="0" quotePrefix="0" xfId="1">
      <alignment horizontal="center" vertical="center"/>
    </xf>
    <xf numFmtId="168" fontId="21" fillId="0" borderId="1" applyAlignment="1" pivotButton="0" quotePrefix="0" xfId="0">
      <alignment horizontal="center" vertical="center"/>
    </xf>
    <xf numFmtId="167" fontId="9" fillId="0" borderId="20" applyAlignment="1" pivotButton="0" quotePrefix="0" xfId="0">
      <alignment horizontal="center" vertical="center"/>
    </xf>
    <xf numFmtId="0" fontId="16" fillId="0" borderId="0" applyAlignment="1" pivotButton="0" quotePrefix="0" xfId="0">
      <alignment vertical="center"/>
    </xf>
    <xf numFmtId="0" fontId="16" fillId="0" borderId="0" applyAlignment="1" pivotButton="0" quotePrefix="0" xfId="0">
      <alignment horizontal="center" vertical="center"/>
    </xf>
    <xf numFmtId="49" fontId="21" fillId="0" borderId="1" applyAlignment="1" pivotButton="0" quotePrefix="0" xfId="0">
      <alignment horizontal="center" vertical="center"/>
    </xf>
    <xf numFmtId="0" fontId="3" fillId="0" borderId="0" applyAlignment="1" pivotButton="0" quotePrefix="0" xfId="0">
      <alignment horizontal="left" vertical="center" wrapText="1"/>
    </xf>
    <xf numFmtId="164" fontId="21" fillId="0" borderId="20" applyAlignment="1" pivotButton="0" quotePrefix="0" xfId="0">
      <alignment horizontal="center" vertical="center"/>
    </xf>
    <xf numFmtId="0" fontId="6" fillId="2" borderId="17" applyAlignment="1" pivotButton="0" quotePrefix="0" xfId="0">
      <alignment horizontal="left" vertical="center" wrapText="1"/>
    </xf>
    <xf numFmtId="0" fontId="2" fillId="0" borderId="0" applyAlignment="1" pivotButton="0" quotePrefix="0" xfId="0">
      <alignment vertical="center"/>
    </xf>
    <xf numFmtId="0" fontId="7" fillId="0" borderId="17" applyAlignment="1" pivotButton="0" quotePrefix="0" xfId="0">
      <alignment horizontal="left" vertical="center" wrapText="1"/>
    </xf>
    <xf numFmtId="0" fontId="4" fillId="2" borderId="1" applyAlignment="1" pivotButton="0" quotePrefix="0" xfId="0">
      <alignment horizontal="center" vertical="center"/>
    </xf>
    <xf numFmtId="164" fontId="6" fillId="2" borderId="1" applyAlignment="1" pivotButton="0" quotePrefix="0" xfId="0">
      <alignment horizontal="center" vertical="center"/>
    </xf>
    <xf numFmtId="166" fontId="6"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29" applyAlignment="1" pivotButton="0" quotePrefix="0" xfId="0">
      <alignment horizontal="center" vertical="center"/>
    </xf>
    <xf numFmtId="0" fontId="4" fillId="0" borderId="38" applyAlignment="1" pivotButton="0" quotePrefix="0" xfId="0">
      <alignment horizontal="left" vertical="center" wrapText="1"/>
    </xf>
    <xf numFmtId="0" fontId="7" fillId="0" borderId="19" applyAlignment="1" pivotButton="0" quotePrefix="0" xfId="0">
      <alignment horizontal="left" vertical="center" wrapText="1"/>
    </xf>
    <xf numFmtId="0" fontId="21" fillId="0" borderId="14" applyAlignment="1" pivotButton="0" quotePrefix="0" xfId="0">
      <alignment horizontal="left" vertical="center"/>
    </xf>
    <xf numFmtId="0" fontId="21" fillId="0" borderId="19" applyAlignment="1" pivotButton="0" quotePrefix="0" xfId="0">
      <alignment horizontal="left" vertical="center"/>
    </xf>
    <xf numFmtId="0" fontId="20" fillId="0" borderId="29" applyAlignment="1" pivotButton="0" quotePrefix="0" xfId="0">
      <alignment horizontal="center" vertical="center" wrapText="1"/>
    </xf>
    <xf numFmtId="165" fontId="21" fillId="0" borderId="1" applyAlignment="1" pivotButton="0" quotePrefix="0" xfId="0">
      <alignment horizontal="center" vertical="center"/>
    </xf>
    <xf numFmtId="0" fontId="20" fillId="0" borderId="28" applyAlignment="1" pivotButton="0" quotePrefix="0" xfId="0">
      <alignment horizontal="left" vertical="center"/>
    </xf>
    <xf numFmtId="0" fontId="6" fillId="0" borderId="1" applyAlignment="1" pivotButton="0" quotePrefix="0" xfId="0">
      <alignment horizontal="center" vertical="center" wrapText="1"/>
    </xf>
    <xf numFmtId="0" fontId="7" fillId="0" borderId="39" applyAlignment="1" pivotButton="0" quotePrefix="0" xfId="0">
      <alignment horizontal="left" vertical="center" wrapText="1"/>
    </xf>
    <xf numFmtId="0" fontId="4" fillId="0" borderId="40" applyAlignment="1" pivotButton="0" quotePrefix="0" xfId="0">
      <alignment horizontal="center" vertical="center" wrapText="1"/>
    </xf>
    <xf numFmtId="0" fontId="6" fillId="0" borderId="40" applyAlignment="1" pivotButton="0" quotePrefix="0" xfId="0">
      <alignment horizontal="center" vertical="center" wrapText="1"/>
    </xf>
    <xf numFmtId="0" fontId="0" fillId="0" borderId="29" applyAlignment="1" pivotButton="0" quotePrefix="0" xfId="0">
      <alignment vertical="center"/>
    </xf>
    <xf numFmtId="0" fontId="4" fillId="0" borderId="15" applyAlignment="1" pivotButton="0" quotePrefix="0" xfId="0">
      <alignment horizontal="center" vertical="center"/>
    </xf>
    <xf numFmtId="167" fontId="6" fillId="0" borderId="16" applyAlignment="1" pivotButton="0" quotePrefix="0" xfId="0">
      <alignment horizontal="right" vertical="center"/>
    </xf>
    <xf numFmtId="165" fontId="6" fillId="0" borderId="18" applyAlignment="1" pivotButton="0" quotePrefix="0" xfId="0">
      <alignment horizontal="right" vertical="center"/>
    </xf>
    <xf numFmtId="169" fontId="6" fillId="0" borderId="18" applyAlignment="1" pivotButton="0" quotePrefix="0" xfId="0">
      <alignment horizontal="right" vertical="center"/>
    </xf>
    <xf numFmtId="167" fontId="6" fillId="0" borderId="18" applyAlignment="1" pivotButton="0" quotePrefix="0" xfId="0">
      <alignment horizontal="right" vertical="center"/>
    </xf>
    <xf numFmtId="164" fontId="6" fillId="0" borderId="18" applyAlignment="1" pivotButton="0" quotePrefix="0" xfId="0">
      <alignment horizontal="right" vertical="center"/>
    </xf>
    <xf numFmtId="166" fontId="6" fillId="0" borderId="18" applyAlignment="1" pivotButton="0" quotePrefix="0" xfId="0">
      <alignment horizontal="right" vertical="center"/>
    </xf>
    <xf numFmtId="168" fontId="6" fillId="0" borderId="18" applyAlignment="1" pivotButton="0" quotePrefix="0" xfId="0">
      <alignment horizontal="right" vertical="center"/>
    </xf>
    <xf numFmtId="167" fontId="6" fillId="0" borderId="21" applyAlignment="1" pivotButton="0" quotePrefix="0" xfId="0">
      <alignment horizontal="right" vertical="center"/>
    </xf>
    <xf numFmtId="0" fontId="14" fillId="2" borderId="14" applyAlignment="1" pivotButton="0" quotePrefix="0" xfId="0">
      <alignment horizontal="center" vertical="center" wrapText="1"/>
    </xf>
    <xf numFmtId="167" fontId="14" fillId="2" borderId="15" applyAlignment="1" pivotButton="0" quotePrefix="0" xfId="0">
      <alignment horizontal="center" vertical="center" wrapText="1"/>
    </xf>
    <xf numFmtId="167" fontId="14" fillId="2" borderId="16" applyAlignment="1" pivotButton="0" quotePrefix="0" xfId="0">
      <alignment horizontal="center" vertical="center" wrapText="1"/>
    </xf>
    <xf numFmtId="167" fontId="14" fillId="2" borderId="17" applyAlignment="1" pivotButton="0" quotePrefix="0" xfId="0">
      <alignment horizontal="right" vertical="center"/>
    </xf>
    <xf numFmtId="167" fontId="6" fillId="0" borderId="18" applyAlignment="1" pivotButton="0" quotePrefix="0" xfId="0">
      <alignment horizontal="center" vertical="center"/>
    </xf>
    <xf numFmtId="167" fontId="14" fillId="2" borderId="19" applyAlignment="1" pivotButton="0" quotePrefix="0" xfId="0">
      <alignment horizontal="right" vertical="center"/>
    </xf>
    <xf numFmtId="167" fontId="6" fillId="0" borderId="21" applyAlignment="1" pivotButton="0" quotePrefix="0" xfId="0">
      <alignment horizontal="center" vertical="center"/>
    </xf>
    <xf numFmtId="0" fontId="15" fillId="0" borderId="0" applyAlignment="1" pivotButton="0" quotePrefix="0" xfId="0">
      <alignment horizontal="left" vertical="center"/>
    </xf>
    <xf numFmtId="165" fontId="14" fillId="2" borderId="17" applyAlignment="1" pivotButton="0" quotePrefix="0" xfId="0">
      <alignment horizontal="right" vertical="center"/>
    </xf>
    <xf numFmtId="165" fontId="14" fillId="2" borderId="19" applyAlignment="1" pivotButton="0" quotePrefix="0" xfId="0">
      <alignment horizontal="right" vertical="center"/>
    </xf>
    <xf numFmtId="167"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7" fontId="6" fillId="0" borderId="40" applyAlignment="1" pivotButton="0" quotePrefix="0" xfId="0">
      <alignment horizontal="center" vertical="center" wrapText="1"/>
    </xf>
    <xf numFmtId="165" fontId="6" fillId="0" borderId="20" applyAlignment="1" pivotButton="0" quotePrefix="0" xfId="0">
      <alignment horizontal="center" vertical="center" wrapText="1"/>
    </xf>
    <xf numFmtId="167" fontId="9" fillId="0" borderId="38" applyAlignment="1" pivotButton="0" quotePrefix="0" xfId="0">
      <alignment horizontal="right" vertical="center"/>
    </xf>
    <xf numFmtId="0" fontId="4" fillId="0" borderId="0" applyAlignment="1" pivotButton="0" quotePrefix="0" xfId="0">
      <alignment horizontal="left" vertical="center"/>
    </xf>
    <xf numFmtId="0" fontId="0" fillId="0" borderId="42" applyAlignment="1" pivotButton="0" quotePrefix="0" xfId="0">
      <alignment vertical="center"/>
    </xf>
    <xf numFmtId="0" fontId="4" fillId="0" borderId="43" applyAlignment="1" pivotButton="0" quotePrefix="0" xfId="0">
      <alignment horizontal="left" vertical="center" wrapText="1"/>
    </xf>
    <xf numFmtId="167" fontId="7" fillId="0" borderId="1" applyAlignment="1" pivotButton="0" quotePrefix="0" xfId="0">
      <alignment horizontal="right" vertical="center"/>
    </xf>
    <xf numFmtId="168" fontId="21" fillId="0" borderId="42" applyAlignment="1" pivotButton="0" quotePrefix="0" xfId="0">
      <alignment horizontal="center" vertical="center"/>
    </xf>
    <xf numFmtId="168" fontId="21" fillId="0" borderId="1" applyAlignment="1" pivotButton="0" quotePrefix="0" xfId="0">
      <alignment horizontal="right" vertical="center"/>
    </xf>
    <xf numFmtId="167" fontId="20" fillId="0" borderId="1" applyAlignment="1" pivotButton="0" quotePrefix="0" xfId="0">
      <alignment horizontal="right" vertical="center"/>
    </xf>
    <xf numFmtId="167" fontId="21" fillId="0" borderId="15" applyAlignment="1" pivotButton="0" quotePrefix="0" xfId="0">
      <alignment horizontal="right" vertical="center"/>
    </xf>
    <xf numFmtId="165" fontId="7" fillId="0" borderId="20" applyAlignment="1" pivotButton="0" quotePrefix="0" xfId="0">
      <alignment horizontal="right" vertical="center"/>
    </xf>
    <xf numFmtId="0" fontId="20" fillId="0" borderId="0" applyAlignment="1" pivotButton="0" quotePrefix="0" xfId="0">
      <alignment horizontal="left" vertical="center"/>
    </xf>
    <xf numFmtId="0" fontId="5" fillId="3" borderId="16" applyAlignment="1" pivotButton="0" quotePrefix="0" xfId="0">
      <alignment horizontal="center" vertical="center" wrapText="1"/>
    </xf>
    <xf numFmtId="0" fontId="4" fillId="0" borderId="18" applyAlignment="1" pivotButton="0" quotePrefix="0" xfId="0">
      <alignment horizontal="center" vertical="center" wrapText="1"/>
    </xf>
    <xf numFmtId="0" fontId="4" fillId="0" borderId="21" applyAlignment="1" pivotButton="0" quotePrefix="0" xfId="0">
      <alignment horizontal="center" vertical="center" wrapText="1"/>
    </xf>
    <xf numFmtId="0" fontId="5" fillId="3" borderId="14" applyAlignment="1" pivotButton="0" quotePrefix="0" xfId="0">
      <alignment horizontal="center" vertical="center" wrapText="1"/>
    </xf>
    <xf numFmtId="0" fontId="0" fillId="0" borderId="28" applyAlignment="1" pivotButton="0" quotePrefix="0" xfId="0">
      <alignment vertical="center"/>
    </xf>
    <xf numFmtId="0" fontId="20" fillId="0" borderId="29" applyAlignment="1" pivotButton="0" quotePrefix="0" xfId="0">
      <alignment horizontal="left" vertical="center"/>
    </xf>
    <xf numFmtId="0" fontId="7" fillId="0" borderId="5" applyAlignment="1" pivotButton="0" quotePrefix="0" xfId="0">
      <alignment horizontal="left" vertical="center"/>
    </xf>
    <xf numFmtId="0" fontId="7" fillId="0" borderId="9" applyAlignment="1" pivotButton="0" quotePrefix="0" xfId="0">
      <alignment horizontal="left" vertical="center"/>
    </xf>
    <xf numFmtId="0" fontId="6" fillId="0" borderId="10" applyAlignment="1" pivotButton="0" quotePrefix="0" xfId="0">
      <alignment horizontal="center" vertical="center" wrapText="1"/>
    </xf>
    <xf numFmtId="0" fontId="18" fillId="0" borderId="0" applyAlignment="1" pivotButton="0" quotePrefix="0" xfId="0">
      <alignment horizontal="left" vertical="center"/>
    </xf>
    <xf numFmtId="0" fontId="12" fillId="0" borderId="0" applyAlignment="1" pivotButton="0" quotePrefix="0" xfId="0">
      <alignment horizontal="left" vertical="center" wrapText="1"/>
    </xf>
    <xf numFmtId="0" fontId="18" fillId="0" borderId="0" applyAlignment="1" pivotButton="0" quotePrefix="0" xfId="0">
      <alignment horizontal="left" vertical="top"/>
    </xf>
    <xf numFmtId="0" fontId="0" fillId="0" borderId="0" applyAlignment="1" pivotButton="0" quotePrefix="0" xfId="0">
      <alignment vertical="center" wrapText="1"/>
    </xf>
    <xf numFmtId="0" fontId="2" fillId="0" borderId="0" applyAlignment="1" pivotButton="0" quotePrefix="0" xfId="0">
      <alignment vertical="center" wrapText="1"/>
    </xf>
    <xf numFmtId="0" fontId="28" fillId="0" borderId="0" applyAlignment="1" pivotButton="0" quotePrefix="0" xfId="0">
      <alignment vertical="center" wrapText="1"/>
    </xf>
    <xf numFmtId="0" fontId="28" fillId="0" borderId="0" applyAlignment="1" pivotButton="0" quotePrefix="0" xfId="0">
      <alignment vertical="center"/>
    </xf>
    <xf numFmtId="0" fontId="2" fillId="0" borderId="47" applyAlignment="1" pivotButton="0" quotePrefix="0" xfId="0">
      <alignment vertical="center" wrapText="1"/>
    </xf>
    <xf numFmtId="0" fontId="2" fillId="0" borderId="48" applyAlignment="1" pivotButton="0" quotePrefix="0" xfId="0">
      <alignment vertical="center" wrapText="1"/>
    </xf>
    <xf numFmtId="0" fontId="0" fillId="0" borderId="44" applyAlignment="1" pivotButton="0" quotePrefix="0" xfId="0">
      <alignment vertical="center" wrapText="1"/>
    </xf>
    <xf numFmtId="0" fontId="0" fillId="0" borderId="44" applyAlignment="1" pivotButton="0" quotePrefix="0" xfId="0">
      <alignment horizontal="left" vertical="center" wrapText="1"/>
    </xf>
    <xf numFmtId="0" fontId="0" fillId="0" borderId="47" applyAlignment="1" pivotButton="0" quotePrefix="0" xfId="0">
      <alignment vertical="center"/>
    </xf>
    <xf numFmtId="0" fontId="2" fillId="0" borderId="49" applyAlignment="1" pivotButton="0" quotePrefix="0" xfId="0">
      <alignment vertical="center" wrapText="1"/>
    </xf>
    <xf numFmtId="0" fontId="0" fillId="0" borderId="51" applyAlignment="1" pivotButton="0" quotePrefix="0" xfId="0">
      <alignment vertical="center"/>
    </xf>
    <xf numFmtId="0" fontId="2" fillId="0" borderId="51" applyAlignment="1" pivotButton="0" quotePrefix="0" xfId="0">
      <alignment vertical="center" wrapText="1"/>
    </xf>
    <xf numFmtId="0" fontId="2" fillId="0" borderId="52" applyAlignment="1" pivotButton="0" quotePrefix="0" xfId="0">
      <alignment vertical="center" wrapText="1"/>
    </xf>
    <xf numFmtId="171" fontId="35" fillId="0" borderId="52" applyAlignment="1" pivotButton="0" quotePrefix="0" xfId="0">
      <alignment horizontal="left" vertical="center" wrapText="1"/>
    </xf>
    <xf numFmtId="0" fontId="35" fillId="0" borderId="48" applyAlignment="1" pivotButton="0" quotePrefix="0" xfId="0">
      <alignment horizontal="left"/>
    </xf>
    <xf numFmtId="0" fontId="35" fillId="0" borderId="48" applyAlignment="1" pivotButton="0" quotePrefix="0" xfId="0">
      <alignment horizontal="left" vertical="center" wrapText="1"/>
    </xf>
    <xf numFmtId="15" fontId="35" fillId="0" borderId="50" applyAlignment="1" pivotButton="0" quotePrefix="0" xfId="0">
      <alignment horizontal="left" vertical="center" wrapText="1"/>
    </xf>
    <xf numFmtId="0" fontId="2" fillId="0" borderId="55" applyAlignment="1" pivotButton="0" quotePrefix="0" xfId="0">
      <alignment vertical="center" wrapText="1"/>
    </xf>
    <xf numFmtId="0" fontId="2" fillId="0" borderId="56" applyAlignment="1" pivotButton="0" quotePrefix="0" xfId="0">
      <alignment vertical="center" wrapText="1"/>
    </xf>
    <xf numFmtId="0" fontId="2" fillId="0" borderId="58" applyAlignment="1" pivotButton="0" quotePrefix="0" xfId="0">
      <alignment vertical="center" wrapText="1"/>
    </xf>
    <xf numFmtId="0" fontId="2" fillId="0" borderId="59" applyAlignment="1" pivotButton="0" quotePrefix="0" xfId="0">
      <alignment vertical="center" wrapText="1"/>
    </xf>
    <xf numFmtId="0" fontId="2" fillId="0" borderId="60" applyAlignment="1" pivotButton="0" quotePrefix="0" xfId="0">
      <alignment vertical="center" wrapText="1"/>
    </xf>
    <xf numFmtId="0" fontId="2" fillId="0" borderId="61" applyAlignment="1" pivotButton="0" quotePrefix="0" xfId="0">
      <alignment vertical="center" wrapText="1"/>
    </xf>
    <xf numFmtId="0" fontId="6" fillId="0" borderId="44" applyAlignment="1" pivotButton="0" quotePrefix="0" xfId="0">
      <alignment horizontal="center" vertical="top" wrapText="1"/>
    </xf>
    <xf numFmtId="0" fontId="0" fillId="0" borderId="44" applyAlignment="1" pivotButton="0" quotePrefix="0" xfId="0">
      <alignment horizontal="center" vertical="center" wrapText="1"/>
    </xf>
    <xf numFmtId="0" fontId="0" fillId="0" borderId="0" applyAlignment="1" pivotButton="0" quotePrefix="0" xfId="0">
      <alignment horizontal="left" wrapText="1"/>
    </xf>
    <xf numFmtId="0" fontId="0" fillId="0" borderId="0" applyAlignment="1" pivotButton="0" quotePrefix="0" xfId="0">
      <alignment horizontal="left"/>
    </xf>
    <xf numFmtId="0" fontId="36" fillId="0" borderId="0" applyAlignment="1" pivotButton="0" quotePrefix="0" xfId="0">
      <alignment vertical="top" wrapText="1"/>
    </xf>
    <xf numFmtId="0" fontId="31" fillId="0" borderId="44" applyAlignment="1" pivotButton="0" quotePrefix="0" xfId="0">
      <alignment vertical="center" wrapText="1"/>
    </xf>
    <xf numFmtId="0" fontId="31" fillId="0" borderId="0" applyAlignment="1" pivotButton="0" quotePrefix="0" xfId="0">
      <alignment wrapText="1"/>
    </xf>
    <xf numFmtId="0" fontId="31" fillId="0" borderId="0" pivotButton="0" quotePrefix="0" xfId="0"/>
    <xf numFmtId="0" fontId="17" fillId="0" borderId="0" applyAlignment="1" pivotButton="0" quotePrefix="0" xfId="0">
      <alignment vertical="center"/>
    </xf>
    <xf numFmtId="0" fontId="0" fillId="0" borderId="54" applyAlignment="1" pivotButton="0" quotePrefix="0" xfId="0">
      <alignment vertical="center" wrapText="1"/>
    </xf>
    <xf numFmtId="0" fontId="0" fillId="0" borderId="51" applyAlignment="1" pivotButton="0" quotePrefix="0" xfId="0">
      <alignment vertical="center" wrapText="1"/>
    </xf>
    <xf numFmtId="0" fontId="0" fillId="0" borderId="47" applyAlignment="1" pivotButton="0" quotePrefix="0" xfId="0">
      <alignment vertical="center" wrapText="1"/>
    </xf>
    <xf numFmtId="0" fontId="0" fillId="0" borderId="49" applyAlignment="1" pivotButton="0" quotePrefix="0" xfId="0">
      <alignment vertical="center" wrapText="1"/>
    </xf>
    <xf numFmtId="0" fontId="31" fillId="0" borderId="0" applyAlignment="1" pivotButton="0" quotePrefix="0" xfId="0">
      <alignment vertical="center"/>
    </xf>
    <xf numFmtId="0" fontId="33" fillId="0" borderId="0" applyAlignment="1" pivotButton="0" quotePrefix="0" xfId="0">
      <alignment vertical="center"/>
    </xf>
    <xf numFmtId="0" fontId="0" fillId="0" borderId="0" applyAlignment="1" pivotButton="0" quotePrefix="0" xfId="0">
      <alignment horizontal="left" vertical="center" wrapText="1"/>
    </xf>
    <xf numFmtId="0" fontId="0" fillId="0" borderId="48" applyAlignment="1" pivotButton="0" quotePrefix="0" xfId="0">
      <alignment horizontal="center" vertical="center" wrapText="1"/>
    </xf>
    <xf numFmtId="0" fontId="0" fillId="0" borderId="65" applyAlignment="1" pivotButton="0" quotePrefix="0" xfId="0">
      <alignment vertical="center" wrapText="1"/>
    </xf>
    <xf numFmtId="0" fontId="0" fillId="0" borderId="50" applyAlignment="1" pivotButton="0" quotePrefix="0" xfId="0">
      <alignment horizontal="center" vertical="center" wrapText="1"/>
    </xf>
    <xf numFmtId="0" fontId="0" fillId="0" borderId="52" applyAlignment="1" pivotButton="0" quotePrefix="0" xfId="0">
      <alignment horizontal="center" vertical="center" wrapText="1"/>
    </xf>
    <xf numFmtId="0" fontId="37" fillId="0" borderId="48" applyAlignment="1" pivotButton="0" quotePrefix="0" xfId="0">
      <alignment horizontal="left" vertical="center" wrapText="1"/>
    </xf>
    <xf numFmtId="0" fontId="37" fillId="0" borderId="50" applyAlignment="1" pivotButton="0" quotePrefix="0" xfId="0">
      <alignment horizontal="left" vertical="center" wrapText="1"/>
    </xf>
    <xf numFmtId="0" fontId="37" fillId="0" borderId="54" applyAlignment="1" pivotButton="0" quotePrefix="0" xfId="0">
      <alignment horizontal="center" vertical="center" wrapText="1"/>
    </xf>
    <xf numFmtId="0" fontId="37" fillId="0" borderId="44" applyAlignment="1" pivotButton="0" quotePrefix="0" xfId="0">
      <alignment horizontal="center" vertical="center" wrapText="1"/>
    </xf>
    <xf numFmtId="0" fontId="37" fillId="0" borderId="65" applyAlignment="1" pivotButton="0" quotePrefix="0" xfId="0">
      <alignment horizontal="center" vertical="center" wrapText="1"/>
    </xf>
    <xf numFmtId="0" fontId="0" fillId="0" borderId="57" applyAlignment="1" pivotButton="0" quotePrefix="0" xfId="0">
      <alignment vertical="center"/>
    </xf>
    <xf numFmtId="0" fontId="0" fillId="0" borderId="66" applyAlignment="1" pivotButton="0" quotePrefix="0" xfId="0">
      <alignment vertical="center"/>
    </xf>
    <xf numFmtId="0" fontId="0" fillId="0" borderId="58" applyAlignment="1" pivotButton="0" quotePrefix="0" xfId="0">
      <alignment vertical="center"/>
    </xf>
    <xf numFmtId="0" fontId="0" fillId="0" borderId="59" applyAlignment="1" pivotButton="0" quotePrefix="0" xfId="0">
      <alignment vertical="center"/>
    </xf>
    <xf numFmtId="0" fontId="38" fillId="0" borderId="52" applyAlignment="1" pivotButton="0" quotePrefix="0" xfId="2">
      <alignment horizontal="left" vertical="center" wrapText="1"/>
    </xf>
    <xf numFmtId="171" fontId="37" fillId="0" borderId="48" applyAlignment="1" pivotButton="0" quotePrefix="0" xfId="0">
      <alignment horizontal="left" vertical="center" wrapText="1"/>
    </xf>
    <xf numFmtId="14" fontId="37" fillId="0" borderId="52" applyAlignment="1" pivotButton="0" quotePrefix="0" xfId="0">
      <alignment horizontal="center" vertical="center" wrapText="1"/>
    </xf>
    <xf numFmtId="14" fontId="37" fillId="0" borderId="67" applyAlignment="1" pivotButton="0" quotePrefix="0" xfId="0">
      <alignment horizontal="center" vertical="center" wrapText="1"/>
    </xf>
    <xf numFmtId="0" fontId="37" fillId="5" borderId="44" applyAlignment="1" pivotButton="0" quotePrefix="0" xfId="0">
      <alignment horizontal="center" vertical="center" wrapText="1"/>
    </xf>
    <xf numFmtId="0" fontId="37" fillId="5" borderId="65" applyAlignment="1" pivotButton="0" quotePrefix="0" xfId="0">
      <alignment horizontal="center" vertical="center" wrapText="1"/>
    </xf>
    <xf numFmtId="0" fontId="22" fillId="0" borderId="0" applyAlignment="1" pivotButton="0" quotePrefix="0" xfId="0">
      <alignment horizontal="left" vertical="center"/>
    </xf>
    <xf numFmtId="0" fontId="6" fillId="0" borderId="74" applyAlignment="1" pivotButton="0" quotePrefix="0" xfId="0">
      <alignment horizontal="left" vertical="center" wrapText="1"/>
    </xf>
    <xf numFmtId="165" fontId="6" fillId="0" borderId="7" applyAlignment="1" pivotButton="0" quotePrefix="0" xfId="0">
      <alignment horizontal="right" vertical="center" wrapText="1"/>
    </xf>
    <xf numFmtId="0" fontId="4" fillId="0" borderId="7" applyAlignment="1" pivotButton="0" quotePrefix="0" xfId="0">
      <alignment horizontal="left" vertical="center" wrapText="1"/>
    </xf>
    <xf numFmtId="167" fontId="6" fillId="0" borderId="7" applyAlignment="1" pivotButton="0" quotePrefix="0" xfId="0">
      <alignment horizontal="center" vertical="center" wrapText="1"/>
    </xf>
    <xf numFmtId="0" fontId="4" fillId="0" borderId="75" applyAlignment="1" pivotButton="0" quotePrefix="0" xfId="0">
      <alignment horizontal="left" vertical="center" wrapText="1"/>
    </xf>
    <xf numFmtId="0" fontId="6" fillId="0" borderId="69" applyAlignment="1" pivotButton="0" quotePrefix="0" xfId="0">
      <alignment horizontal="left" vertical="center" wrapText="1"/>
    </xf>
    <xf numFmtId="165" fontId="6" fillId="0" borderId="1" applyAlignment="1" pivotButton="0" quotePrefix="0" xfId="0">
      <alignment horizontal="right" vertical="center" wrapText="1"/>
    </xf>
    <xf numFmtId="0" fontId="4" fillId="0" borderId="70" applyAlignment="1" pivotButton="0" quotePrefix="0" xfId="0">
      <alignment horizontal="left" vertical="center" wrapText="1"/>
    </xf>
    <xf numFmtId="0" fontId="21" fillId="0" borderId="71" applyAlignment="1" pivotButton="0" quotePrefix="0" xfId="0">
      <alignment horizontal="left" vertical="center" wrapText="1"/>
    </xf>
    <xf numFmtId="165" fontId="7" fillId="0" borderId="72" applyAlignment="1" pivotButton="0" quotePrefix="0" xfId="0">
      <alignment horizontal="right" vertical="center" wrapText="1"/>
    </xf>
    <xf numFmtId="0" fontId="0" fillId="0" borderId="72" applyAlignment="1" pivotButton="0" quotePrefix="0" xfId="0">
      <alignment vertical="center" wrapText="1"/>
    </xf>
    <xf numFmtId="164" fontId="21" fillId="0" borderId="72" applyAlignment="1" pivotButton="0" quotePrefix="0" xfId="0">
      <alignment horizontal="center" vertical="center" wrapText="1"/>
    </xf>
    <xf numFmtId="0" fontId="4" fillId="0" borderId="73" applyAlignment="1" pivotButton="0" quotePrefix="0" xfId="0">
      <alignment horizontal="left" vertical="center" wrapText="1"/>
    </xf>
    <xf numFmtId="0" fontId="0" fillId="0" borderId="48" applyAlignment="1" pivotButton="0" quotePrefix="0" xfId="0">
      <alignment vertical="center" wrapText="1"/>
    </xf>
    <xf numFmtId="0" fontId="0" fillId="0" borderId="50" applyAlignment="1" pivotButton="0" quotePrefix="0" xfId="0">
      <alignment vertical="center" wrapText="1"/>
    </xf>
    <xf numFmtId="0" fontId="39" fillId="0" borderId="52" applyAlignment="1" pivotButton="0" quotePrefix="0" xfId="0">
      <alignment vertical="center" wrapText="1"/>
    </xf>
    <xf numFmtId="0" fontId="39" fillId="0" borderId="48" applyAlignment="1" pivotButton="0" quotePrefix="0" xfId="0">
      <alignment vertical="center" wrapText="1"/>
    </xf>
    <xf numFmtId="0" fontId="39" fillId="0" borderId="50" applyAlignment="1" pivotButton="0" quotePrefix="0" xfId="0">
      <alignment vertical="center" wrapText="1"/>
    </xf>
    <xf numFmtId="0" fontId="2" fillId="0" borderId="0" applyAlignment="1" pivotButton="0" quotePrefix="0" xfId="0">
      <alignment horizontal="left" indent="2"/>
    </xf>
    <xf numFmtId="0" fontId="17" fillId="0" borderId="47" applyAlignment="1" pivotButton="0" quotePrefix="0" xfId="0">
      <alignment horizontal="left" vertical="top"/>
    </xf>
    <xf numFmtId="0" fontId="17" fillId="0" borderId="49" applyAlignment="1" pivotButton="0" quotePrefix="0" xfId="0">
      <alignment horizontal="left" vertical="top"/>
    </xf>
    <xf numFmtId="0" fontId="17" fillId="0" borderId="51" applyAlignment="1" pivotButton="0" quotePrefix="0" xfId="0">
      <alignment horizontal="left" vertical="top"/>
    </xf>
    <xf numFmtId="0" fontId="42" fillId="0" borderId="52" applyAlignment="1" pivotButton="0" quotePrefix="0" xfId="0">
      <alignment horizontal="left" vertical="top"/>
    </xf>
    <xf numFmtId="171" fontId="42" fillId="0" borderId="48" applyAlignment="1" pivotButton="0" quotePrefix="0" xfId="0">
      <alignment horizontal="left" vertical="top"/>
    </xf>
    <xf numFmtId="0" fontId="42" fillId="0" borderId="48" applyAlignment="1" pivotButton="0" quotePrefix="0" xfId="0">
      <alignment horizontal="left" vertical="top"/>
    </xf>
    <xf numFmtId="14" fontId="42" fillId="0" borderId="48" applyAlignment="1" pivotButton="0" quotePrefix="0" xfId="0">
      <alignment horizontal="left" vertical="top"/>
    </xf>
    <xf numFmtId="0" fontId="42" fillId="0" borderId="50" applyAlignment="1" pivotButton="0" quotePrefix="0" xfId="0">
      <alignment horizontal="left" vertical="top"/>
    </xf>
    <xf numFmtId="0" fontId="0" fillId="0" borderId="0" applyAlignment="1" pivotButton="0" quotePrefix="0" xfId="0">
      <alignment horizontal="center" vertical="center" wrapText="1"/>
    </xf>
    <xf numFmtId="0" fontId="41" fillId="0" borderId="52" applyAlignment="1" pivotButton="0" quotePrefix="0" xfId="0">
      <alignment horizontal="center" vertical="top"/>
    </xf>
    <xf numFmtId="171" fontId="41" fillId="0" borderId="48" applyAlignment="1" pivotButton="0" quotePrefix="0" xfId="0">
      <alignment horizontal="center" vertical="top"/>
    </xf>
    <xf numFmtId="0" fontId="41" fillId="0" borderId="48" applyAlignment="1" pivotButton="0" quotePrefix="0" xfId="0">
      <alignment horizontal="center" vertical="top"/>
    </xf>
    <xf numFmtId="1" fontId="41" fillId="0" borderId="48" applyAlignment="1" pivotButton="0" quotePrefix="0" xfId="0">
      <alignment horizontal="center" vertical="top"/>
    </xf>
    <xf numFmtId="0" fontId="41" fillId="0" borderId="50" applyAlignment="1" pivotButton="0" quotePrefix="0" xfId="0">
      <alignment horizontal="center" vertical="top"/>
    </xf>
    <xf numFmtId="0" fontId="28" fillId="0" borderId="51" applyAlignment="1" pivotButton="0" quotePrefix="0" xfId="0">
      <alignment vertical="center" wrapText="1"/>
    </xf>
    <xf numFmtId="0" fontId="28" fillId="0" borderId="47" applyAlignment="1" pivotButton="0" quotePrefix="0" xfId="0">
      <alignment vertical="center" wrapText="1"/>
    </xf>
    <xf numFmtId="0" fontId="28" fillId="0" borderId="49" applyAlignment="1" pivotButton="0" quotePrefix="0" xfId="0">
      <alignment vertical="center" wrapText="1"/>
    </xf>
    <xf numFmtId="0" fontId="43" fillId="3" borderId="68" applyAlignment="1" pivotButton="0" quotePrefix="0" xfId="0">
      <alignment horizontal="left" wrapText="1"/>
    </xf>
    <xf numFmtId="0" fontId="43" fillId="3" borderId="68" applyAlignment="1" pivotButton="0" quotePrefix="0" xfId="0">
      <alignment horizontal="center" wrapText="1"/>
    </xf>
    <xf numFmtId="0" fontId="43" fillId="3" borderId="76" applyAlignment="1" pivotButton="0" quotePrefix="0" xfId="0">
      <alignment horizontal="left" vertical="center" wrapText="1"/>
    </xf>
    <xf numFmtId="0" fontId="43" fillId="3" borderId="77" applyAlignment="1" pivotButton="0" quotePrefix="0" xfId="0">
      <alignment horizontal="center" vertical="center" wrapText="1"/>
    </xf>
    <xf numFmtId="0" fontId="43" fillId="3" borderId="77" applyAlignment="1" pivotButton="0" quotePrefix="0" xfId="0">
      <alignment horizontal="left" vertical="center" wrapText="1"/>
    </xf>
    <xf numFmtId="0" fontId="43" fillId="3" borderId="78" applyAlignment="1" pivotButton="0" quotePrefix="0" xfId="0">
      <alignment horizontal="left" vertical="center" wrapText="1"/>
    </xf>
    <xf numFmtId="0" fontId="43" fillId="3" borderId="76" applyAlignment="1" pivotButton="0" quotePrefix="0" xfId="0">
      <alignment vertical="center" wrapText="1"/>
    </xf>
    <xf numFmtId="0" fontId="43" fillId="3" borderId="78" applyAlignment="1" pivotButton="0" quotePrefix="0" xfId="0">
      <alignment vertical="center" wrapText="1"/>
    </xf>
    <xf numFmtId="0" fontId="43" fillId="3" borderId="62" applyAlignment="1" pivotButton="0" quotePrefix="0" xfId="0">
      <alignment horizontal="left"/>
    </xf>
    <xf numFmtId="0" fontId="43" fillId="3" borderId="63" applyAlignment="1" pivotButton="0" quotePrefix="0" xfId="0">
      <alignment horizontal="left"/>
    </xf>
    <xf numFmtId="0" fontId="43" fillId="3" borderId="63" applyAlignment="1" pivotButton="0" quotePrefix="0" xfId="0">
      <alignment horizontal="center"/>
    </xf>
    <xf numFmtId="0" fontId="44" fillId="3" borderId="0" applyAlignment="1" pivotButton="0" quotePrefix="0" xfId="0">
      <alignment horizontal="left" vertical="center"/>
    </xf>
    <xf numFmtId="0" fontId="0" fillId="0" borderId="0" applyAlignment="1" pivotButton="0" quotePrefix="0" xfId="0">
      <alignment horizontal="center"/>
    </xf>
    <xf numFmtId="0" fontId="12" fillId="0" borderId="0" applyAlignment="1" pivotButton="0" quotePrefix="0" xfId="0">
      <alignment horizontal="left" vertical="top"/>
    </xf>
    <xf numFmtId="0" fontId="7" fillId="0" borderId="45" applyAlignment="1" pivotButton="0" quotePrefix="0" xfId="0">
      <alignment horizontal="left" vertical="top"/>
    </xf>
    <xf numFmtId="0" fontId="6" fillId="0" borderId="49" applyAlignment="1" pivotButton="0" quotePrefix="0" xfId="0">
      <alignment horizontal="left" vertical="top"/>
    </xf>
    <xf numFmtId="167" fontId="7" fillId="0" borderId="50" applyAlignment="1" pivotButton="0" quotePrefix="0" xfId="0">
      <alignment horizontal="center" vertical="top" wrapText="1"/>
    </xf>
    <xf numFmtId="0" fontId="46" fillId="2" borderId="46" applyAlignment="1" pivotButton="0" quotePrefix="0" xfId="0">
      <alignment horizontal="center" vertical="top" wrapText="1"/>
    </xf>
    <xf numFmtId="0" fontId="4" fillId="0" borderId="22" applyAlignment="1" pivotButton="0" quotePrefix="0" xfId="0">
      <alignment horizontal="center" vertical="center" wrapText="1"/>
    </xf>
    <xf numFmtId="0" fontId="4" fillId="0" borderId="26" applyAlignment="1" pivotButton="0" quotePrefix="0" xfId="0">
      <alignment horizontal="center" vertical="center" wrapText="1"/>
    </xf>
    <xf numFmtId="0" fontId="4" fillId="0" borderId="28" applyAlignment="1" pivotButton="0" quotePrefix="0" xfId="0">
      <alignment horizontal="center" vertical="center" wrapText="1"/>
    </xf>
    <xf numFmtId="0" fontId="21" fillId="0" borderId="0" applyAlignment="1" pivotButton="0" quotePrefix="0" xfId="0">
      <alignment horizontal="left" vertical="top"/>
    </xf>
    <xf numFmtId="0" fontId="9" fillId="0" borderId="0" applyAlignment="1" pivotButton="0" quotePrefix="0" xfId="0">
      <alignment horizontal="left" vertical="top"/>
    </xf>
    <xf numFmtId="0" fontId="4" fillId="0" borderId="24" applyAlignment="1" pivotButton="0" quotePrefix="0" xfId="0">
      <alignment horizontal="left" vertical="center" wrapText="1"/>
    </xf>
    <xf numFmtId="0" fontId="4" fillId="0" borderId="25" applyAlignment="1" pivotButton="0" quotePrefix="0" xfId="0">
      <alignment horizontal="left" vertical="center" wrapText="1"/>
    </xf>
    <xf numFmtId="0" fontId="4" fillId="0" borderId="12" applyAlignment="1" pivotButton="0" quotePrefix="0" xfId="0">
      <alignment horizontal="left" vertical="center" wrapText="1"/>
    </xf>
    <xf numFmtId="0" fontId="4" fillId="0" borderId="27" applyAlignment="1" pivotButton="0" quotePrefix="0" xfId="0">
      <alignment horizontal="left" vertical="center" wrapText="1"/>
    </xf>
    <xf numFmtId="0" fontId="4" fillId="0" borderId="31" applyAlignment="1" pivotButton="0" quotePrefix="0" xfId="0">
      <alignment horizontal="left" vertical="center" wrapText="1"/>
    </xf>
    <xf numFmtId="0" fontId="4" fillId="0" borderId="32" applyAlignment="1" pivotButton="0" quotePrefix="0" xfId="0">
      <alignment horizontal="left" vertical="center" wrapText="1"/>
    </xf>
    <xf numFmtId="0" fontId="4" fillId="0" borderId="23" applyAlignment="1" pivotButton="0" quotePrefix="0" xfId="0">
      <alignment horizontal="center" vertical="center" wrapText="1"/>
    </xf>
    <xf numFmtId="0" fontId="4" fillId="0" borderId="13" applyAlignment="1" pivotButton="0" quotePrefix="0" xfId="0">
      <alignment horizontal="center" vertical="center" wrapText="1"/>
    </xf>
    <xf numFmtId="0" fontId="4" fillId="0" borderId="29" applyAlignment="1" pivotButton="0" quotePrefix="0" xfId="0">
      <alignment horizontal="center" vertical="center" wrapText="1"/>
    </xf>
    <xf numFmtId="0" fontId="5" fillId="3" borderId="12" applyAlignment="1" pivotButton="0" quotePrefix="0" xfId="0">
      <alignment horizontal="center" vertical="center" wrapText="1"/>
    </xf>
    <xf numFmtId="0" fontId="5" fillId="3" borderId="0" applyAlignment="1" pivotButton="0" quotePrefix="0" xfId="0">
      <alignment horizontal="center" vertical="center" wrapText="1"/>
    </xf>
    <xf numFmtId="0" fontId="4" fillId="0" borderId="15" applyAlignment="1" pivotButton="0" quotePrefix="0" xfId="0">
      <alignment horizontal="left" vertical="center" wrapText="1"/>
    </xf>
    <xf numFmtId="0" fontId="4" fillId="0" borderId="16" applyAlignment="1" pivotButton="0" quotePrefix="0" xfId="0">
      <alignment horizontal="left" vertical="center" wrapText="1"/>
    </xf>
    <xf numFmtId="0" fontId="4" fillId="0" borderId="1" applyAlignment="1" pivotButton="0" quotePrefix="0" xfId="0">
      <alignment horizontal="left" vertical="center" wrapText="1"/>
    </xf>
    <xf numFmtId="0" fontId="4" fillId="0" borderId="18" applyAlignment="1" pivotButton="0" quotePrefix="0" xfId="0">
      <alignment horizontal="left" vertical="center" wrapText="1"/>
    </xf>
    <xf numFmtId="0" fontId="4" fillId="0" borderId="20" applyAlignment="1" pivotButton="0" quotePrefix="0" xfId="0">
      <alignment horizontal="left" vertical="center" wrapText="1"/>
    </xf>
    <xf numFmtId="0" fontId="4" fillId="0" borderId="21" applyAlignment="1" pivotButton="0" quotePrefix="0" xfId="0">
      <alignment horizontal="left" vertical="center" wrapText="1"/>
    </xf>
    <xf numFmtId="0" fontId="7" fillId="0" borderId="23"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29" applyAlignment="1" pivotButton="0" quotePrefix="0" xfId="0">
      <alignment horizontal="center" vertical="center" wrapText="1"/>
    </xf>
    <xf numFmtId="0" fontId="4" fillId="0" borderId="15"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20" applyAlignment="1" pivotButton="0" quotePrefix="0" xfId="0">
      <alignment horizontal="center" vertical="center" wrapText="1"/>
    </xf>
    <xf numFmtId="0" fontId="23" fillId="3" borderId="0" applyAlignment="1" pivotButton="0" quotePrefix="0" xfId="0">
      <alignment horizontal="left" vertical="center"/>
    </xf>
    <xf numFmtId="0" fontId="13" fillId="0" borderId="0" applyAlignment="1" pivotButton="0" quotePrefix="0" xfId="0">
      <alignment horizontal="left" vertical="top"/>
    </xf>
    <xf numFmtId="0" fontId="17" fillId="0" borderId="0" applyAlignment="1" pivotButton="0" quotePrefix="0" xfId="0">
      <alignment horizontal="left" vertical="top"/>
    </xf>
    <xf numFmtId="0" fontId="18" fillId="0" borderId="0" applyAlignment="1" pivotButton="0" quotePrefix="0" xfId="0">
      <alignment horizontal="left" vertical="top" wrapText="1"/>
    </xf>
    <xf numFmtId="0" fontId="7" fillId="0" borderId="15"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20"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7" applyAlignment="1" pivotButton="0" quotePrefix="0" xfId="0">
      <alignment horizontal="center" vertical="center" wrapText="1"/>
    </xf>
    <xf numFmtId="0" fontId="4" fillId="0" borderId="19" applyAlignment="1" pivotButton="0" quotePrefix="0" xfId="0">
      <alignment horizontal="center" vertical="center" wrapText="1"/>
    </xf>
    <xf numFmtId="0" fontId="34" fillId="0" borderId="0" applyAlignment="1" pivotButton="0" quotePrefix="0" xfId="0">
      <alignment vertical="center"/>
    </xf>
    <xf numFmtId="0" fontId="44" fillId="3" borderId="0" applyAlignment="1" pivotButton="0" quotePrefix="0" xfId="0">
      <alignment horizontal="left" vertical="center"/>
    </xf>
    <xf numFmtId="0" fontId="32" fillId="0" borderId="0" applyAlignment="1" pivotButton="0" quotePrefix="0" xfId="0">
      <alignment horizontal="left" vertical="center"/>
    </xf>
    <xf numFmtId="0" fontId="29" fillId="0" borderId="0" applyAlignment="1" pivotButton="0" quotePrefix="0" xfId="0">
      <alignment vertical="center" wrapText="1"/>
    </xf>
    <xf numFmtId="0" fontId="30"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17" fillId="4" borderId="64" applyAlignment="1" pivotButton="0" quotePrefix="0" xfId="0">
      <alignment horizontal="center" wrapText="1"/>
    </xf>
    <xf numFmtId="0" fontId="4" fillId="0" borderId="0" applyAlignment="1" pivotButton="0" quotePrefix="0" xfId="0">
      <alignment horizontal="left" vertical="top" wrapText="1"/>
    </xf>
    <xf numFmtId="0" fontId="44" fillId="3" borderId="0" applyAlignment="1" pivotButton="0" quotePrefix="0" xfId="0">
      <alignment horizontal="left" vertical="top"/>
    </xf>
    <xf numFmtId="0" fontId="28" fillId="0" borderId="0" applyAlignment="1" pivotButton="0" quotePrefix="0" xfId="0">
      <alignment horizontal="left" vertical="center" wrapText="1" indent="1"/>
    </xf>
    <xf numFmtId="0" fontId="13" fillId="0" borderId="0" applyAlignment="1" pivotButton="0" quotePrefix="0" xfId="0">
      <alignment horizontal="left" vertical="center"/>
    </xf>
    <xf numFmtId="0" fontId="40" fillId="0" borderId="0" applyAlignment="1" pivotButton="0" quotePrefix="0" xfId="0">
      <alignment vertical="center"/>
    </xf>
    <xf numFmtId="0" fontId="40" fillId="0" borderId="0" applyAlignment="1" pivotButton="0" quotePrefix="0" xfId="0">
      <alignment horizontal="left" vertical="center" indent="7"/>
    </xf>
    <xf numFmtId="0" fontId="13" fillId="0" borderId="4" applyAlignment="1" pivotButton="0" quotePrefix="0" xfId="0">
      <alignment horizontal="left" vertical="top"/>
    </xf>
    <xf numFmtId="0" fontId="12" fillId="0" borderId="44" applyAlignment="1" pivotButton="0" quotePrefix="0" xfId="0">
      <alignment horizontal="left" vertical="top"/>
    </xf>
    <xf numFmtId="0" fontId="45" fillId="0" borderId="44" applyAlignment="1" pivotButton="0" quotePrefix="0" xfId="0">
      <alignment horizontal="left" vertical="top"/>
    </xf>
    <xf numFmtId="0" fontId="21" fillId="0" borderId="33" applyAlignment="1" pivotButton="0" quotePrefix="0" xfId="0">
      <alignment horizontal="left" vertical="center"/>
    </xf>
    <xf numFmtId="0" fontId="21" fillId="0" borderId="34" applyAlignment="1" pivotButton="0" quotePrefix="0" xfId="0">
      <alignment horizontal="left" vertical="center"/>
    </xf>
    <xf numFmtId="0" fontId="21" fillId="0" borderId="35" applyAlignment="1" pivotButton="0" quotePrefix="0" xfId="0">
      <alignment horizontal="left" vertical="center"/>
    </xf>
    <xf numFmtId="0" fontId="12" fillId="0" borderId="0" applyAlignment="1" pivotButton="0" quotePrefix="0" xfId="0">
      <alignment horizontal="left" vertical="top" wrapText="1"/>
    </xf>
    <xf numFmtId="0" fontId="9" fillId="0" borderId="17" applyAlignment="1" pivotButton="0" quotePrefix="0" xfId="0">
      <alignment horizontal="left" vertical="center"/>
    </xf>
    <xf numFmtId="0" fontId="9" fillId="0" borderId="1" applyAlignment="1" pivotButton="0" quotePrefix="0" xfId="0">
      <alignment horizontal="left" vertical="center"/>
    </xf>
    <xf numFmtId="0" fontId="9" fillId="0" borderId="18" applyAlignment="1" pivotButton="0" quotePrefix="0" xfId="0">
      <alignment horizontal="left" vertical="center"/>
    </xf>
    <xf numFmtId="0" fontId="7" fillId="0" borderId="0" applyAlignment="1" pivotButton="0" quotePrefix="0" xfId="0">
      <alignment horizontal="left" vertical="top"/>
    </xf>
    <xf numFmtId="0" fontId="18" fillId="0" borderId="0" applyAlignment="1" pivotButton="0" quotePrefix="0" xfId="0">
      <alignment horizontal="left" vertical="top"/>
    </xf>
    <xf numFmtId="0" fontId="4" fillId="0" borderId="0" applyAlignment="1" pivotButton="0" quotePrefix="0" xfId="0">
      <alignment horizontal="left" vertical="top"/>
    </xf>
    <xf numFmtId="49" fontId="6" fillId="0" borderId="2" applyAlignment="1" pivotButton="0" quotePrefix="0" xfId="0">
      <alignment horizontal="center" vertical="center"/>
    </xf>
    <xf numFmtId="49" fontId="6" fillId="0" borderId="5" applyAlignment="1" pivotButton="0" quotePrefix="0" xfId="0">
      <alignment horizontal="center" vertical="center"/>
    </xf>
    <xf numFmtId="0" fontId="13" fillId="0" borderId="0" applyAlignment="1" pivotButton="0" quotePrefix="0" xfId="0">
      <alignment horizontal="left" vertical="top" wrapText="1"/>
    </xf>
    <xf numFmtId="0" fontId="12" fillId="0" borderId="0" applyAlignment="1" pivotButton="0" quotePrefix="0" xfId="0">
      <alignment horizontal="left" vertical="center" wrapText="1"/>
    </xf>
    <xf numFmtId="0" fontId="18" fillId="0" borderId="0" applyAlignment="1" pivotButton="0" quotePrefix="0" xfId="0">
      <alignment horizontal="left" vertical="center" wrapText="1"/>
    </xf>
    <xf numFmtId="0" fontId="21" fillId="0" borderId="36" applyAlignment="1" pivotButton="0" quotePrefix="0" xfId="0">
      <alignment horizontal="left" vertical="center"/>
    </xf>
    <xf numFmtId="0" fontId="21" fillId="0" borderId="37" applyAlignment="1" pivotButton="0" quotePrefix="0" xfId="0">
      <alignment horizontal="left" vertical="center"/>
    </xf>
    <xf numFmtId="0" fontId="21" fillId="0" borderId="3" applyAlignment="1" pivotButton="0" quotePrefix="0" xfId="0">
      <alignment horizontal="left" vertical="center"/>
    </xf>
    <xf numFmtId="0" fontId="4" fillId="0" borderId="1" applyAlignment="1" pivotButton="0" quotePrefix="0" xfId="0">
      <alignment vertical="center" wrapText="1"/>
    </xf>
    <xf numFmtId="0" fontId="5" fillId="3" borderId="1" applyAlignment="1" pivotButton="0" quotePrefix="0" xfId="0">
      <alignment vertical="center" wrapText="1"/>
    </xf>
    <xf numFmtId="0" fontId="7" fillId="0" borderId="1" applyAlignment="1" pivotButton="0" quotePrefix="0" xfId="0">
      <alignment horizontal="left" vertical="center" wrapText="1"/>
    </xf>
    <xf numFmtId="0" fontId="5" fillId="3" borderId="1" applyAlignment="1" pivotButton="0" quotePrefix="0" xfId="0">
      <alignment horizontal="left" vertical="center" wrapText="1"/>
    </xf>
    <xf numFmtId="0" fontId="21" fillId="0" borderId="0" applyAlignment="1" pivotButton="0" quotePrefix="0" xfId="0">
      <alignment horizontal="left" vertical="center"/>
    </xf>
    <xf numFmtId="0" fontId="7" fillId="0" borderId="28" applyAlignment="1" pivotButton="0" quotePrefix="0" xfId="0">
      <alignment horizontal="left" vertical="center"/>
    </xf>
    <xf numFmtId="0" fontId="7" fillId="0" borderId="29" applyAlignment="1" pivotButton="0" quotePrefix="0" xfId="0">
      <alignment horizontal="left" vertical="center"/>
    </xf>
    <xf numFmtId="0" fontId="6" fillId="0" borderId="14" applyAlignment="1" pivotButton="0" quotePrefix="0" xfId="0">
      <alignment vertical="center" wrapText="1"/>
    </xf>
    <xf numFmtId="0" fontId="6" fillId="0" borderId="15" applyAlignment="1" pivotButton="0" quotePrefix="0" xfId="0">
      <alignment vertical="center" wrapText="1"/>
    </xf>
    <xf numFmtId="0" fontId="6" fillId="0" borderId="17" applyAlignment="1" pivotButton="0" quotePrefix="0" xfId="0">
      <alignment vertical="center" wrapText="1"/>
    </xf>
    <xf numFmtId="0" fontId="6" fillId="0" borderId="1" applyAlignment="1" pivotButton="0" quotePrefix="0" xfId="0">
      <alignment vertical="center" wrapText="1"/>
    </xf>
    <xf numFmtId="0" fontId="5" fillId="3" borderId="15" applyAlignment="1" pivotButton="0" quotePrefix="0" xfId="0">
      <alignment horizontal="left" vertical="center" wrapText="1"/>
    </xf>
    <xf numFmtId="0" fontId="5" fillId="3" borderId="16" applyAlignment="1" pivotButton="0" quotePrefix="0" xfId="0">
      <alignment horizontal="left" vertical="center" wrapText="1"/>
    </xf>
    <xf numFmtId="0" fontId="17" fillId="0" borderId="0" applyAlignment="1" pivotButton="0" quotePrefix="0" xfId="0">
      <alignment horizontal="left" vertical="center"/>
    </xf>
    <xf numFmtId="0" fontId="6" fillId="0" borderId="19" applyAlignment="1" pivotButton="0" quotePrefix="0" xfId="0">
      <alignment vertical="center" wrapText="1"/>
    </xf>
    <xf numFmtId="0" fontId="6" fillId="0" borderId="20" applyAlignment="1" pivotButton="0" quotePrefix="0" xfId="0">
      <alignment vertical="center" wrapText="1"/>
    </xf>
    <xf numFmtId="0" fontId="13" fillId="0" borderId="0" applyAlignment="1" pivotButton="0" quotePrefix="0" xfId="0">
      <alignment horizontal="left" vertical="center" wrapText="1"/>
    </xf>
    <xf numFmtId="0" fontId="4" fillId="0" borderId="0"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left" vertical="center" wrapText="1"/>
    </xf>
    <xf numFmtId="0" fontId="7" fillId="0" borderId="14" applyAlignment="1" pivotButton="0" quotePrefix="0" xfId="0">
      <alignment horizontal="left" vertical="center" wrapText="1"/>
    </xf>
    <xf numFmtId="0" fontId="7" fillId="0" borderId="15" applyAlignment="1" pivotButton="0" quotePrefix="0" xfId="0">
      <alignment horizontal="left" vertical="center" wrapText="1"/>
    </xf>
    <xf numFmtId="0" fontId="7" fillId="0" borderId="17" applyAlignment="1" pivotButton="0" quotePrefix="0" xfId="0">
      <alignment horizontal="left" vertical="center" wrapText="1"/>
    </xf>
    <xf numFmtId="0" fontId="7" fillId="0" borderId="41" applyAlignment="1" pivotButton="0" quotePrefix="0" xfId="0">
      <alignment horizontal="left" vertical="center"/>
    </xf>
    <xf numFmtId="0" fontId="7" fillId="0" borderId="42" applyAlignment="1" pivotButton="0" quotePrefix="0" xfId="0">
      <alignment horizontal="left" vertical="center"/>
    </xf>
    <xf numFmtId="0" fontId="11" fillId="0" borderId="1" applyAlignment="1" pivotButton="0" quotePrefix="0" xfId="0">
      <alignment horizontal="center" vertical="center" wrapText="1"/>
    </xf>
    <xf numFmtId="0" fontId="11" fillId="0" borderId="10" applyAlignment="1" pivotButton="0" quotePrefix="0" xfId="0">
      <alignment horizontal="center" vertical="center" wrapText="1"/>
    </xf>
    <xf numFmtId="0" fontId="13" fillId="0" borderId="0" applyAlignment="1" pivotButton="0" quotePrefix="0" xfId="0">
      <alignment horizontal="center" vertical="center"/>
    </xf>
    <xf numFmtId="0" fontId="47" fillId="0" borderId="79" applyAlignment="1" pivotButton="0" quotePrefix="0" xfId="0">
      <alignment horizontal="left" vertical="center"/>
    </xf>
    <xf numFmtId="0" fontId="47" fillId="0" borderId="80" applyAlignment="1" pivotButton="0" quotePrefix="0" xfId="0">
      <alignment horizontal="left" vertical="center"/>
    </xf>
    <xf numFmtId="0" fontId="20" fillId="0" borderId="81" applyAlignment="1" pivotButton="0" quotePrefix="0" xfId="0">
      <alignment horizontal="center" vertical="center"/>
    </xf>
    <xf numFmtId="0" fontId="22" fillId="0" borderId="0" applyAlignment="1" pivotButton="0" quotePrefix="0" xfId="0">
      <alignment horizontal="left" vertical="center"/>
    </xf>
    <xf numFmtId="0" fontId="10" fillId="0" borderId="15" applyAlignment="1" pivotButton="0" quotePrefix="0" xfId="0">
      <alignment horizontal="center" vertical="center" wrapText="1"/>
    </xf>
    <xf numFmtId="165" fontId="6" fillId="0" borderId="15"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20" applyAlignment="1" pivotButton="0" quotePrefix="0" xfId="0">
      <alignment horizontal="center" vertical="center" wrapText="1"/>
    </xf>
    <xf numFmtId="0" fontId="10" fillId="0" borderId="24" applyAlignment="1" pivotButton="0" quotePrefix="0" xfId="0">
      <alignment horizontal="center" vertical="center" wrapText="1"/>
    </xf>
    <xf numFmtId="168" fontId="6" fillId="0" borderId="24" applyAlignment="1" pivotButton="0" quotePrefix="0" xfId="0">
      <alignment horizontal="center" vertical="center" wrapText="1"/>
    </xf>
    <xf numFmtId="0" fontId="10" fillId="0" borderId="11" applyAlignment="1" pivotButton="0" quotePrefix="0" xfId="0">
      <alignment horizontal="center" vertical="center" wrapText="1"/>
    </xf>
    <xf numFmtId="168" fontId="6" fillId="0" borderId="11" applyAlignment="1" pivotButton="0" quotePrefix="0" xfId="0">
      <alignment horizontal="center" vertical="center" wrapText="1"/>
    </xf>
    <xf numFmtId="0" fontId="10" fillId="0" borderId="30" applyAlignment="1" pivotButton="0" quotePrefix="0" xfId="0">
      <alignment horizontal="center" vertical="center" wrapText="1"/>
    </xf>
    <xf numFmtId="168" fontId="6" fillId="0" borderId="30" applyAlignment="1" pivotButton="0" quotePrefix="0" xfId="0">
      <alignment horizontal="center" vertical="center" wrapText="1"/>
    </xf>
    <xf numFmtId="164" fontId="6" fillId="0" borderId="24" applyAlignment="1" pivotButton="0" quotePrefix="0" xfId="0">
      <alignment horizontal="center" vertical="center" wrapText="1"/>
    </xf>
    <xf numFmtId="164" fontId="6" fillId="0" borderId="11" applyAlignment="1" pivotButton="0" quotePrefix="0" xfId="0">
      <alignment horizontal="center" vertical="center" wrapText="1"/>
    </xf>
    <xf numFmtId="164" fontId="6" fillId="0" borderId="30" applyAlignment="1" pivotButton="0" quotePrefix="0" xfId="0">
      <alignment horizontal="center" vertical="center" wrapText="1"/>
    </xf>
    <xf numFmtId="165" fontId="6" fillId="0" borderId="24" applyAlignment="1" pivotButton="0" quotePrefix="0" xfId="0">
      <alignment horizontal="center" vertical="center" wrapText="1"/>
    </xf>
    <xf numFmtId="165" fontId="6" fillId="0" borderId="11" applyAlignment="1" pivotButton="0" quotePrefix="0" xfId="0">
      <alignment horizontal="center" vertical="center" wrapText="1"/>
    </xf>
    <xf numFmtId="165" fontId="6" fillId="0" borderId="30" applyAlignment="1" pivotButton="0" quotePrefix="0" xfId="0">
      <alignment horizontal="center" vertical="center" wrapText="1"/>
    </xf>
    <xf numFmtId="167" fontId="6" fillId="0" borderId="24" applyAlignment="1" pivotButton="0" quotePrefix="0" xfId="0">
      <alignment horizontal="center" vertical="center" wrapText="1"/>
    </xf>
    <xf numFmtId="167" fontId="6" fillId="0" borderId="11" applyAlignment="1" pivotButton="0" quotePrefix="0" xfId="0">
      <alignment horizontal="center" vertical="center" wrapText="1"/>
    </xf>
    <xf numFmtId="167" fontId="6" fillId="0" borderId="30" applyAlignment="1" pivotButton="0" quotePrefix="0" xfId="0">
      <alignment horizontal="center" vertical="center" wrapText="1"/>
    </xf>
    <xf numFmtId="0" fontId="9" fillId="0" borderId="0" applyAlignment="1" pivotButton="0" quotePrefix="0" xfId="0">
      <alignment horizontal="left" vertical="center"/>
    </xf>
    <xf numFmtId="0" fontId="8" fillId="0" borderId="86" applyAlignment="1" pivotButton="0" quotePrefix="0" xfId="0">
      <alignment horizontal="center" vertical="center" wrapText="1"/>
    </xf>
    <xf numFmtId="0" fontId="6" fillId="0" borderId="82" applyAlignment="1" pivotButton="0" quotePrefix="0" xfId="0">
      <alignment horizontal="left" vertical="center" wrapText="1"/>
    </xf>
    <xf numFmtId="0" fontId="4" fillId="0" borderId="82" applyAlignment="1" pivotButton="0" quotePrefix="0" xfId="0">
      <alignment horizontal="left" vertical="center"/>
    </xf>
    <xf numFmtId="0" fontId="0" fillId="0" borderId="82" applyAlignment="1" pivotButton="0" quotePrefix="0" xfId="0">
      <alignment horizontal="center" vertical="center"/>
    </xf>
    <xf numFmtId="165" fontId="6" fillId="0" borderId="82" applyAlignment="1" pivotButton="0" quotePrefix="0" xfId="0">
      <alignment horizontal="center" vertical="center"/>
    </xf>
    <xf numFmtId="0" fontId="4" fillId="0" borderId="82" applyAlignment="1" pivotButton="0" quotePrefix="0" xfId="0">
      <alignment horizontal="left" vertical="center" wrapText="1"/>
    </xf>
    <xf numFmtId="0" fontId="4" fillId="0" borderId="82" applyAlignment="1" pivotButton="0" quotePrefix="0" xfId="0">
      <alignment horizontal="center" vertical="center" wrapText="1"/>
    </xf>
    <xf numFmtId="168" fontId="6" fillId="0" borderId="82" applyAlignment="1" pivotButton="0" quotePrefix="0" xfId="0">
      <alignment horizontal="center" vertical="center"/>
    </xf>
    <xf numFmtId="164" fontId="6" fillId="0" borderId="82" applyAlignment="1" pivotButton="0" quotePrefix="0" xfId="0">
      <alignment horizontal="center" vertical="center"/>
    </xf>
    <xf numFmtId="0" fontId="8" fillId="0" borderId="88" applyAlignment="1" pivotButton="0" quotePrefix="0" xfId="0">
      <alignment horizontal="center" vertical="center" wrapText="1"/>
    </xf>
    <xf numFmtId="0" fontId="6" fillId="0" borderId="89" applyAlignment="1" pivotButton="0" quotePrefix="0" xfId="0">
      <alignment horizontal="left" vertical="center" wrapText="1"/>
    </xf>
    <xf numFmtId="0" fontId="4" fillId="0" borderId="89" applyAlignment="1" pivotButton="0" quotePrefix="0" xfId="0">
      <alignment horizontal="left" vertical="center"/>
    </xf>
    <xf numFmtId="0" fontId="0" fillId="0" borderId="89" applyAlignment="1" pivotButton="0" quotePrefix="0" xfId="0">
      <alignment horizontal="center" vertical="center"/>
    </xf>
    <xf numFmtId="164" fontId="6" fillId="0" borderId="89" applyAlignment="1" pivotButton="0" quotePrefix="0" xfId="0">
      <alignment horizontal="center" vertical="center"/>
    </xf>
    <xf numFmtId="0" fontId="4" fillId="0" borderId="89" applyAlignment="1" pivotButton="0" quotePrefix="0" xfId="0">
      <alignment horizontal="left" vertical="center" wrapText="1"/>
    </xf>
    <xf numFmtId="0" fontId="4" fillId="0" borderId="89" applyAlignment="1" pivotButton="0" quotePrefix="0" xfId="0">
      <alignment horizontal="center" vertical="center" wrapText="1"/>
    </xf>
    <xf numFmtId="0" fontId="8" fillId="0" borderId="83" applyAlignment="1" pivotButton="0" quotePrefix="0" xfId="0">
      <alignment horizontal="center" vertical="center" wrapText="1"/>
    </xf>
    <xf numFmtId="0" fontId="6" fillId="0" borderId="84" applyAlignment="1" pivotButton="0" quotePrefix="0" xfId="0">
      <alignment horizontal="left" vertical="center" wrapText="1"/>
    </xf>
    <xf numFmtId="0" fontId="4" fillId="0" borderId="84" applyAlignment="1" pivotButton="0" quotePrefix="0" xfId="0">
      <alignment horizontal="left" vertical="center"/>
    </xf>
    <xf numFmtId="0" fontId="0" fillId="0" borderId="84" applyAlignment="1" pivotButton="0" quotePrefix="0" xfId="0">
      <alignment horizontal="center" vertical="center"/>
    </xf>
    <xf numFmtId="165" fontId="6" fillId="0" borderId="84" applyAlignment="1" pivotButton="0" quotePrefix="0" xfId="0">
      <alignment horizontal="center" vertical="center"/>
    </xf>
    <xf numFmtId="0" fontId="4" fillId="0" borderId="84" applyAlignment="1" pivotButton="0" quotePrefix="0" xfId="0">
      <alignment horizontal="left" vertical="center" wrapText="1"/>
    </xf>
    <xf numFmtId="0" fontId="4" fillId="0" borderId="84" applyAlignment="1" pivotButton="0" quotePrefix="0" xfId="0">
      <alignment horizontal="center" vertical="center" wrapText="1"/>
    </xf>
    <xf numFmtId="0" fontId="5" fillId="3" borderId="91" applyAlignment="1" pivotButton="0" quotePrefix="0" xfId="0">
      <alignment horizontal="center" vertical="center" wrapText="1"/>
    </xf>
    <xf numFmtId="0" fontId="5" fillId="3" borderId="92" applyAlignment="1" pivotButton="0" quotePrefix="0" xfId="0">
      <alignment horizontal="left" vertical="center" wrapText="1"/>
    </xf>
    <xf numFmtId="0" fontId="5" fillId="3" borderId="92" applyAlignment="1" pivotButton="0" quotePrefix="0" xfId="0">
      <alignment horizontal="center" vertical="center" wrapText="1"/>
    </xf>
    <xf numFmtId="0" fontId="5" fillId="3" borderId="82" applyAlignment="1" pivotButton="0" quotePrefix="0" xfId="0">
      <alignment horizontal="center" vertical="center" wrapText="1"/>
    </xf>
    <xf numFmtId="0" fontId="5" fillId="3" borderId="82" applyAlignment="1" pivotButton="0" quotePrefix="0" xfId="0">
      <alignment horizontal="left" vertical="center" wrapText="1"/>
    </xf>
    <xf numFmtId="0" fontId="4" fillId="0" borderId="82" applyAlignment="1" pivotButton="0" quotePrefix="0" xfId="0">
      <alignment horizontal="left" vertical="center" wrapText="1"/>
    </xf>
    <xf numFmtId="165" fontId="6" fillId="2" borderId="82" applyAlignment="1" pivotButton="0" quotePrefix="0" xfId="0">
      <alignment horizontal="center" vertical="center"/>
    </xf>
    <xf numFmtId="168" fontId="6" fillId="2" borderId="82" applyAlignment="1" pivotButton="0" quotePrefix="0" xfId="0">
      <alignment horizontal="center" vertical="center"/>
    </xf>
    <xf numFmtId="165" fontId="9" fillId="0" borderId="82" applyAlignment="1" pivotButton="0" quotePrefix="0" xfId="0">
      <alignment horizontal="center" vertical="center"/>
    </xf>
    <xf numFmtId="0" fontId="6" fillId="0" borderId="82" applyAlignment="1" pivotButton="0" quotePrefix="0" xfId="0">
      <alignment horizontal="left" vertical="center" wrapText="1"/>
    </xf>
    <xf numFmtId="0" fontId="7" fillId="0" borderId="82" applyAlignment="1" pivotButton="0" quotePrefix="0" xfId="0">
      <alignment horizontal="left" vertical="center" wrapText="1"/>
    </xf>
    <xf numFmtId="0" fontId="0" fillId="0" borderId="44" pivotButton="0" quotePrefix="0" xfId="0"/>
    <xf numFmtId="0" fontId="22" fillId="6" borderId="0" applyAlignment="1" pivotButton="0" quotePrefix="0" xfId="0">
      <alignment horizontal="left" vertical="top"/>
    </xf>
    <xf numFmtId="0" fontId="2" fillId="0" borderId="0" applyAlignment="1" pivotButton="0" quotePrefix="0" xfId="0">
      <alignment horizontal="left"/>
    </xf>
    <xf numFmtId="0" fontId="0" fillId="0" borderId="0" applyAlignment="1" pivotButton="0" quotePrefix="0" xfId="0">
      <alignment horizontal="right" vertical="center" wrapText="1"/>
    </xf>
    <xf numFmtId="0" fontId="0" fillId="0" borderId="44" applyAlignment="1" pivotButton="0" quotePrefix="0" xfId="0">
      <alignment horizontal="right" vertical="center" wrapText="1"/>
    </xf>
    <xf numFmtId="0" fontId="28" fillId="0" borderId="44" applyAlignment="1" pivotButton="0" quotePrefix="0" xfId="0">
      <alignment vertical="center" wrapText="1"/>
    </xf>
    <xf numFmtId="0" fontId="0" fillId="0" borderId="47" applyAlignment="1" pivotButton="0" quotePrefix="0" xfId="0">
      <alignment horizontal="left" vertical="center" wrapText="1"/>
    </xf>
    <xf numFmtId="0" fontId="0" fillId="0" borderId="49" applyAlignment="1" pivotButton="0" quotePrefix="0" xfId="0">
      <alignment horizontal="left" vertical="center" wrapText="1"/>
    </xf>
    <xf numFmtId="0" fontId="0" fillId="0" borderId="65" applyAlignment="1" pivotButton="0" quotePrefix="0" xfId="0">
      <alignment horizontal="left" vertical="center" wrapText="1"/>
    </xf>
    <xf numFmtId="0" fontId="22" fillId="0" borderId="0" applyAlignment="1" pivotButton="0" quotePrefix="0" xfId="0">
      <alignment horizontal="left" vertical="center"/>
    </xf>
    <xf numFmtId="0" fontId="13" fillId="0" borderId="0" applyAlignment="1" pivotButton="0" quotePrefix="0" xfId="0">
      <alignment horizontal="left" vertical="center"/>
    </xf>
    <xf numFmtId="0" fontId="0" fillId="0" borderId="0" applyAlignment="1" pivotButton="0" quotePrefix="0" xfId="0">
      <alignment vertical="center" wrapText="1"/>
    </xf>
    <xf numFmtId="0" fontId="0" fillId="0" borderId="0" applyAlignment="1" pivotButton="0" quotePrefix="0" xfId="0">
      <alignment horizontal="right" vertical="center" wrapText="1"/>
    </xf>
    <xf numFmtId="0" fontId="0"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5" fillId="3" borderId="44" applyAlignment="1" pivotButton="0" quotePrefix="0" xfId="0">
      <alignment horizontal="center" vertical="center" wrapText="1"/>
    </xf>
    <xf numFmtId="0" fontId="0" fillId="0" borderId="65" applyAlignment="1" pivotButton="0" quotePrefix="0" xfId="0">
      <alignment horizontal="right" vertical="center" wrapText="1"/>
    </xf>
    <xf numFmtId="0" fontId="0" fillId="0" borderId="54" applyAlignment="1" pivotButton="0" quotePrefix="0" xfId="0">
      <alignment horizontal="right" vertical="center" wrapText="1"/>
    </xf>
    <xf numFmtId="0" fontId="0" fillId="0" borderId="52" applyAlignment="1" pivotButton="0" quotePrefix="0" xfId="0">
      <alignment vertical="center" wrapText="1"/>
    </xf>
    <xf numFmtId="0" fontId="5" fillId="3" borderId="62" applyAlignment="1" pivotButton="0" quotePrefix="0" xfId="0">
      <alignment horizontal="left" vertical="center" wrapText="1"/>
    </xf>
    <xf numFmtId="0" fontId="5" fillId="3" borderId="100" applyAlignment="1" pivotButton="0" quotePrefix="0" xfId="0">
      <alignment horizontal="left" vertical="center" wrapText="1"/>
    </xf>
    <xf numFmtId="0" fontId="5" fillId="3" borderId="63" applyAlignment="1" pivotButton="0" quotePrefix="0" xfId="0">
      <alignment horizontal="left" vertical="center" wrapText="1"/>
    </xf>
    <xf numFmtId="0" fontId="5" fillId="3" borderId="44" applyAlignment="1" pivotButton="0" quotePrefix="0" xfId="0">
      <alignment horizontal="left" vertical="center" wrapText="1"/>
    </xf>
    <xf numFmtId="0" fontId="5" fillId="3" borderId="45" applyAlignment="1" pivotButton="0" quotePrefix="0" xfId="0">
      <alignment horizontal="left" vertical="center" wrapText="1"/>
    </xf>
    <xf numFmtId="0" fontId="5" fillId="3" borderId="46" applyAlignment="1" pivotButton="0" quotePrefix="0" xfId="0">
      <alignment horizontal="left" vertical="center" wrapText="1"/>
    </xf>
    <xf numFmtId="0" fontId="0" fillId="5" borderId="44" applyAlignment="1" pivotButton="0" quotePrefix="0" xfId="0">
      <alignment horizontal="center" vertical="center" wrapText="1"/>
    </xf>
    <xf numFmtId="0" fontId="0" fillId="5" borderId="48" applyAlignment="1" pivotButton="0" quotePrefix="0" xfId="0">
      <alignment horizontal="center" vertical="center" wrapText="1"/>
    </xf>
    <xf numFmtId="0" fontId="0" fillId="5" borderId="50" applyAlignment="1" pivotButton="0" quotePrefix="0" xfId="0">
      <alignment horizontal="center" vertical="center" wrapText="1"/>
    </xf>
    <xf numFmtId="0" fontId="0" fillId="5" borderId="52" applyAlignment="1" pivotButton="0" quotePrefix="0" xfId="0">
      <alignment horizontal="center" vertical="center" wrapText="1"/>
    </xf>
    <xf numFmtId="0" fontId="0" fillId="0" borderId="65" applyAlignment="1" pivotButton="0" quotePrefix="0" xfId="0">
      <alignment horizontal="center" vertical="center" wrapText="1"/>
    </xf>
    <xf numFmtId="0" fontId="0" fillId="0" borderId="54" applyAlignment="1" pivotButton="0" quotePrefix="0" xfId="0">
      <alignment horizontal="center" vertical="center" wrapText="1"/>
    </xf>
    <xf numFmtId="0" fontId="13" fillId="0" borderId="0" applyAlignment="1" pivotButton="0" quotePrefix="0" xfId="0">
      <alignment horizontal="center" vertical="center"/>
    </xf>
    <xf numFmtId="0" fontId="0" fillId="0" borderId="54" applyAlignment="1" pivotButton="0" quotePrefix="0" xfId="0">
      <alignment horizontal="left" vertical="center" wrapText="1"/>
    </xf>
    <xf numFmtId="169" fontId="0" fillId="0" borderId="44" applyAlignment="1" pivotButton="0" quotePrefix="0" xfId="0">
      <alignment horizontal="center" vertical="center" wrapText="1"/>
    </xf>
    <xf numFmtId="10" fontId="0" fillId="0" borderId="65" applyAlignment="1" pivotButton="0" quotePrefix="0" xfId="1">
      <alignment horizontal="center" vertical="center" wrapText="1"/>
    </xf>
    <xf numFmtId="169" fontId="0" fillId="0" borderId="54" applyAlignment="1" pivotButton="0" quotePrefix="0" xfId="0">
      <alignment horizontal="center" vertical="center" wrapText="1"/>
    </xf>
    <xf numFmtId="169" fontId="0" fillId="0" borderId="65" applyAlignment="1" pivotButton="0" quotePrefix="0" xfId="0">
      <alignment horizontal="center" vertical="center" wrapText="1"/>
    </xf>
    <xf numFmtId="10" fontId="0" fillId="0" borderId="44" applyAlignment="1" pivotButton="0" quotePrefix="0" xfId="1">
      <alignment horizontal="center" vertical="center" wrapText="1"/>
    </xf>
    <xf numFmtId="0" fontId="0" fillId="0" borderId="48" applyAlignment="1" pivotButton="0" quotePrefix="0" xfId="0">
      <alignment horizontal="right" vertical="center" wrapText="1"/>
    </xf>
    <xf numFmtId="0" fontId="0" fillId="0" borderId="50" applyAlignment="1" pivotButton="0" quotePrefix="0" xfId="0">
      <alignment horizontal="right" vertical="center" wrapText="1"/>
    </xf>
    <xf numFmtId="0" fontId="0" fillId="0" borderId="52" applyAlignment="1" pivotButton="0" quotePrefix="0" xfId="0">
      <alignment horizontal="right" vertical="center" wrapText="1"/>
    </xf>
    <xf numFmtId="0" fontId="43" fillId="3" borderId="62" applyAlignment="1" pivotButton="0" quotePrefix="0" xfId="0">
      <alignment horizontal="left" vertical="center" wrapText="1"/>
    </xf>
    <xf numFmtId="0" fontId="43" fillId="3" borderId="100" applyAlignment="1" pivotButton="0" quotePrefix="0" xfId="0">
      <alignment horizontal="center" vertical="center" wrapText="1"/>
    </xf>
    <xf numFmtId="0" fontId="43" fillId="3" borderId="63" applyAlignment="1" pivotButton="0" quotePrefix="0" xfId="0">
      <alignment horizontal="center" vertical="center" wrapText="1"/>
    </xf>
    <xf numFmtId="0" fontId="43" fillId="3" borderId="96" applyAlignment="1" pivotButton="0" quotePrefix="0" xfId="0">
      <alignment horizontal="left" vertical="center" wrapText="1"/>
    </xf>
    <xf numFmtId="0" fontId="43" fillId="3" borderId="97" applyAlignment="1" pivotButton="0" quotePrefix="0" xfId="0">
      <alignment horizontal="left" vertical="center" wrapText="1"/>
    </xf>
    <xf numFmtId="0" fontId="43" fillId="3" borderId="98" applyAlignment="1" pivotButton="0" quotePrefix="0" xfId="0">
      <alignment horizontal="center" vertical="center" wrapText="1"/>
    </xf>
    <xf numFmtId="0" fontId="43" fillId="3" borderId="97" applyAlignment="1" pivotButton="0" quotePrefix="0" xfId="0">
      <alignment horizontal="center" vertical="center" wrapText="1"/>
    </xf>
    <xf numFmtId="0" fontId="43" fillId="3" borderId="99" applyAlignment="1" pivotButton="0" quotePrefix="0" xfId="0">
      <alignment horizontal="center" vertical="center" wrapText="1"/>
    </xf>
    <xf numFmtId="0" fontId="43" fillId="3" borderId="100" applyAlignment="1" pivotButton="0" quotePrefix="0" xfId="0">
      <alignment horizontal="left" vertical="center" wrapText="1"/>
    </xf>
    <xf numFmtId="0" fontId="43" fillId="3" borderId="63" applyAlignment="1" pivotButton="0" quotePrefix="0" xfId="0">
      <alignment horizontal="left" vertical="center" wrapText="1"/>
    </xf>
    <xf numFmtId="0" fontId="5" fillId="3" borderId="93" applyAlignment="1" pivotButton="0" quotePrefix="0" xfId="0">
      <alignment horizontal="left" vertical="center" wrapText="1" indent="2"/>
    </xf>
    <xf numFmtId="0" fontId="4" fillId="0" borderId="85" applyAlignment="1" pivotButton="0" quotePrefix="0" xfId="0">
      <alignment horizontal="left" vertical="center" wrapText="1" indent="2"/>
    </xf>
    <xf numFmtId="0" fontId="4" fillId="0" borderId="87" applyAlignment="1" pivotButton="0" quotePrefix="0" xfId="0">
      <alignment horizontal="left" vertical="center" wrapText="1" indent="2"/>
    </xf>
    <xf numFmtId="0" fontId="4" fillId="0" borderId="90" applyAlignment="1" pivotButton="0" quotePrefix="0" xfId="0">
      <alignment horizontal="left" vertical="center" wrapText="1" indent="2"/>
    </xf>
    <xf numFmtId="0" fontId="43" fillId="3" borderId="44" applyAlignment="1" pivotButton="0" quotePrefix="0" xfId="0">
      <alignment horizontal="left" vertical="center" wrapText="1"/>
    </xf>
    <xf numFmtId="9" fontId="0" fillId="0" borderId="44" applyAlignment="1" pivotButton="0" quotePrefix="0" xfId="0">
      <alignment horizontal="right" vertical="center" wrapText="1"/>
    </xf>
    <xf numFmtId="9" fontId="0" fillId="0" borderId="54" applyAlignment="1" pivotButton="0" quotePrefix="0" xfId="0">
      <alignment horizontal="center" vertical="center" wrapText="1"/>
    </xf>
    <xf numFmtId="9" fontId="0" fillId="0" borderId="44" applyAlignment="1" pivotButton="0" quotePrefix="0" xfId="0">
      <alignment horizontal="center" vertical="center" wrapText="1"/>
    </xf>
    <xf numFmtId="9" fontId="0" fillId="0" borderId="65" applyAlignment="1" pivotButton="0" quotePrefix="0" xfId="0">
      <alignment horizontal="center" vertical="center" wrapText="1"/>
    </xf>
    <xf numFmtId="0" fontId="43" fillId="3" borderId="44" applyAlignment="1" pivotButton="0" quotePrefix="0" xfId="0">
      <alignment horizontal="center" vertical="center" wrapText="1"/>
    </xf>
    <xf numFmtId="0" fontId="18" fillId="0" borderId="44" applyAlignment="1" pivotButton="0" quotePrefix="0" xfId="0">
      <alignment horizontal="left" vertical="top" wrapText="1"/>
    </xf>
    <xf numFmtId="0" fontId="18" fillId="0" borderId="48" applyAlignment="1" pivotButton="0" quotePrefix="0" xfId="0">
      <alignment horizontal="left" vertical="top" wrapText="1"/>
    </xf>
    <xf numFmtId="0" fontId="18" fillId="0" borderId="65" applyAlignment="1" pivotButton="0" quotePrefix="0" xfId="0">
      <alignment horizontal="left" vertical="top" wrapText="1"/>
    </xf>
    <xf numFmtId="0" fontId="18" fillId="0" borderId="50" applyAlignment="1" pivotButton="0" quotePrefix="0" xfId="0">
      <alignment horizontal="left" vertical="top" wrapText="1"/>
    </xf>
    <xf numFmtId="0" fontId="18" fillId="0" borderId="54" applyAlignment="1" pivotButton="0" quotePrefix="0" xfId="0">
      <alignment horizontal="left" vertical="top" wrapText="1"/>
    </xf>
    <xf numFmtId="0" fontId="18" fillId="0" borderId="52" applyAlignment="1" pivotButton="0" quotePrefix="0" xfId="0">
      <alignment horizontal="left" vertical="top" wrapText="1"/>
    </xf>
    <xf numFmtId="0" fontId="18" fillId="0" borderId="54" applyAlignment="1" pivotButton="0" quotePrefix="0" xfId="0">
      <alignment horizontal="center" vertical="top" wrapText="1"/>
    </xf>
    <xf numFmtId="0" fontId="18" fillId="0" borderId="52" applyAlignment="1" pivotButton="0" quotePrefix="0" xfId="0">
      <alignment horizontal="center" vertical="top" wrapText="1"/>
    </xf>
    <xf numFmtId="0" fontId="18" fillId="0" borderId="44" applyAlignment="1" pivotButton="0" quotePrefix="0" xfId="0">
      <alignment horizontal="center" vertical="top" wrapText="1"/>
    </xf>
    <xf numFmtId="0" fontId="18" fillId="0" borderId="48" applyAlignment="1" pivotButton="0" quotePrefix="0" xfId="0">
      <alignment horizontal="center" vertical="top" wrapText="1"/>
    </xf>
    <xf numFmtId="0" fontId="18" fillId="0" borderId="65" applyAlignment="1" pivotButton="0" quotePrefix="0" xfId="0">
      <alignment horizontal="center" vertical="top" wrapText="1"/>
    </xf>
    <xf numFmtId="0" fontId="18" fillId="0" borderId="50" applyAlignment="1" pivotButton="0" quotePrefix="0" xfId="0">
      <alignment horizontal="center" vertical="top" wrapText="1"/>
    </xf>
    <xf numFmtId="0" fontId="0" fillId="0" borderId="48" applyAlignment="1" pivotButton="0" quotePrefix="0" xfId="0">
      <alignment horizontal="center" vertical="center" wrapText="1"/>
    </xf>
    <xf numFmtId="0" fontId="0" fillId="0" borderId="50" applyAlignment="1" pivotButton="0" quotePrefix="0" xfId="0">
      <alignment horizontal="center" vertical="center" wrapText="1"/>
    </xf>
    <xf numFmtId="0" fontId="18" fillId="5" borderId="0" applyAlignment="1" pivotButton="0" quotePrefix="0" xfId="0">
      <alignment horizontal="left" vertical="top" wrapText="1"/>
    </xf>
    <xf numFmtId="0" fontId="43" fillId="3" borderId="63" applyAlignment="1" pivotButton="0" quotePrefix="0" xfId="0">
      <alignment horizontal="left" vertical="center" wrapText="1"/>
    </xf>
    <xf numFmtId="0" fontId="0" fillId="0" borderId="52" applyAlignment="1" pivotButton="0" quotePrefix="0" xfId="0">
      <alignment vertical="center" wrapText="1"/>
    </xf>
    <xf numFmtId="0" fontId="0" fillId="0" borderId="44" applyAlignment="1" pivotButton="0" quotePrefix="0" xfId="0">
      <alignment vertical="center" wrapText="1"/>
    </xf>
    <xf numFmtId="0" fontId="0" fillId="0" borderId="48" applyAlignment="1" pivotButton="0" quotePrefix="0" xfId="0">
      <alignment vertical="center" wrapText="1"/>
    </xf>
    <xf numFmtId="0" fontId="0" fillId="0" borderId="65" applyAlignment="1" pivotButton="0" quotePrefix="0" xfId="0">
      <alignment vertical="center" wrapText="1"/>
    </xf>
    <xf numFmtId="0" fontId="0" fillId="0" borderId="50" applyAlignment="1" pivotButton="0" quotePrefix="0" xfId="0">
      <alignment vertical="center" wrapText="1"/>
    </xf>
    <xf numFmtId="0" fontId="0" fillId="0" borderId="54" applyAlignment="1" pivotButton="0" quotePrefix="0" xfId="0">
      <alignment vertical="center" wrapText="1"/>
    </xf>
    <xf numFmtId="0" fontId="43" fillId="3" borderId="100" applyAlignment="1" pivotButton="0" quotePrefix="0" xfId="0">
      <alignment horizontal="left" vertical="center" wrapText="1"/>
    </xf>
    <xf numFmtId="10" fontId="0" fillId="0" borderId="54" applyAlignment="1" pivotButton="0" quotePrefix="0" xfId="1">
      <alignment horizontal="center" vertical="center" wrapText="1"/>
    </xf>
    <xf numFmtId="0" fontId="0" fillId="5" borderId="52" applyAlignment="1" pivotButton="0" quotePrefix="0" xfId="0">
      <alignment horizontal="center"/>
    </xf>
    <xf numFmtId="0" fontId="0" fillId="5" borderId="48" applyAlignment="1" pivotButton="0" quotePrefix="0" xfId="0">
      <alignment horizontal="center"/>
    </xf>
    <xf numFmtId="0" fontId="0" fillId="5" borderId="50" applyAlignment="1" pivotButton="0" quotePrefix="0" xfId="0">
      <alignment horizontal="center"/>
    </xf>
    <xf numFmtId="0" fontId="0" fillId="5" borderId="65" applyAlignment="1" pivotButton="0" quotePrefix="0" xfId="0">
      <alignment horizontal="center" vertical="center" wrapText="1"/>
    </xf>
    <xf numFmtId="9" fontId="28" fillId="0" borderId="44" applyAlignment="1" pivotButton="0" quotePrefix="0" xfId="0">
      <alignment horizontal="right" vertical="center" wrapText="1"/>
    </xf>
    <xf numFmtId="0" fontId="18" fillId="0" borderId="0" applyAlignment="1" pivotButton="0" quotePrefix="0" xfId="0">
      <alignment horizontal="center" vertical="top" wrapText="1"/>
    </xf>
    <xf numFmtId="9" fontId="28" fillId="0" borderId="65"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0" fontId="0" fillId="0" borderId="0" pivotButton="0" quotePrefix="0" xfId="0"/>
    <xf numFmtId="0" fontId="0" fillId="0" borderId="53" applyAlignment="1" pivotButton="0" quotePrefix="0" xfId="0">
      <alignment horizontal="right" vertical="center" wrapText="1"/>
    </xf>
    <xf numFmtId="0" fontId="0" fillId="0" borderId="64" applyAlignment="1" pivotButton="0" quotePrefix="0" xfId="0">
      <alignment horizontal="right" vertical="center" wrapText="1"/>
    </xf>
    <xf numFmtId="0" fontId="0" fillId="0" borderId="101" applyAlignment="1" pivotButton="0" quotePrefix="0" xfId="0">
      <alignment horizontal="right" vertical="center" wrapText="1"/>
    </xf>
    <xf numFmtId="0" fontId="0" fillId="0" borderId="102" applyAlignment="1" pivotButton="0" quotePrefix="0" xfId="0">
      <alignment horizontal="right" vertical="center" wrapText="1"/>
    </xf>
    <xf numFmtId="0" fontId="43" fillId="3" borderId="103" applyAlignment="1" pivotButton="0" quotePrefix="0" xfId="0">
      <alignment horizontal="left" vertical="center" wrapText="1"/>
    </xf>
    <xf numFmtId="0" fontId="43" fillId="3" borderId="104" applyAlignment="1" pivotButton="0" quotePrefix="0" xfId="0">
      <alignment horizontal="left" vertical="center" wrapText="1"/>
    </xf>
    <xf numFmtId="0" fontId="43" fillId="3" borderId="105" applyAlignment="1" pivotButton="0" quotePrefix="0" xfId="0">
      <alignment horizontal="left" vertical="center" wrapText="1"/>
    </xf>
    <xf numFmtId="0" fontId="0" fillId="0" borderId="106" applyAlignment="1" pivotButton="0" quotePrefix="0" xfId="0">
      <alignment horizontal="right" vertical="center" wrapText="1"/>
    </xf>
    <xf numFmtId="0" fontId="0" fillId="0" borderId="107" applyAlignment="1" pivotButton="0" quotePrefix="0" xfId="0">
      <alignment horizontal="right" vertical="center" wrapText="1"/>
    </xf>
    <xf numFmtId="0" fontId="0" fillId="0" borderId="108" applyAlignment="1" pivotButton="0" quotePrefix="0" xfId="0">
      <alignment horizontal="right" vertical="center" wrapText="1"/>
    </xf>
    <xf numFmtId="0" fontId="0" fillId="0" borderId="109" applyAlignment="1" pivotButton="0" quotePrefix="0" xfId="0">
      <alignment horizontal="right" vertical="center" wrapText="1"/>
    </xf>
    <xf numFmtId="0" fontId="0" fillId="0" borderId="110" applyAlignment="1" pivotButton="0" quotePrefix="0" xfId="0">
      <alignment horizontal="right" vertical="center" wrapText="1"/>
    </xf>
    <xf numFmtId="0" fontId="0" fillId="0" borderId="67" applyAlignment="1" pivotButton="0" quotePrefix="0" xfId="0">
      <alignment horizontal="right" vertical="center" wrapText="1"/>
    </xf>
    <xf numFmtId="0" fontId="16" fillId="0" borderId="0" applyAlignment="1" pivotButton="0" quotePrefix="0" xfId="0">
      <alignment horizontal="center"/>
    </xf>
    <xf numFmtId="0" fontId="28" fillId="0" borderId="65" applyAlignment="1" pivotButton="0" quotePrefix="0" xfId="0">
      <alignment horizontal="center" vertical="center" wrapText="1"/>
    </xf>
    <xf numFmtId="0" fontId="28" fillId="0" borderId="50" applyAlignment="1" pivotButton="0" quotePrefix="0" xfId="0">
      <alignment horizontal="center" vertical="center" wrapText="1"/>
    </xf>
    <xf numFmtId="0" fontId="5" fillId="0" borderId="0" applyAlignment="1" pivotButton="0" quotePrefix="0" xfId="0">
      <alignment horizontal="left" vertical="center" wrapText="1"/>
    </xf>
    <xf numFmtId="0" fontId="0" fillId="0" borderId="0" applyAlignment="1" pivotButton="0" quotePrefix="0" xfId="0">
      <alignment horizontal="right" vertical="center" wrapText="1"/>
    </xf>
    <xf numFmtId="0" fontId="18" fillId="0" borderId="0" applyAlignment="1" pivotButton="0" quotePrefix="0" xfId="0">
      <alignment horizontal="left" vertical="top"/>
    </xf>
    <xf numFmtId="0" fontId="5" fillId="3" borderId="95" applyAlignment="1" pivotButton="0" quotePrefix="0" xfId="0">
      <alignment horizontal="left" vertical="center" wrapText="1"/>
    </xf>
    <xf numFmtId="49" fontId="6" fillId="0" borderId="44" applyAlignment="1" pivotButton="0" quotePrefix="0" xfId="0">
      <alignment horizontal="left" vertical="top" wrapText="1"/>
    </xf>
    <xf numFmtId="0" fontId="18" fillId="0" borderId="44" applyAlignment="1" pivotButton="0" quotePrefix="0" xfId="0">
      <alignment horizontal="left" vertical="top"/>
    </xf>
    <xf numFmtId="0" fontId="18" fillId="0" borderId="44" applyAlignment="1" pivotButton="0" quotePrefix="0" xfId="0">
      <alignment horizontal="left" vertical="top"/>
    </xf>
    <xf numFmtId="9" fontId="0" fillId="0" borderId="48" applyAlignment="1" pivotButton="0" quotePrefix="0" xfId="0">
      <alignment horizontal="right" vertical="center" wrapText="1"/>
    </xf>
    <xf numFmtId="9" fontId="0" fillId="0" borderId="50" applyAlignment="1" pivotButton="0" quotePrefix="0" xfId="0">
      <alignment horizontal="right" vertical="center" wrapText="1"/>
    </xf>
    <xf numFmtId="0" fontId="5" fillId="3" borderId="76" applyAlignment="1" pivotButton="0" quotePrefix="0" xfId="0">
      <alignment horizontal="left" vertical="center" wrapText="1"/>
    </xf>
    <xf numFmtId="0" fontId="5" fillId="3" borderId="111" applyAlignment="1" pivotButton="0" quotePrefix="0" xfId="0">
      <alignment horizontal="center" vertical="center" wrapText="1"/>
    </xf>
    <xf numFmtId="0" fontId="5" fillId="3" borderId="112" applyAlignment="1" pivotButton="0" quotePrefix="0" xfId="0">
      <alignment horizontal="center" vertical="center" wrapText="1"/>
    </xf>
    <xf numFmtId="0" fontId="22" fillId="0" borderId="0" applyAlignment="1" pivotButton="0" quotePrefix="0" xfId="0">
      <alignment vertical="center"/>
    </xf>
    <xf numFmtId="0" fontId="22" fillId="0" borderId="102" applyAlignment="1" pivotButton="0" quotePrefix="0" xfId="0">
      <alignment vertical="center"/>
    </xf>
    <xf numFmtId="0" fontId="22" fillId="0" borderId="0" applyAlignment="1" pivotButton="0" quotePrefix="0" xfId="0">
      <alignment vertical="center"/>
    </xf>
    <xf numFmtId="0" fontId="5" fillId="3" borderId="63" applyAlignment="1" pivotButton="0" quotePrefix="0" xfId="0">
      <alignment horizontal="left" vertical="center" wrapText="1"/>
    </xf>
    <xf numFmtId="0" fontId="5" fillId="3" borderId="100" applyAlignment="1" pivotButton="0" quotePrefix="0" xfId="0">
      <alignment horizontal="left" vertical="center" wrapText="1"/>
    </xf>
    <xf numFmtId="0" fontId="22" fillId="0" borderId="0" applyAlignment="1" pivotButton="0" quotePrefix="0" xfId="0">
      <alignment vertical="center"/>
    </xf>
    <xf numFmtId="0" fontId="22" fillId="0" borderId="113" applyAlignment="1" pivotButton="0" quotePrefix="0" xfId="0">
      <alignment vertical="center"/>
    </xf>
    <xf numFmtId="0" fontId="5" fillId="3" borderId="63" applyAlignment="1" pivotButton="0" quotePrefix="0" xfId="0">
      <alignment horizontal="left" wrapText="1"/>
    </xf>
    <xf numFmtId="0" fontId="25" fillId="3" borderId="0" applyAlignment="1" pivotButton="0" quotePrefix="0" xfId="0">
      <alignment horizontal="center" vertical="center"/>
    </xf>
    <xf numFmtId="0" fontId="25" fillId="3" borderId="0" applyAlignment="1" pivotButton="0" quotePrefix="0" xfId="0">
      <alignment vertical="center"/>
    </xf>
    <xf numFmtId="0" fontId="18" fillId="0" borderId="0" applyAlignment="1" pivotButton="0" quotePrefix="0" xfId="0">
      <alignment horizontal="center" vertical="center" wrapText="1"/>
    </xf>
    <xf numFmtId="0" fontId="5" fillId="3" borderId="114" applyAlignment="1" pivotButton="0" quotePrefix="0" xfId="0">
      <alignment horizontal="left" vertical="center" wrapText="1"/>
    </xf>
    <xf numFmtId="0" fontId="5" fillId="3" borderId="115" applyAlignment="1" pivotButton="0" quotePrefix="0" xfId="0">
      <alignment horizontal="left" vertical="center" wrapText="1"/>
    </xf>
    <xf numFmtId="0" fontId="5" fillId="3" borderId="116" applyAlignment="1" pivotButton="0" quotePrefix="0" xfId="0">
      <alignment horizontal="left" vertical="center" wrapText="1"/>
    </xf>
    <xf numFmtId="0" fontId="22" fillId="0" borderId="117" applyAlignment="1" pivotButton="0" quotePrefix="0" xfId="0">
      <alignment vertical="center"/>
    </xf>
    <xf numFmtId="0" fontId="5" fillId="3" borderId="122" applyAlignment="1" pivotButton="0" quotePrefix="0" xfId="0">
      <alignment horizontal="left" wrapText="1"/>
    </xf>
    <xf numFmtId="0" fontId="33" fillId="0" borderId="62" applyAlignment="1" pivotButton="0" quotePrefix="0" xfId="0">
      <alignment vertical="center" wrapText="1"/>
    </xf>
    <xf numFmtId="0" fontId="33" fillId="0" borderId="63" applyAlignment="1" pivotButton="0" quotePrefix="0" xfId="0">
      <alignment vertical="center" wrapText="1"/>
    </xf>
    <xf numFmtId="0" fontId="17" fillId="4" borderId="102" applyAlignment="1" pivotButton="0" quotePrefix="0" xfId="0">
      <alignment horizontal="center" wrapText="1"/>
    </xf>
    <xf numFmtId="0" fontId="5" fillId="3" borderId="62" applyAlignment="1" pivotButton="0" quotePrefix="0" xfId="0">
      <alignment horizontal="center" wrapText="1"/>
    </xf>
    <xf numFmtId="0" fontId="21" fillId="3" borderId="100" applyAlignment="1" pivotButton="0" quotePrefix="0" xfId="0">
      <alignment wrapText="1"/>
    </xf>
    <xf numFmtId="0" fontId="5" fillId="3" borderId="100" applyAlignment="1" pivotButton="0" quotePrefix="0" xfId="0">
      <alignment horizontal="center" wrapText="1"/>
    </xf>
    <xf numFmtId="0" fontId="17" fillId="4" borderId="61" applyAlignment="1" pivotButton="0" quotePrefix="0" xfId="0">
      <alignment horizontal="center" wrapText="1"/>
    </xf>
    <xf numFmtId="0" fontId="17" fillId="4" borderId="106" applyAlignment="1" pivotButton="0" quotePrefix="0" xfId="0">
      <alignment horizontal="center" wrapText="1"/>
    </xf>
    <xf numFmtId="0" fontId="6" fillId="0" borderId="47" applyAlignment="1" pivotButton="0" quotePrefix="0" xfId="0">
      <alignment horizontal="center" vertical="top" wrapText="1"/>
    </xf>
    <xf numFmtId="0" fontId="0" fillId="0" borderId="0" pivotButton="0" quotePrefix="0" xfId="0"/>
    <xf numFmtId="0" fontId="0" fillId="0" borderId="48" applyAlignment="1" pivotButton="0" quotePrefix="0" xfId="0">
      <alignment horizontal="left"/>
    </xf>
    <xf numFmtId="0" fontId="0" fillId="0" borderId="47" applyAlignment="1" pivotButton="0" quotePrefix="0" xfId="0">
      <alignment horizontal="center" vertical="center" wrapText="1"/>
    </xf>
    <xf numFmtId="0" fontId="0" fillId="0" borderId="48" applyAlignment="1" pivotButton="0" quotePrefix="0" xfId="0">
      <alignment horizontal="left" vertical="center" wrapText="1"/>
    </xf>
    <xf numFmtId="0" fontId="17" fillId="4" borderId="55" applyAlignment="1" pivotButton="0" quotePrefix="0" xfId="0">
      <alignment horizontal="center" wrapText="1"/>
    </xf>
    <xf numFmtId="0" fontId="17" fillId="4" borderId="107" applyAlignment="1" pivotButton="0" quotePrefix="0" xfId="0">
      <alignment horizontal="center" wrapText="1"/>
    </xf>
    <xf numFmtId="1" fontId="0" fillId="0" borderId="47" applyAlignment="1" pivotButton="0" quotePrefix="0" xfId="0">
      <alignment horizontal="center" vertical="center" wrapText="1"/>
    </xf>
    <xf numFmtId="1" fontId="0" fillId="0" borderId="49" applyAlignment="1" pivotButton="0" quotePrefix="0" xfId="0">
      <alignment horizontal="center" vertical="center" wrapText="1"/>
    </xf>
    <xf numFmtId="0" fontId="31" fillId="0" borderId="65" applyAlignment="1" pivotButton="0" quotePrefix="0" xfId="0">
      <alignment vertical="center" wrapText="1"/>
    </xf>
    <xf numFmtId="0" fontId="0" fillId="0" borderId="50" applyAlignment="1" pivotButton="0" quotePrefix="0" xfId="0">
      <alignment horizontal="left" vertical="center" wrapText="1"/>
    </xf>
    <xf numFmtId="0" fontId="0" fillId="0" borderId="44" pivotButton="0" quotePrefix="0" xfId="0"/>
    <xf numFmtId="0" fontId="0" fillId="0" borderId="65" pivotButton="0" quotePrefix="0" xfId="0"/>
    <xf numFmtId="0" fontId="0" fillId="0" borderId="50" pivotButton="0" quotePrefix="0" xfId="0"/>
    <xf numFmtId="0" fontId="43" fillId="3" borderId="118" applyAlignment="1" pivotButton="0" quotePrefix="0" xfId="0">
      <alignment horizontal="left" vertical="center" wrapText="1"/>
    </xf>
    <xf numFmtId="0" fontId="43" fillId="3" borderId="119" applyAlignment="1" pivotButton="0" quotePrefix="0" xfId="0">
      <alignment horizontal="left" vertical="center" wrapText="1"/>
    </xf>
    <xf numFmtId="0" fontId="43" fillId="3" borderId="120" applyAlignment="1" pivotButton="0" quotePrefix="0" xfId="0">
      <alignment horizontal="left" vertical="center" wrapText="1"/>
    </xf>
    <xf numFmtId="0" fontId="43" fillId="3" borderId="114" applyAlignment="1" pivotButton="0" quotePrefix="0" xfId="0">
      <alignment horizontal="left" vertical="center" wrapText="1"/>
    </xf>
    <xf numFmtId="0" fontId="43" fillId="3" borderId="115" applyAlignment="1" pivotButton="0" quotePrefix="0" xfId="0">
      <alignment horizontal="left" vertical="center" wrapText="1"/>
    </xf>
    <xf numFmtId="0" fontId="43" fillId="3" borderId="116" applyAlignment="1" pivotButton="0" quotePrefix="0" xfId="0">
      <alignment horizontal="left" vertical="center" wrapText="1"/>
    </xf>
    <xf numFmtId="0" fontId="43" fillId="3" borderId="121" applyAlignment="1" pivotButton="0" quotePrefix="0" xfId="0">
      <alignment horizontal="left" vertical="center" wrapText="1"/>
    </xf>
    <xf numFmtId="0" fontId="43" fillId="3" borderId="119" applyAlignment="1" pivotButton="0" quotePrefix="0" xfId="0">
      <alignment horizontal="center" vertical="center" wrapText="1"/>
    </xf>
    <xf numFmtId="0" fontId="43" fillId="3" borderId="120" applyAlignment="1" pivotButton="0" quotePrefix="0" xfId="0">
      <alignment horizontal="center" vertical="center" wrapText="1"/>
    </xf>
    <xf numFmtId="0" fontId="0" fillId="0" borderId="65" applyAlignment="1" pivotButton="0" quotePrefix="0" xfId="0">
      <alignment horizontal="center"/>
    </xf>
    <xf numFmtId="0" fontId="0" fillId="0" borderId="50" applyAlignment="1" pivotButton="0" quotePrefix="0" xfId="0">
      <alignment horizontal="center"/>
    </xf>
    <xf numFmtId="0" fontId="22" fillId="0" borderId="0" applyAlignment="1" pivotButton="0" quotePrefix="0" xfId="0">
      <alignment horizontal="center" vertical="center"/>
    </xf>
    <xf numFmtId="0" fontId="43" fillId="3" borderId="115" applyAlignment="1" pivotButton="0" quotePrefix="0" xfId="0">
      <alignment horizontal="center" vertical="center" wrapText="1"/>
    </xf>
    <xf numFmtId="0" fontId="43" fillId="3" borderId="116" applyAlignment="1" pivotButton="0" quotePrefix="0" xfId="0">
      <alignment horizontal="center" vertical="center" wrapText="1"/>
    </xf>
    <xf numFmtId="0" fontId="43" fillId="3" borderId="119" applyAlignment="1" pivotButton="0" quotePrefix="0" xfId="0">
      <alignment horizontal="center" vertical="center" wrapText="1"/>
    </xf>
    <xf numFmtId="0" fontId="43" fillId="3" borderId="120" applyAlignment="1" pivotButton="0" quotePrefix="0" xfId="0">
      <alignment horizontal="center" vertical="center" wrapText="1"/>
    </xf>
    <xf numFmtId="0" fontId="0" fillId="0" borderId="54" applyAlignment="1" pivotButton="0" quotePrefix="0" xfId="0">
      <alignment horizontal="center" vertical="center" wrapText="1"/>
    </xf>
    <xf numFmtId="0" fontId="0" fillId="0" borderId="52" applyAlignment="1" pivotButton="0" quotePrefix="0" xfId="0">
      <alignment horizontal="center" vertical="center" wrapText="1"/>
    </xf>
    <xf numFmtId="0" fontId="0" fillId="0" borderId="44" applyAlignment="1" pivotButton="0" quotePrefix="0" xfId="0">
      <alignment horizontal="center" vertical="center" wrapText="1"/>
    </xf>
    <xf numFmtId="0" fontId="0" fillId="0" borderId="48" applyAlignment="1" pivotButton="0" quotePrefix="0" xfId="0">
      <alignment horizontal="center" vertical="center" wrapText="1"/>
    </xf>
    <xf numFmtId="0" fontId="0" fillId="0" borderId="65" applyAlignment="1" pivotButton="0" quotePrefix="0" xfId="0">
      <alignment horizontal="center" vertical="center" wrapText="1"/>
    </xf>
    <xf numFmtId="0" fontId="0" fillId="0" borderId="50" applyAlignment="1" pivotButton="0" quotePrefix="0" xfId="0">
      <alignment horizontal="center" vertical="center" wrapText="1"/>
    </xf>
    <xf numFmtId="0" fontId="0" fillId="0" borderId="51" applyAlignment="1" pivotButton="0" quotePrefix="0" xfId="0">
      <alignment horizontal="left" vertical="center" wrapText="1"/>
    </xf>
    <xf numFmtId="0" fontId="18" fillId="0" borderId="44" applyAlignment="1" pivotButton="0" quotePrefix="0" xfId="0">
      <alignment horizontal="left" vertical="center" wrapText="1"/>
    </xf>
    <xf numFmtId="0" fontId="5" fillId="3" borderId="44" applyAlignment="1" pivotButton="0" quotePrefix="0" xfId="0">
      <alignment vertical="center" wrapText="1"/>
    </xf>
    <xf numFmtId="0" fontId="0" fillId="0" borderId="44" applyAlignment="1" pivotButton="0" quotePrefix="0" xfId="0">
      <alignment vertical="center" wrapText="1"/>
    </xf>
    <xf numFmtId="0" fontId="0" fillId="0" borderId="44" applyAlignment="1" pivotButton="0" quotePrefix="0" xfId="0">
      <alignment horizontal="center"/>
    </xf>
    <xf numFmtId="0" fontId="26" fillId="0" borderId="0" applyAlignment="1" pivotButton="0" quotePrefix="0" xfId="0">
      <alignment horizontal="center" vertical="center"/>
    </xf>
    <xf numFmtId="167" fontId="9" fillId="0" borderId="1" applyAlignment="1" pivotButton="0" quotePrefix="0" xfId="0">
      <alignment horizontal="right" vertical="center"/>
    </xf>
    <xf numFmtId="167" fontId="21" fillId="0" borderId="20" applyAlignment="1" pivotButton="0" quotePrefix="0" xfId="0">
      <alignment horizontal="right" vertical="center"/>
    </xf>
    <xf numFmtId="0" fontId="0" fillId="0" borderId="20" applyAlignment="1" pivotButton="0" quotePrefix="0" xfId="0">
      <alignment horizontal="right" vertical="center"/>
    </xf>
    <xf numFmtId="49" fontId="6" fillId="0" borderId="20" applyAlignment="1" pivotButton="0" quotePrefix="0" xfId="0">
      <alignment horizontal="right" vertical="center"/>
    </xf>
    <xf numFmtId="0" fontId="0" fillId="0" borderId="0" applyAlignment="1" pivotButton="0" quotePrefix="0" xfId="0">
      <alignment horizontal="right" vertical="center"/>
    </xf>
    <xf numFmtId="0" fontId="28" fillId="0" borderId="0" applyAlignment="1" pivotButton="0" quotePrefix="0" xfId="0">
      <alignment vertical="center" wrapText="1"/>
    </xf>
    <xf numFmtId="0" fontId="22" fillId="0" borderId="44" applyAlignment="1" pivotButton="0" quotePrefix="0" xfId="0">
      <alignment vertical="center"/>
    </xf>
    <xf numFmtId="0" fontId="44" fillId="3" borderId="0" applyAlignment="1" pivotButton="0" quotePrefix="0" xfId="0">
      <alignment vertical="center"/>
    </xf>
    <xf numFmtId="0" fontId="44" fillId="3" borderId="0" applyAlignment="1" pivotButton="0" quotePrefix="0" xfId="0">
      <alignment vertical="center"/>
    </xf>
    <xf numFmtId="0" fontId="43" fillId="0" borderId="0" applyAlignment="1" pivotButton="0" quotePrefix="0" xfId="0">
      <alignment horizontal="center" vertical="center" wrapText="1"/>
    </xf>
    <xf numFmtId="0" fontId="0" fillId="0" borderId="0" applyAlignment="1" pivotButton="0" quotePrefix="0" xfId="0">
      <alignment vertical="center" wrapText="1"/>
    </xf>
    <xf numFmtId="10" fontId="0" fillId="0" borderId="44" applyAlignment="1" pivotButton="0" quotePrefix="0" xfId="0">
      <alignment horizontal="center" vertical="center" wrapText="1"/>
    </xf>
    <xf numFmtId="10" fontId="43" fillId="3" borderId="44" applyAlignment="1" pivotButton="0" quotePrefix="0" xfId="1">
      <alignment horizontal="center" vertical="center" wrapText="1"/>
    </xf>
    <xf numFmtId="0" fontId="50" fillId="0" borderId="0" applyAlignment="1" pivotButton="0" quotePrefix="0" xfId="0">
      <alignment vertical="center"/>
    </xf>
    <xf numFmtId="0" fontId="50" fillId="0" borderId="102" applyAlignment="1" pivotButton="0" quotePrefix="0" xfId="0">
      <alignment vertical="center"/>
    </xf>
    <xf numFmtId="0" fontId="49" fillId="7" borderId="94" applyAlignment="1" pivotButton="0" quotePrefix="0" xfId="0">
      <alignment horizontal="center" vertical="center"/>
    </xf>
    <xf numFmtId="0" fontId="2" fillId="0" borderId="44" applyAlignment="1" pivotButton="0" quotePrefix="0" xfId="0">
      <alignment vertical="center" wrapText="1"/>
    </xf>
    <xf numFmtId="0" fontId="0" fillId="0" borderId="0" applyAlignment="1" pivotButton="0" quotePrefix="0" xfId="0">
      <alignment vertical="center"/>
    </xf>
    <xf numFmtId="0" fontId="44" fillId="0" borderId="0" applyAlignment="1" pivotButton="0" quotePrefix="0" xfId="0">
      <alignment vertical="center"/>
    </xf>
    <xf numFmtId="0" fontId="51" fillId="2" borderId="94" applyAlignment="1" pivotButton="0" quotePrefix="0" xfId="0">
      <alignment horizontal="center" vertical="center" wrapText="1"/>
    </xf>
    <xf numFmtId="0" fontId="22" fillId="0" borderId="123" applyAlignment="1" pivotButton="0" quotePrefix="0" xfId="0">
      <alignment horizontal="center" vertical="center"/>
    </xf>
    <xf numFmtId="0" fontId="0" fillId="0" borderId="125" applyAlignment="1" pivotButton="0" quotePrefix="0" xfId="0">
      <alignment horizontal="center"/>
    </xf>
    <xf numFmtId="0" fontId="27" fillId="0" borderId="124" applyAlignment="1" pivotButton="0" quotePrefix="0" xfId="2">
      <alignment horizontal="center"/>
    </xf>
    <xf numFmtId="0" fontId="27" fillId="0" borderId="124" applyAlignment="1" pivotButton="0" quotePrefix="0" xfId="2">
      <alignment horizontal="center" vertical="center"/>
    </xf>
    <xf numFmtId="0" fontId="0" fillId="0" borderId="128" pivotButton="0" quotePrefix="0" xfId="0"/>
    <xf numFmtId="0" fontId="17" fillId="4" borderId="60" applyAlignment="1" pivotButton="0" quotePrefix="0" xfId="0">
      <alignment horizontal="center" wrapText="1"/>
    </xf>
    <xf numFmtId="0" fontId="0" fillId="0" borderId="102" pivotButton="0" quotePrefix="0" xfId="0"/>
    <xf numFmtId="0" fontId="0" fillId="0" borderId="106" pivotButton="0" quotePrefix="0" xfId="0"/>
    <xf numFmtId="0" fontId="63" fillId="0" borderId="44" pivotButton="0" quotePrefix="0" xfId="0"/>
    <xf numFmtId="0" fontId="17" fillId="4" borderId="58" applyAlignment="1" pivotButton="0" quotePrefix="0" xfId="0">
      <alignment horizontal="center" wrapText="1"/>
    </xf>
    <xf numFmtId="0" fontId="0" fillId="0" borderId="64" pivotButton="0" quotePrefix="0" xfId="0"/>
    <xf numFmtId="0" fontId="0" fillId="0" borderId="107" pivotButton="0" quotePrefix="0" xfId="0"/>
    <xf numFmtId="0" fontId="71" fillId="0" borderId="44" applyAlignment="1" pivotButton="0" quotePrefix="0" xfId="0">
      <alignment vertical="center" wrapText="1"/>
    </xf>
    <xf numFmtId="0" fontId="71" fillId="0" borderId="65" applyAlignment="1" pivotButton="0" quotePrefix="0" xfId="0">
      <alignment vertical="center" wrapText="1"/>
    </xf>
    <xf numFmtId="0" fontId="74" fillId="10" borderId="164" applyAlignment="1" pivotButton="0" quotePrefix="0" xfId="0">
      <alignment horizontal="center" vertical="center"/>
    </xf>
    <xf numFmtId="0" fontId="73" fillId="13" borderId="164" applyAlignment="1" pivotButton="0" quotePrefix="0" xfId="0">
      <alignment horizontal="center" vertical="center"/>
    </xf>
    <xf numFmtId="3" fontId="64" fillId="12" borderId="44" applyAlignment="1" pivotButton="0" quotePrefix="0" xfId="0">
      <alignment horizontal="center" vertical="center" wrapText="1"/>
    </xf>
    <xf numFmtId="3" fontId="64" fillId="12" borderId="65" applyAlignment="1" pivotButton="0" quotePrefix="0" xfId="0">
      <alignment horizontal="center" vertical="center" wrapText="1"/>
    </xf>
    <xf numFmtId="165" fontId="6" fillId="0" borderId="7" applyAlignment="1" pivotButton="0" quotePrefix="0" xfId="0">
      <alignment horizontal="right" vertical="center" wrapText="1"/>
    </xf>
    <xf numFmtId="167" fontId="6" fillId="0" borderId="7" applyAlignment="1" pivotButton="0" quotePrefix="0" xfId="0">
      <alignment horizontal="center" vertical="center" wrapText="1"/>
    </xf>
    <xf numFmtId="165" fontId="6" fillId="0" borderId="1" applyAlignment="1" pivotButton="0" quotePrefix="0" xfId="0">
      <alignment horizontal="right" vertical="center" wrapText="1"/>
    </xf>
    <xf numFmtId="167" fontId="6" fillId="0" borderId="1" applyAlignment="1" pivotButton="0" quotePrefix="0" xfId="0">
      <alignment horizontal="center" vertical="center" wrapText="1"/>
    </xf>
    <xf numFmtId="165" fontId="7" fillId="0" borderId="72" applyAlignment="1" pivotButton="0" quotePrefix="0" xfId="0">
      <alignment horizontal="right" vertical="center" wrapText="1"/>
    </xf>
    <xf numFmtId="49" fontId="62" fillId="0" borderId="72" applyAlignment="1" pivotButton="0" quotePrefix="0" xfId="0">
      <alignment vertical="center" wrapText="1"/>
    </xf>
    <xf numFmtId="164" fontId="21" fillId="0" borderId="72" applyAlignment="1" pivotButton="0" quotePrefix="0" xfId="0">
      <alignment horizontal="center" vertical="center" wrapText="1"/>
    </xf>
    <xf numFmtId="49" fontId="62" fillId="0" borderId="52" applyAlignment="1" pivotButton="0" quotePrefix="0" xfId="0">
      <alignment horizontal="center" vertical="center" wrapText="1"/>
    </xf>
    <xf numFmtId="49" fontId="62" fillId="0" borderId="48" applyAlignment="1" pivotButton="0" quotePrefix="0" xfId="0">
      <alignment horizontal="center" vertical="center" wrapText="1"/>
    </xf>
    <xf numFmtId="49" fontId="62" fillId="0" borderId="50" applyAlignment="1" pivotButton="0" quotePrefix="0" xfId="0">
      <alignment horizontal="center" vertical="center" wrapText="1"/>
    </xf>
    <xf numFmtId="0" fontId="63" fillId="5" borderId="52" applyAlignment="1" pivotButton="0" quotePrefix="0" xfId="0">
      <alignment horizontal="center"/>
    </xf>
    <xf numFmtId="167" fontId="7" fillId="0" borderId="50" applyAlignment="1" pivotButton="0" quotePrefix="0" xfId="0">
      <alignment horizontal="center" vertical="top" wrapText="1"/>
    </xf>
    <xf numFmtId="0" fontId="63" fillId="5" borderId="48" applyAlignment="1" pivotButton="0" quotePrefix="0" xfId="0">
      <alignment horizontal="center"/>
    </xf>
    <xf numFmtId="0" fontId="63" fillId="5" borderId="50" applyAlignment="1" pivotButton="0" quotePrefix="0" xfId="0">
      <alignment horizontal="center"/>
    </xf>
    <xf numFmtId="166" fontId="21" fillId="0" borderId="1" applyAlignment="1" pivotButton="0" quotePrefix="0" xfId="0">
      <alignment horizontal="right" vertical="top"/>
    </xf>
    <xf numFmtId="165" fontId="6" fillId="0" borderId="1" applyAlignment="1" pivotButton="0" quotePrefix="0" xfId="0">
      <alignment horizontal="right" vertical="top"/>
    </xf>
    <xf numFmtId="165" fontId="21" fillId="0" borderId="1" applyAlignment="1" pivotButton="0" quotePrefix="0" xfId="0">
      <alignment horizontal="right" vertical="top"/>
    </xf>
    <xf numFmtId="167" fontId="21" fillId="0" borderId="1" applyAlignment="1" pivotButton="0" quotePrefix="0" xfId="0">
      <alignment horizontal="right" vertical="top"/>
    </xf>
    <xf numFmtId="0" fontId="0" fillId="0" borderId="133" pivotButton="0" quotePrefix="0" xfId="0"/>
    <xf numFmtId="0" fontId="0" fillId="0" borderId="139" pivotButton="0" quotePrefix="0" xfId="0"/>
    <xf numFmtId="170" fontId="52" fillId="0" borderId="84" applyAlignment="1" pivotButton="0" quotePrefix="0" xfId="0">
      <alignment horizontal="center" vertical="center"/>
    </xf>
    <xf numFmtId="165" fontId="6" fillId="0" borderId="84" applyAlignment="1" pivotButton="0" quotePrefix="0" xfId="0">
      <alignment horizontal="center" vertical="center"/>
    </xf>
    <xf numFmtId="172" fontId="52" fillId="0" borderId="82" applyAlignment="1" pivotButton="0" quotePrefix="0" xfId="0">
      <alignment horizontal="center" vertical="center"/>
    </xf>
    <xf numFmtId="173" fontId="52" fillId="0" borderId="82" applyAlignment="1" pivotButton="0" quotePrefix="0" xfId="0">
      <alignment horizontal="center" vertical="center"/>
    </xf>
    <xf numFmtId="164" fontId="6" fillId="0" borderId="82" applyAlignment="1" pivotButton="0" quotePrefix="0" xfId="0">
      <alignment horizontal="center" vertical="center"/>
    </xf>
    <xf numFmtId="170" fontId="52" fillId="0" borderId="82" applyAlignment="1" pivotButton="0" quotePrefix="0" xfId="0">
      <alignment horizontal="center" vertical="center"/>
    </xf>
    <xf numFmtId="0" fontId="0" fillId="8" borderId="82" applyAlignment="1" pivotButton="0" quotePrefix="0" xfId="0">
      <alignment horizontal="center" vertical="center"/>
    </xf>
    <xf numFmtId="174" fontId="52" fillId="0" borderId="82" applyAlignment="1" pivotButton="0" quotePrefix="0" xfId="0">
      <alignment horizontal="center" vertical="center"/>
    </xf>
    <xf numFmtId="175" fontId="52" fillId="0" borderId="82" applyAlignment="1" pivotButton="0" quotePrefix="0" xfId="0">
      <alignment horizontal="center" vertical="center"/>
    </xf>
    <xf numFmtId="3" fontId="52" fillId="0" borderId="82" applyAlignment="1" pivotButton="0" quotePrefix="0" xfId="0">
      <alignment horizontal="center" vertical="center"/>
    </xf>
    <xf numFmtId="9" fontId="53" fillId="0" borderId="82" applyAlignment="1" pivotButton="0" quotePrefix="0" xfId="0">
      <alignment horizontal="center" vertical="center"/>
    </xf>
    <xf numFmtId="10" fontId="53" fillId="0" borderId="82" applyAlignment="1" pivotButton="0" quotePrefix="0" xfId="0">
      <alignment horizontal="center" vertical="center"/>
    </xf>
    <xf numFmtId="3" fontId="53" fillId="0" borderId="82" applyAlignment="1" pivotButton="0" quotePrefix="0" xfId="0">
      <alignment horizontal="center" vertical="center"/>
    </xf>
    <xf numFmtId="170" fontId="53" fillId="0" borderId="82" applyAlignment="1" pivotButton="0" quotePrefix="0" xfId="0">
      <alignment horizontal="center" vertical="center"/>
    </xf>
    <xf numFmtId="4" fontId="52" fillId="0" borderId="82" applyAlignment="1" pivotButton="0" quotePrefix="0" xfId="0">
      <alignment horizontal="center" vertical="center"/>
    </xf>
    <xf numFmtId="172" fontId="53" fillId="0" borderId="82" applyAlignment="1" pivotButton="0" quotePrefix="0" xfId="0">
      <alignment horizontal="center" vertical="center"/>
    </xf>
    <xf numFmtId="10" fontId="52" fillId="0" borderId="89" applyAlignment="1" pivotButton="0" quotePrefix="0" xfId="0">
      <alignment horizontal="center" vertical="center"/>
    </xf>
    <xf numFmtId="164" fontId="6" fillId="0" borderId="89" applyAlignment="1" pivotButton="0" quotePrefix="0" xfId="0">
      <alignment horizontal="center" vertical="center"/>
    </xf>
    <xf numFmtId="165" fontId="6" fillId="0" borderId="15" applyAlignment="1" pivotButton="0" quotePrefix="0" xfId="0">
      <alignment horizontal="center" vertical="center" wrapText="1"/>
    </xf>
    <xf numFmtId="0" fontId="0" fillId="0" borderId="145" pivotButton="0" quotePrefix="0" xfId="0"/>
    <xf numFmtId="0" fontId="0" fillId="0" borderId="26" pivotButton="0" quotePrefix="0" xfId="0"/>
    <xf numFmtId="0" fontId="0" fillId="0" borderId="13" pivotButton="0" quotePrefix="0" xfId="0"/>
    <xf numFmtId="165" fontId="6" fillId="0" borderId="1" applyAlignment="1" pivotButton="0" quotePrefix="0" xfId="0">
      <alignment horizontal="center" vertical="center" wrapText="1"/>
    </xf>
    <xf numFmtId="0" fontId="0" fillId="0" borderId="12" pivotButton="0" quotePrefix="0" xfId="0"/>
    <xf numFmtId="0" fontId="0" fillId="0" borderId="146" pivotButton="0" quotePrefix="0" xfId="0"/>
    <xf numFmtId="0" fontId="0" fillId="0" borderId="136" pivotButton="0" quotePrefix="0" xfId="0"/>
    <xf numFmtId="0" fontId="0" fillId="0" borderId="7" pivotButton="0" quotePrefix="0" xfId="0"/>
    <xf numFmtId="165" fontId="6" fillId="0" borderId="20" applyAlignment="1" pivotButton="0" quotePrefix="0" xfId="0">
      <alignment horizontal="center" vertical="center" wrapText="1"/>
    </xf>
    <xf numFmtId="0" fontId="0" fillId="0" borderId="8" pivotButton="0" quotePrefix="0" xfId="0"/>
    <xf numFmtId="0" fontId="0" fillId="0" borderId="6" pivotButton="0" quotePrefix="0" xfId="0"/>
    <xf numFmtId="0" fontId="4" fillId="0" borderId="141" applyAlignment="1" pivotButton="0" quotePrefix="0" xfId="0">
      <alignment horizontal="center" vertical="center" wrapText="1"/>
    </xf>
    <xf numFmtId="0" fontId="7" fillId="0" borderId="140" applyAlignment="1" pivotButton="0" quotePrefix="0" xfId="0">
      <alignment horizontal="center" vertical="center" wrapText="1"/>
    </xf>
    <xf numFmtId="0" fontId="4" fillId="0" borderId="140" applyAlignment="1" pivotButton="0" quotePrefix="0" xfId="0">
      <alignment horizontal="center" vertical="center" wrapText="1"/>
    </xf>
    <xf numFmtId="0" fontId="4" fillId="0" borderId="144" applyAlignment="1" pivotButton="0" quotePrefix="0" xfId="0">
      <alignment horizontal="left" vertical="center" wrapText="1"/>
    </xf>
    <xf numFmtId="0" fontId="0" fillId="0" borderId="25" pivotButton="0" quotePrefix="0" xfId="0"/>
    <xf numFmtId="0" fontId="0" fillId="0" borderId="27" pivotButton="0" quotePrefix="0" xfId="0"/>
    <xf numFmtId="0" fontId="0" fillId="0" borderId="28" pivotButton="0" quotePrefix="0" xfId="0"/>
    <xf numFmtId="0" fontId="0" fillId="0" borderId="29" pivotButton="0" quotePrefix="0" xfId="0"/>
    <xf numFmtId="0" fontId="0" fillId="0" borderId="31" pivotButton="0" quotePrefix="0" xfId="0"/>
    <xf numFmtId="0" fontId="0" fillId="0" borderId="32" pivotButton="0" quotePrefix="0" xfId="0"/>
    <xf numFmtId="164" fontId="6" fillId="0" borderId="24" applyAlignment="1" pivotButton="0" quotePrefix="0" xfId="0">
      <alignment horizontal="center" vertical="center" wrapText="1"/>
    </xf>
    <xf numFmtId="164" fontId="6" fillId="0" borderId="11" applyAlignment="1" pivotButton="0" quotePrefix="0" xfId="0">
      <alignment horizontal="center" vertical="center" wrapText="1"/>
    </xf>
    <xf numFmtId="164" fontId="6" fillId="0" borderId="30" applyAlignment="1" pivotButton="0" quotePrefix="0" xfId="0">
      <alignment horizontal="center" vertical="center" wrapText="1"/>
    </xf>
    <xf numFmtId="165" fontId="6" fillId="0" borderId="24" applyAlignment="1" pivotButton="0" quotePrefix="0" xfId="0">
      <alignment horizontal="center" vertical="center" wrapText="1"/>
    </xf>
    <xf numFmtId="165" fontId="6" fillId="0" borderId="11" applyAlignment="1" pivotButton="0" quotePrefix="0" xfId="0">
      <alignment horizontal="center" vertical="center" wrapText="1"/>
    </xf>
    <xf numFmtId="165" fontId="6" fillId="0" borderId="30" applyAlignment="1" pivotButton="0" quotePrefix="0" xfId="0">
      <alignment horizontal="center" vertical="center" wrapText="1"/>
    </xf>
    <xf numFmtId="167" fontId="6" fillId="0" borderId="24" applyAlignment="1" pivotButton="0" quotePrefix="0" xfId="0">
      <alignment horizontal="center" vertical="center" wrapText="1"/>
    </xf>
    <xf numFmtId="167" fontId="6" fillId="0" borderId="11" applyAlignment="1" pivotButton="0" quotePrefix="0" xfId="0">
      <alignment horizontal="center" vertical="center" wrapText="1"/>
    </xf>
    <xf numFmtId="167" fontId="6" fillId="0" borderId="30" applyAlignment="1" pivotButton="0" quotePrefix="0" xfId="0">
      <alignment horizontal="center" vertical="center" wrapText="1"/>
    </xf>
    <xf numFmtId="0" fontId="4" fillId="0" borderId="142" applyAlignment="1" pivotButton="0" quotePrefix="0" xfId="0">
      <alignment horizontal="left" vertical="center" wrapText="1"/>
    </xf>
    <xf numFmtId="0" fontId="0" fillId="0" borderId="86" pivotButton="0" quotePrefix="0" xfId="0"/>
    <xf numFmtId="0" fontId="0" fillId="0" borderId="135" pivotButton="0" quotePrefix="0" xfId="0"/>
    <xf numFmtId="165" fontId="6" fillId="0" borderId="82" applyAlignment="1" pivotButton="0" quotePrefix="0" xfId="0">
      <alignment horizontal="center" vertical="center"/>
    </xf>
    <xf numFmtId="165" fontId="6" fillId="2" borderId="82" applyAlignment="1" pivotButton="0" quotePrefix="0" xfId="0">
      <alignment horizontal="center" vertical="center"/>
    </xf>
    <xf numFmtId="165" fontId="9" fillId="0" borderId="82" applyAlignment="1" pivotButton="0" quotePrefix="0" xfId="0">
      <alignment horizontal="center" vertical="center"/>
    </xf>
    <xf numFmtId="169" fontId="0" fillId="0" borderId="44" applyAlignment="1" pivotButton="0" quotePrefix="0" xfId="0">
      <alignment horizontal="center" vertical="center" wrapText="1"/>
    </xf>
    <xf numFmtId="3" fontId="52" fillId="0" borderId="65" applyAlignment="1" pivotButton="0" quotePrefix="0" xfId="0">
      <alignment horizontal="center" vertical="center" wrapText="1"/>
    </xf>
    <xf numFmtId="169" fontId="0" fillId="0" borderId="54" applyAlignment="1" pivotButton="0" quotePrefix="0" xfId="0">
      <alignment horizontal="center" vertical="center" wrapText="1"/>
    </xf>
    <xf numFmtId="169" fontId="0" fillId="0" borderId="65" applyAlignment="1" pivotButton="0" quotePrefix="0" xfId="0">
      <alignment horizontal="center" vertical="center" wrapText="1"/>
    </xf>
    <xf numFmtId="169" fontId="62" fillId="0" borderId="54" applyAlignment="1" pivotButton="0" quotePrefix="0" xfId="0">
      <alignment horizontal="center" vertical="center" wrapText="1"/>
    </xf>
    <xf numFmtId="170" fontId="62" fillId="0" borderId="65" applyAlignment="1" pivotButton="0" quotePrefix="0" xfId="0">
      <alignment horizontal="center" vertical="center" wrapText="1"/>
    </xf>
    <xf numFmtId="49" fontId="0" fillId="5" borderId="52" applyAlignment="1" pivotButton="0" quotePrefix="0" xfId="0">
      <alignment horizontal="center" vertical="center" wrapText="1"/>
    </xf>
    <xf numFmtId="49" fontId="0" fillId="5" borderId="48" applyAlignment="1" pivotButton="0" quotePrefix="0" xfId="0">
      <alignment horizontal="center" vertical="center" wrapText="1"/>
    </xf>
    <xf numFmtId="49" fontId="0" fillId="0" borderId="44" applyAlignment="1" pivotButton="0" quotePrefix="0" xfId="0">
      <alignment horizontal="left" vertical="center" wrapText="1"/>
    </xf>
    <xf numFmtId="49" fontId="0" fillId="0" borderId="65" applyAlignment="1" pivotButton="0" quotePrefix="0" xfId="0">
      <alignment horizontal="left" vertical="center" wrapText="1"/>
    </xf>
    <xf numFmtId="49" fontId="0" fillId="5" borderId="50" applyAlignment="1" pivotButton="0" quotePrefix="0" xfId="0">
      <alignment horizontal="center" vertical="center" wrapText="1"/>
    </xf>
    <xf numFmtId="170" fontId="0" fillId="5" borderId="44" applyAlignment="1" pivotButton="0" quotePrefix="0" xfId="0">
      <alignment horizontal="center" vertical="center" wrapText="1"/>
    </xf>
    <xf numFmtId="170" fontId="0" fillId="5" borderId="48" applyAlignment="1" pivotButton="0" quotePrefix="0" xfId="0">
      <alignment horizontal="center" vertical="center" wrapText="1"/>
    </xf>
    <xf numFmtId="172" fontId="65" fillId="0" borderId="0" applyAlignment="1" pivotButton="0" quotePrefix="0" xfId="0">
      <alignment horizontal="left" vertical="top" wrapText="1"/>
    </xf>
    <xf numFmtId="170" fontId="65" fillId="0" borderId="0" applyAlignment="1" pivotButton="0" quotePrefix="0" xfId="0">
      <alignment horizontal="left" vertical="top" wrapText="1"/>
    </xf>
    <xf numFmtId="10" fontId="0" fillId="5" borderId="44" applyAlignment="1" pivotButton="0" quotePrefix="0" xfId="0">
      <alignment horizontal="center" vertical="center" wrapText="1"/>
    </xf>
    <xf numFmtId="10" fontId="0" fillId="5" borderId="48" applyAlignment="1" pivotButton="0" quotePrefix="0" xfId="0">
      <alignment horizontal="center" vertical="center" wrapText="1"/>
    </xf>
    <xf numFmtId="173" fontId="0" fillId="5" borderId="44" applyAlignment="1" pivotButton="0" quotePrefix="0" xfId="0">
      <alignment horizontal="center" vertical="center" wrapText="1"/>
    </xf>
    <xf numFmtId="173" fontId="0" fillId="5" borderId="48" applyAlignment="1" pivotButton="0" quotePrefix="0" xfId="0">
      <alignment horizontal="center" vertical="center" wrapText="1"/>
    </xf>
    <xf numFmtId="173" fontId="0" fillId="5" borderId="65" applyAlignment="1" pivotButton="0" quotePrefix="0" xfId="0">
      <alignment horizontal="center" vertical="center" wrapText="1"/>
    </xf>
    <xf numFmtId="173" fontId="0" fillId="5" borderId="50" applyAlignment="1" pivotButton="0" quotePrefix="0" xfId="0">
      <alignment horizontal="center" vertical="center" wrapText="1"/>
    </xf>
    <xf numFmtId="171" fontId="62" fillId="0" borderId="54" applyAlignment="1" pivotButton="0" quotePrefix="0" xfId="0">
      <alignment horizontal="center" vertical="center" wrapText="1"/>
    </xf>
    <xf numFmtId="171" fontId="62" fillId="0" borderId="44" applyAlignment="1" pivotButton="0" quotePrefix="0" xfId="0">
      <alignment horizontal="center" vertical="center" wrapText="1"/>
    </xf>
    <xf numFmtId="171" fontId="62" fillId="0" borderId="65" applyAlignment="1" pivotButton="0" quotePrefix="0" xfId="0">
      <alignment horizontal="center" vertical="center" wrapText="1"/>
    </xf>
    <xf numFmtId="170" fontId="62" fillId="0" borderId="54" applyAlignment="1" pivotButton="0" quotePrefix="0" xfId="0">
      <alignment horizontal="center" vertical="center" wrapText="1"/>
    </xf>
    <xf numFmtId="170" fontId="66" fillId="0" borderId="54" applyAlignment="1" pivotButton="0" quotePrefix="0" xfId="0">
      <alignment horizontal="center" vertical="top" wrapText="1"/>
    </xf>
    <xf numFmtId="170" fontId="66" fillId="0" borderId="52" applyAlignment="1" pivotButton="0" quotePrefix="0" xfId="0">
      <alignment horizontal="center" vertical="top" wrapText="1"/>
    </xf>
    <xf numFmtId="170" fontId="62" fillId="0" borderId="44" applyAlignment="1" pivotButton="0" quotePrefix="0" xfId="0">
      <alignment horizontal="center" vertical="center" wrapText="1"/>
    </xf>
    <xf numFmtId="170" fontId="66" fillId="0" borderId="44" applyAlignment="1" pivotButton="0" quotePrefix="0" xfId="0">
      <alignment horizontal="center" vertical="top" wrapText="1"/>
    </xf>
    <xf numFmtId="170" fontId="66" fillId="0" borderId="48" applyAlignment="1" pivotButton="0" quotePrefix="0" xfId="0">
      <alignment horizontal="center" vertical="top" wrapText="1"/>
    </xf>
    <xf numFmtId="170" fontId="66" fillId="0" borderId="65" applyAlignment="1" pivotButton="0" quotePrefix="0" xfId="0">
      <alignment horizontal="center" vertical="top" wrapText="1"/>
    </xf>
    <xf numFmtId="170" fontId="66" fillId="0" borderId="50" applyAlignment="1" pivotButton="0" quotePrefix="0" xfId="0">
      <alignment horizontal="center" vertical="top" wrapText="1"/>
    </xf>
    <xf numFmtId="171" fontId="53" fillId="0" borderId="54" applyAlignment="1" pivotButton="0" quotePrefix="0" xfId="0">
      <alignment horizontal="right" vertical="center" wrapText="1"/>
    </xf>
    <xf numFmtId="49" fontId="62" fillId="0" borderId="54" applyAlignment="1" pivotButton="0" quotePrefix="0" xfId="0">
      <alignment horizontal="center" vertical="center" wrapText="1"/>
    </xf>
    <xf numFmtId="49" fontId="62" fillId="0" borderId="52" applyAlignment="1" pivotButton="0" quotePrefix="0" xfId="0">
      <alignment vertical="center" wrapText="1"/>
    </xf>
    <xf numFmtId="170" fontId="53" fillId="0" borderId="44" applyAlignment="1" pivotButton="0" quotePrefix="0" xfId="0">
      <alignment horizontal="right" vertical="center" wrapText="1"/>
    </xf>
    <xf numFmtId="49" fontId="62" fillId="0" borderId="44" applyAlignment="1" pivotButton="0" quotePrefix="0" xfId="0">
      <alignment horizontal="center" vertical="center" wrapText="1"/>
    </xf>
    <xf numFmtId="49" fontId="62" fillId="0" borderId="48" applyAlignment="1" pivotButton="0" quotePrefix="0" xfId="0">
      <alignment vertical="center" wrapText="1"/>
    </xf>
    <xf numFmtId="170" fontId="53" fillId="0" borderId="65" applyAlignment="1" pivotButton="0" quotePrefix="0" xfId="0">
      <alignment horizontal="right" vertical="center" wrapText="1"/>
    </xf>
    <xf numFmtId="49" fontId="62" fillId="0" borderId="65" applyAlignment="1" pivotButton="0" quotePrefix="0" xfId="0">
      <alignment horizontal="center" vertical="center" wrapText="1"/>
    </xf>
    <xf numFmtId="49" fontId="62" fillId="0" borderId="50" applyAlignment="1" pivotButton="0" quotePrefix="0" xfId="0">
      <alignment vertical="center" wrapText="1"/>
    </xf>
    <xf numFmtId="173" fontId="52" fillId="0" borderId="54" applyAlignment="1" pivotButton="0" quotePrefix="0" xfId="0">
      <alignment horizontal="right" vertical="center" wrapText="1"/>
    </xf>
    <xf numFmtId="173" fontId="52" fillId="0" borderId="44" applyAlignment="1" pivotButton="0" quotePrefix="0" xfId="0">
      <alignment horizontal="right" vertical="center" wrapText="1"/>
    </xf>
    <xf numFmtId="173" fontId="64" fillId="12" borderId="65" applyAlignment="1" pivotButton="0" quotePrefix="0" xfId="0">
      <alignment horizontal="right" vertical="center" wrapText="1"/>
    </xf>
    <xf numFmtId="0" fontId="0" fillId="8" borderId="65" applyAlignment="1" pivotButton="0" quotePrefix="0" xfId="0">
      <alignment horizontal="right" vertical="center" wrapText="1"/>
    </xf>
    <xf numFmtId="0" fontId="0" fillId="8" borderId="50" applyAlignment="1" pivotButton="0" quotePrefix="0" xfId="0">
      <alignment horizontal="center" vertical="center" wrapText="1"/>
    </xf>
    <xf numFmtId="0" fontId="58" fillId="5" borderId="0" applyAlignment="1" pivotButton="0" quotePrefix="0" xfId="0">
      <alignment vertical="top"/>
    </xf>
    <xf numFmtId="0" fontId="58" fillId="0" borderId="0" applyAlignment="1" pivotButton="0" quotePrefix="0" xfId="0">
      <alignment vertical="top"/>
    </xf>
    <xf numFmtId="0" fontId="0" fillId="0" borderId="149" pivotButton="0" quotePrefix="0" xfId="0"/>
    <xf numFmtId="0" fontId="0" fillId="0" borderId="147" pivotButton="0" quotePrefix="0" xfId="0"/>
    <xf numFmtId="0" fontId="21" fillId="0" borderId="150" applyAlignment="1" pivotButton="0" quotePrefix="0" xfId="0">
      <alignment horizontal="left" vertical="center"/>
    </xf>
    <xf numFmtId="0" fontId="0" fillId="0" borderId="34" pivotButton="0" quotePrefix="0" xfId="0"/>
    <xf numFmtId="0" fontId="0" fillId="0" borderId="35" pivotButton="0" quotePrefix="0" xfId="0"/>
    <xf numFmtId="165" fontId="6" fillId="0" borderId="1" applyAlignment="1" pivotButton="0" quotePrefix="0" xfId="0">
      <alignment horizontal="right" vertical="center"/>
    </xf>
    <xf numFmtId="166" fontId="6" fillId="0" borderId="1" applyAlignment="1" pivotButton="0" quotePrefix="0" xfId="0">
      <alignment horizontal="right" vertical="center"/>
    </xf>
    <xf numFmtId="164" fontId="6" fillId="0" borderId="1" applyAlignment="1" pivotButton="0" quotePrefix="0" xfId="0">
      <alignment horizontal="right" vertical="center"/>
    </xf>
    <xf numFmtId="165" fontId="6" fillId="0" borderId="20" applyAlignment="1" pivotButton="0" quotePrefix="0" xfId="0">
      <alignment horizontal="right" vertical="center"/>
    </xf>
    <xf numFmtId="173" fontId="52" fillId="0" borderId="54" applyAlignment="1" pivotButton="0" quotePrefix="0" xfId="0">
      <alignment horizontal="center" vertical="center" wrapText="1"/>
    </xf>
    <xf numFmtId="173" fontId="52" fillId="0" borderId="52" applyAlignment="1" pivotButton="0" quotePrefix="0" xfId="0">
      <alignment horizontal="center" vertical="center" wrapText="1"/>
    </xf>
    <xf numFmtId="170" fontId="52" fillId="0" borderId="44" applyAlignment="1" pivotButton="0" quotePrefix="0" xfId="0">
      <alignment horizontal="center" vertical="center" wrapText="1"/>
    </xf>
    <xf numFmtId="170" fontId="52" fillId="0" borderId="48" applyAlignment="1" pivotButton="0" quotePrefix="0" xfId="0">
      <alignment horizontal="center" vertical="center" wrapText="1"/>
    </xf>
    <xf numFmtId="173" fontId="52" fillId="0" borderId="44" applyAlignment="1" pivotButton="0" quotePrefix="0" xfId="0">
      <alignment horizontal="center" vertical="center" wrapText="1"/>
    </xf>
    <xf numFmtId="173" fontId="52" fillId="0" borderId="48" applyAlignment="1" pivotButton="0" quotePrefix="0" xfId="0">
      <alignment horizontal="center" vertical="center" wrapText="1"/>
    </xf>
    <xf numFmtId="170" fontId="62" fillId="0" borderId="48" applyAlignment="1" pivotButton="0" quotePrefix="0" xfId="0">
      <alignment horizontal="center" vertical="center" wrapText="1"/>
    </xf>
    <xf numFmtId="170" fontId="52" fillId="0" borderId="65" applyAlignment="1" pivotButton="0" quotePrefix="0" xfId="0">
      <alignment horizontal="center" vertical="center" wrapText="1"/>
    </xf>
    <xf numFmtId="170" fontId="62" fillId="0" borderId="50" applyAlignment="1" pivotButton="0" quotePrefix="0" xfId="0">
      <alignment horizontal="center" vertical="center" wrapText="1"/>
    </xf>
    <xf numFmtId="173" fontId="64" fillId="12" borderId="54" applyAlignment="1" pivotButton="0" quotePrefix="0" xfId="0">
      <alignment horizontal="center" vertical="center" wrapText="1"/>
    </xf>
    <xf numFmtId="170" fontId="64" fillId="12" borderId="54" applyAlignment="1" pivotButton="0" quotePrefix="0" xfId="0">
      <alignment horizontal="center" vertical="center" wrapText="1"/>
    </xf>
    <xf numFmtId="49" fontId="64" fillId="12" borderId="52" applyAlignment="1" pivotButton="0" quotePrefix="0" xfId="0">
      <alignment horizontal="center" vertical="center" wrapText="1"/>
    </xf>
    <xf numFmtId="173" fontId="64" fillId="12" borderId="44" applyAlignment="1" pivotButton="0" quotePrefix="0" xfId="0">
      <alignment horizontal="center" vertical="center" wrapText="1"/>
    </xf>
    <xf numFmtId="170" fontId="64" fillId="12" borderId="44" applyAlignment="1" pivotButton="0" quotePrefix="0" xfId="0">
      <alignment horizontal="center" vertical="center" wrapText="1"/>
    </xf>
    <xf numFmtId="49" fontId="64" fillId="12" borderId="48" applyAlignment="1" pivotButton="0" quotePrefix="0" xfId="0">
      <alignment horizontal="center" vertical="center" wrapText="1"/>
    </xf>
    <xf numFmtId="173" fontId="64" fillId="12" borderId="65" applyAlignment="1" pivotButton="0" quotePrefix="0" xfId="0">
      <alignment horizontal="center" vertical="center" wrapText="1"/>
    </xf>
    <xf numFmtId="170" fontId="64" fillId="12" borderId="65" applyAlignment="1" pivotButton="0" quotePrefix="0" xfId="0">
      <alignment horizontal="center" vertical="center" wrapText="1"/>
    </xf>
    <xf numFmtId="49" fontId="64" fillId="12" borderId="50" applyAlignment="1" pivotButton="0" quotePrefix="0" xfId="0">
      <alignment horizontal="center" vertical="center" wrapText="1"/>
    </xf>
    <xf numFmtId="9" fontId="53" fillId="0" borderId="54" applyAlignment="1" pivotButton="0" quotePrefix="0" xfId="0">
      <alignment horizontal="center" vertical="center" wrapText="1"/>
    </xf>
    <xf numFmtId="9" fontId="62" fillId="0" borderId="54" applyAlignment="1" pivotButton="0" quotePrefix="0" xfId="0">
      <alignment horizontal="center" vertical="center" wrapText="1"/>
    </xf>
    <xf numFmtId="9" fontId="62" fillId="0" borderId="52" applyAlignment="1" pivotButton="0" quotePrefix="0" xfId="0">
      <alignment horizontal="center" vertical="center" wrapText="1"/>
    </xf>
    <xf numFmtId="9" fontId="65" fillId="0" borderId="0" applyAlignment="1" pivotButton="0" quotePrefix="0" xfId="0">
      <alignment horizontal="left" vertical="top" wrapText="1"/>
    </xf>
    <xf numFmtId="9" fontId="53" fillId="0" borderId="44" applyAlignment="1" pivotButton="0" quotePrefix="0" xfId="0">
      <alignment horizontal="center" vertical="center" wrapText="1"/>
    </xf>
    <xf numFmtId="9" fontId="62" fillId="0" borderId="44" applyAlignment="1" pivotButton="0" quotePrefix="0" xfId="0">
      <alignment horizontal="center" vertical="center" wrapText="1"/>
    </xf>
    <xf numFmtId="9" fontId="62" fillId="0" borderId="48" applyAlignment="1" pivotButton="0" quotePrefix="0" xfId="0">
      <alignment horizontal="center" vertical="center" wrapText="1"/>
    </xf>
    <xf numFmtId="9" fontId="67" fillId="0" borderId="65" applyAlignment="1" pivotButton="0" quotePrefix="0" xfId="0">
      <alignment horizontal="center" vertical="center" wrapText="1"/>
    </xf>
    <xf numFmtId="9" fontId="62" fillId="0" borderId="65" applyAlignment="1" pivotButton="0" quotePrefix="0" xfId="0">
      <alignment horizontal="center" vertical="center" wrapText="1"/>
    </xf>
    <xf numFmtId="9" fontId="62" fillId="0" borderId="50" applyAlignment="1" pivotButton="0" quotePrefix="0" xfId="0">
      <alignment horizontal="center" vertical="center" wrapText="1"/>
    </xf>
    <xf numFmtId="9" fontId="53" fillId="0" borderId="54" applyAlignment="1" pivotButton="0" quotePrefix="0" xfId="0">
      <alignment horizontal="right" vertical="center" wrapText="1"/>
    </xf>
    <xf numFmtId="170" fontId="52" fillId="0" borderId="54" applyAlignment="1" pivotButton="0" quotePrefix="0" xfId="0">
      <alignment horizontal="right" vertical="center" wrapText="1"/>
    </xf>
    <xf numFmtId="170" fontId="52" fillId="0" borderId="54" applyAlignment="1" pivotButton="0" quotePrefix="0" xfId="0">
      <alignment horizontal="center" vertical="center" wrapText="1"/>
    </xf>
    <xf numFmtId="9" fontId="53" fillId="0" borderId="44" applyAlignment="1" pivotButton="0" quotePrefix="0" xfId="0">
      <alignment horizontal="right" vertical="center" wrapText="1"/>
    </xf>
    <xf numFmtId="170" fontId="52" fillId="0" borderId="44" applyAlignment="1" pivotButton="0" quotePrefix="0" xfId="0">
      <alignment horizontal="right" vertical="center" wrapText="1"/>
    </xf>
    <xf numFmtId="9" fontId="53" fillId="0" borderId="65" applyAlignment="1" pivotButton="0" quotePrefix="0" xfId="0">
      <alignment horizontal="right" vertical="center" wrapText="1"/>
    </xf>
    <xf numFmtId="173" fontId="52" fillId="0" borderId="65" applyAlignment="1" pivotButton="0" quotePrefix="0" xfId="0">
      <alignment horizontal="right" vertical="center" wrapText="1"/>
    </xf>
    <xf numFmtId="173" fontId="52" fillId="0" borderId="65" applyAlignment="1" pivotButton="0" quotePrefix="0" xfId="0">
      <alignment horizontal="center" vertical="center" wrapText="1"/>
    </xf>
    <xf numFmtId="9" fontId="66" fillId="0" borderId="0" applyAlignment="1" pivotButton="0" quotePrefix="0" xfId="0">
      <alignment horizontal="center" vertical="top" wrapText="1"/>
    </xf>
    <xf numFmtId="49" fontId="66" fillId="0" borderId="0" applyAlignment="1" pivotButton="0" quotePrefix="0" xfId="0">
      <alignment horizontal="left" vertical="top" wrapText="1"/>
    </xf>
    <xf numFmtId="173" fontId="62" fillId="0" borderId="52" applyAlignment="1" pivotButton="0" quotePrefix="0" xfId="0">
      <alignment horizontal="right" vertical="center" wrapText="1"/>
    </xf>
    <xf numFmtId="173" fontId="62" fillId="0" borderId="48" applyAlignment="1" pivotButton="0" quotePrefix="0" xfId="0">
      <alignment horizontal="right" vertical="center" wrapText="1"/>
    </xf>
    <xf numFmtId="173" fontId="62" fillId="0" borderId="50" applyAlignment="1" pivotButton="0" quotePrefix="0" xfId="0">
      <alignment horizontal="right" vertical="center" wrapText="1"/>
    </xf>
    <xf numFmtId="0" fontId="0" fillId="0" borderId="104" pivotButton="0" quotePrefix="0" xfId="0"/>
    <xf numFmtId="0" fontId="0" fillId="0" borderId="105" pivotButton="0" quotePrefix="0" xfId="0"/>
    <xf numFmtId="173" fontId="64" fillId="12" borderId="52" applyAlignment="1" pivotButton="0" quotePrefix="0" xfId="0">
      <alignment horizontal="right" vertical="center" wrapText="1"/>
    </xf>
    <xf numFmtId="173" fontId="64" fillId="12" borderId="48" applyAlignment="1" pivotButton="0" quotePrefix="0" xfId="0">
      <alignment horizontal="right" vertical="center" wrapText="1"/>
    </xf>
    <xf numFmtId="173" fontId="53" fillId="0" borderId="48" applyAlignment="1" pivotButton="0" quotePrefix="0" xfId="0">
      <alignment horizontal="right" vertical="center" wrapText="1"/>
    </xf>
    <xf numFmtId="173" fontId="64" fillId="12" borderId="50" applyAlignment="1" pivotButton="0" quotePrefix="0" xfId="0">
      <alignment horizontal="right" vertical="center" wrapText="1"/>
    </xf>
    <xf numFmtId="0" fontId="0" fillId="0" borderId="109" pivotButton="0" quotePrefix="0" xfId="0"/>
    <xf numFmtId="0" fontId="0" fillId="0" borderId="110" pivotButton="0" quotePrefix="0" xfId="0"/>
    <xf numFmtId="173" fontId="62" fillId="0" borderId="54" applyAlignment="1" pivotButton="0" quotePrefix="0" xfId="0">
      <alignment horizontal="right" vertical="center" wrapText="1"/>
    </xf>
    <xf numFmtId="179" fontId="52" fillId="0" borderId="54" applyAlignment="1" pivotButton="0" quotePrefix="0" xfId="0">
      <alignment horizontal="right" vertical="center" wrapText="1"/>
    </xf>
    <xf numFmtId="179" fontId="53" fillId="0" borderId="54" applyAlignment="1" pivotButton="0" quotePrefix="0" xfId="0">
      <alignment horizontal="right" vertical="center" wrapText="1"/>
    </xf>
    <xf numFmtId="173" fontId="62" fillId="0" borderId="44" applyAlignment="1" pivotButton="0" quotePrefix="0" xfId="0">
      <alignment horizontal="right" vertical="center" wrapText="1"/>
    </xf>
    <xf numFmtId="179" fontId="52" fillId="0" borderId="44" applyAlignment="1" pivotButton="0" quotePrefix="0" xfId="0">
      <alignment horizontal="right" vertical="center" wrapText="1"/>
    </xf>
    <xf numFmtId="179" fontId="53" fillId="0" borderId="44" applyAlignment="1" pivotButton="0" quotePrefix="0" xfId="0">
      <alignment horizontal="right" vertical="center" wrapText="1"/>
    </xf>
    <xf numFmtId="173" fontId="62" fillId="0" borderId="65" applyAlignment="1" pivotButton="0" quotePrefix="0" xfId="0">
      <alignment horizontal="right" vertical="center" wrapText="1"/>
    </xf>
    <xf numFmtId="179" fontId="52" fillId="0" borderId="65" applyAlignment="1" pivotButton="0" quotePrefix="0" xfId="0">
      <alignment horizontal="right" vertical="center" wrapText="1"/>
    </xf>
    <xf numFmtId="179" fontId="53" fillId="0" borderId="65" applyAlignment="1" pivotButton="0" quotePrefix="0" xfId="0">
      <alignment horizontal="right" vertical="center" wrapText="1"/>
    </xf>
    <xf numFmtId="173" fontId="52" fillId="0" borderId="52" applyAlignment="1" pivotButton="0" quotePrefix="0" xfId="0">
      <alignment horizontal="right" vertical="center" wrapText="1"/>
    </xf>
    <xf numFmtId="173" fontId="52" fillId="0" borderId="48" applyAlignment="1" pivotButton="0" quotePrefix="0" xfId="0">
      <alignment horizontal="right" vertical="center" wrapText="1"/>
    </xf>
    <xf numFmtId="173" fontId="52" fillId="0" borderId="50" applyAlignment="1" pivotButton="0" quotePrefix="0" xfId="0">
      <alignment horizontal="right" vertical="center" wrapText="1"/>
    </xf>
    <xf numFmtId="165" fontId="6" fillId="0" borderId="1" applyAlignment="1" pivotButton="0" quotePrefix="0" xfId="0">
      <alignment horizontal="center" vertical="center"/>
    </xf>
    <xf numFmtId="164" fontId="21" fillId="0" borderId="1" applyAlignment="1" pivotButton="0" quotePrefix="0" xfId="0">
      <alignment horizontal="center" vertical="center"/>
    </xf>
    <xf numFmtId="164" fontId="21" fillId="0" borderId="1" applyAlignment="1" pivotButton="0" quotePrefix="0" xfId="0">
      <alignment horizontal="right" vertical="center"/>
    </xf>
    <xf numFmtId="164" fontId="6" fillId="0" borderId="1" applyAlignment="1" pivotButton="0" quotePrefix="0" xfId="0">
      <alignment horizontal="center" vertical="center"/>
    </xf>
    <xf numFmtId="169" fontId="6" fillId="0" borderId="1" applyAlignment="1" pivotButton="0" quotePrefix="0" xfId="0">
      <alignment horizontal="center" vertical="center"/>
    </xf>
    <xf numFmtId="166" fontId="6" fillId="0" borderId="20" applyAlignment="1" pivotButton="0" quotePrefix="0" xfId="0">
      <alignment horizontal="center" vertical="center"/>
    </xf>
    <xf numFmtId="165" fontId="6" fillId="0" borderId="20" applyAlignment="1" pivotButton="0" quotePrefix="0" xfId="0">
      <alignment horizontal="center" vertical="center"/>
    </xf>
    <xf numFmtId="173" fontId="62" fillId="0" borderId="44" applyAlignment="1" pivotButton="0" quotePrefix="0" xfId="0">
      <alignment horizontal="center" vertical="center" wrapText="1"/>
    </xf>
    <xf numFmtId="173" fontId="62" fillId="0" borderId="48" applyAlignment="1" pivotButton="0" quotePrefix="0" xfId="0">
      <alignment horizontal="center" vertical="center" wrapText="1"/>
    </xf>
    <xf numFmtId="175" fontId="62" fillId="0" borderId="65" applyAlignment="1" pivotButton="0" quotePrefix="0" xfId="0">
      <alignment horizontal="center" vertical="center" wrapText="1"/>
    </xf>
    <xf numFmtId="175" fontId="62" fillId="0" borderId="50" applyAlignment="1" pivotButton="0" quotePrefix="0" xfId="0">
      <alignment horizontal="center" vertical="center" wrapText="1"/>
    </xf>
    <xf numFmtId="0" fontId="0" fillId="8" borderId="52" applyAlignment="1" pivotButton="0" quotePrefix="0" xfId="0">
      <alignment horizontal="center" vertical="center" wrapText="1"/>
    </xf>
    <xf numFmtId="0" fontId="0" fillId="8" borderId="44" applyAlignment="1" pivotButton="0" quotePrefix="0" xfId="0">
      <alignment horizontal="center" vertical="center" wrapText="1"/>
    </xf>
    <xf numFmtId="173" fontId="62" fillId="0" borderId="54" applyAlignment="1" pivotButton="0" quotePrefix="0" xfId="0">
      <alignment horizontal="center" vertical="center" wrapText="1"/>
    </xf>
    <xf numFmtId="173" fontId="62" fillId="0" borderId="52" applyAlignment="1" pivotButton="0" quotePrefix="0" xfId="0">
      <alignment horizontal="center" vertical="center" wrapText="1"/>
    </xf>
    <xf numFmtId="174" fontId="52" fillId="0" borderId="44" applyAlignment="1" pivotButton="0" quotePrefix="0" xfId="0">
      <alignment horizontal="center" vertical="center" wrapText="1"/>
    </xf>
    <xf numFmtId="174" fontId="52" fillId="0" borderId="48" applyAlignment="1" pivotButton="0" quotePrefix="0" xfId="0">
      <alignment horizontal="center" vertical="center" wrapText="1"/>
    </xf>
    <xf numFmtId="175" fontId="52" fillId="0" borderId="44" applyAlignment="1" pivotButton="0" quotePrefix="0" xfId="0">
      <alignment horizontal="center" vertical="center" wrapText="1"/>
    </xf>
    <xf numFmtId="175" fontId="52" fillId="0" borderId="48" applyAlignment="1" pivotButton="0" quotePrefix="0" xfId="0">
      <alignment horizontal="center" vertical="center" wrapText="1"/>
    </xf>
    <xf numFmtId="173" fontId="67" fillId="0" borderId="65" applyAlignment="1" pivotButton="0" quotePrefix="0" xfId="0">
      <alignment horizontal="center" vertical="center" wrapText="1"/>
    </xf>
    <xf numFmtId="173" fontId="67" fillId="0" borderId="50" applyAlignment="1" pivotButton="0" quotePrefix="0" xfId="0">
      <alignment horizontal="center" vertical="center" wrapText="1"/>
    </xf>
    <xf numFmtId="175" fontId="62" fillId="0" borderId="44" applyAlignment="1" pivotButton="0" quotePrefix="0" xfId="0">
      <alignment horizontal="center" vertical="center" wrapText="1"/>
    </xf>
    <xf numFmtId="175" fontId="62" fillId="0" borderId="48" applyAlignment="1" pivotButton="0" quotePrefix="0" xfId="0">
      <alignment horizontal="center" vertical="center" wrapText="1"/>
    </xf>
    <xf numFmtId="173" fontId="64" fillId="12" borderId="54" applyAlignment="1" pivotButton="0" quotePrefix="0" xfId="0">
      <alignment horizontal="right" vertical="center" wrapText="1"/>
    </xf>
    <xf numFmtId="170" fontId="62" fillId="0" borderId="52" applyAlignment="1" pivotButton="0" quotePrefix="0" xfId="0">
      <alignment horizontal="right" vertical="center" wrapText="1"/>
    </xf>
    <xf numFmtId="170" fontId="62" fillId="0" borderId="48" applyAlignment="1" pivotButton="0" quotePrefix="0" xfId="0">
      <alignment horizontal="right" vertical="center" wrapText="1"/>
    </xf>
    <xf numFmtId="170" fontId="62" fillId="0" borderId="50" applyAlignment="1" pivotButton="0" quotePrefix="0" xfId="0">
      <alignment horizontal="right" vertical="center" wrapText="1"/>
    </xf>
    <xf numFmtId="175" fontId="62" fillId="0" borderId="44" applyAlignment="1" pivotButton="0" quotePrefix="0" xfId="0">
      <alignment horizontal="right" vertical="center" wrapText="1"/>
    </xf>
    <xf numFmtId="175" fontId="62" fillId="0" borderId="48" applyAlignment="1" pivotButton="0" quotePrefix="0" xfId="0">
      <alignment horizontal="right" vertical="center" wrapText="1"/>
    </xf>
    <xf numFmtId="170" fontId="52" fillId="0" borderId="48" applyAlignment="1" pivotButton="0" quotePrefix="0" xfId="0">
      <alignment horizontal="right" vertical="center" wrapText="1"/>
    </xf>
    <xf numFmtId="170" fontId="52" fillId="0" borderId="65" applyAlignment="1" pivotButton="0" quotePrefix="0" xfId="0">
      <alignment horizontal="right" vertical="center" wrapText="1"/>
    </xf>
    <xf numFmtId="170" fontId="52" fillId="0" borderId="50" applyAlignment="1" pivotButton="0" quotePrefix="0" xfId="0">
      <alignment horizontal="right" vertical="center" wrapText="1"/>
    </xf>
    <xf numFmtId="171" fontId="53" fillId="0" borderId="54" applyAlignment="1" pivotButton="0" quotePrefix="0" xfId="0">
      <alignment vertical="center" wrapText="1"/>
    </xf>
    <xf numFmtId="171" fontId="62" fillId="0" borderId="54" applyAlignment="1" pivotButton="0" quotePrefix="0" xfId="0">
      <alignment vertical="center" wrapText="1"/>
    </xf>
    <xf numFmtId="171" fontId="66" fillId="0" borderId="54" applyAlignment="1" pivotButton="0" quotePrefix="0" xfId="0">
      <alignment horizontal="center" vertical="top" wrapText="1"/>
    </xf>
    <xf numFmtId="171" fontId="65" fillId="0" borderId="54" applyAlignment="1" pivotButton="0" quotePrefix="0" xfId="0">
      <alignment horizontal="center" vertical="top" wrapText="1"/>
    </xf>
    <xf numFmtId="0" fontId="68" fillId="0" borderId="52" applyAlignment="1" pivotButton="0" quotePrefix="0" xfId="0">
      <alignment vertical="top" wrapText="1"/>
    </xf>
    <xf numFmtId="171" fontId="53" fillId="0" borderId="44" applyAlignment="1" pivotButton="0" quotePrefix="0" xfId="0">
      <alignment vertical="center" wrapText="1"/>
    </xf>
    <xf numFmtId="171" fontId="62" fillId="0" borderId="44" applyAlignment="1" pivotButton="0" quotePrefix="0" xfId="0">
      <alignment vertical="center" wrapText="1"/>
    </xf>
    <xf numFmtId="171" fontId="66" fillId="0" borderId="44" applyAlignment="1" pivotButton="0" quotePrefix="0" xfId="0">
      <alignment horizontal="center" vertical="top" wrapText="1"/>
    </xf>
    <xf numFmtId="171" fontId="65" fillId="0" borderId="44" applyAlignment="1" pivotButton="0" quotePrefix="0" xfId="0">
      <alignment horizontal="center" vertical="top" wrapText="1"/>
    </xf>
    <xf numFmtId="0" fontId="68" fillId="0" borderId="48" applyAlignment="1" pivotButton="0" quotePrefix="0" xfId="0">
      <alignment vertical="top" wrapText="1"/>
    </xf>
    <xf numFmtId="171" fontId="53" fillId="0" borderId="65" applyAlignment="1" pivotButton="0" quotePrefix="0" xfId="0">
      <alignment vertical="center" wrapText="1"/>
    </xf>
    <xf numFmtId="171" fontId="62" fillId="0" borderId="65" applyAlignment="1" pivotButton="0" quotePrefix="0" xfId="0">
      <alignment vertical="center" wrapText="1"/>
    </xf>
    <xf numFmtId="171" fontId="66" fillId="0" borderId="65" applyAlignment="1" pivotButton="0" quotePrefix="0" xfId="0">
      <alignment horizontal="center" vertical="top" wrapText="1"/>
    </xf>
    <xf numFmtId="171" fontId="65" fillId="0" borderId="65" applyAlignment="1" pivotButton="0" quotePrefix="0" xfId="0">
      <alignment horizontal="center" vertical="top" wrapText="1"/>
    </xf>
    <xf numFmtId="0" fontId="68" fillId="0" borderId="50" applyAlignment="1" pivotButton="0" quotePrefix="0" xfId="0">
      <alignment vertical="top" wrapText="1"/>
    </xf>
    <xf numFmtId="0" fontId="0" fillId="0" borderId="5" pivotButton="0" quotePrefix="0" xfId="0"/>
    <xf numFmtId="166" fontId="6" fillId="0" borderId="1" applyAlignment="1" pivotButton="0" quotePrefix="0" xfId="0">
      <alignment horizontal="center" vertical="center"/>
    </xf>
    <xf numFmtId="164" fontId="6" fillId="0" borderId="20" applyAlignment="1" pivotButton="0" quotePrefix="0" xfId="0">
      <alignment horizontal="center" vertical="center"/>
    </xf>
    <xf numFmtId="170" fontId="62" fillId="0" borderId="44" applyAlignment="1" pivotButton="0" quotePrefix="0" xfId="0">
      <alignment horizontal="right" vertical="center" wrapText="1"/>
    </xf>
    <xf numFmtId="0" fontId="0" fillId="8" borderId="44" applyAlignment="1" pivotButton="0" quotePrefix="0" xfId="0">
      <alignment horizontal="right" vertical="center" wrapText="1"/>
    </xf>
    <xf numFmtId="0" fontId="0" fillId="8" borderId="48" applyAlignment="1" pivotButton="0" quotePrefix="0" xfId="0">
      <alignment horizontal="right" vertical="center" wrapText="1"/>
    </xf>
    <xf numFmtId="49" fontId="52" fillId="0" borderId="0" applyAlignment="1" pivotButton="0" quotePrefix="0" xfId="0">
      <alignment vertical="center" wrapText="1"/>
    </xf>
    <xf numFmtId="49" fontId="62" fillId="0" borderId="0" applyAlignment="1" pivotButton="0" quotePrefix="0" xfId="0">
      <alignment vertical="center" wrapText="1"/>
    </xf>
    <xf numFmtId="4" fontId="52" fillId="0" borderId="0" applyAlignment="1" pivotButton="0" quotePrefix="0" xfId="0">
      <alignment horizontal="right" vertical="center" wrapText="1"/>
    </xf>
    <xf numFmtId="49" fontId="69" fillId="0" borderId="0" applyAlignment="1" pivotButton="0" quotePrefix="0" xfId="0">
      <alignment horizontal="left" vertical="top" wrapText="1"/>
    </xf>
    <xf numFmtId="4" fontId="69" fillId="0" borderId="0" applyAlignment="1" pivotButton="0" quotePrefix="0" xfId="0">
      <alignment horizontal="left" vertical="top" wrapText="1"/>
    </xf>
    <xf numFmtId="173" fontId="53" fillId="0" borderId="44" applyAlignment="1" pivotButton="0" quotePrefix="0" xfId="0">
      <alignment horizontal="right" vertical="center" wrapText="1"/>
    </xf>
    <xf numFmtId="172" fontId="62" fillId="0" borderId="44" applyAlignment="1" pivotButton="0" quotePrefix="0" xfId="0">
      <alignment horizontal="right" vertical="center" wrapText="1"/>
    </xf>
    <xf numFmtId="166" fontId="21" fillId="0" borderId="1" applyAlignment="1" pivotButton="0" quotePrefix="0" xfId="0">
      <alignment horizontal="center" vertical="center"/>
    </xf>
    <xf numFmtId="165" fontId="24" fillId="0" borderId="1" applyAlignment="1" pivotButton="0" quotePrefix="0" xfId="0">
      <alignment horizontal="center" vertical="center"/>
    </xf>
    <xf numFmtId="165" fontId="21" fillId="0" borderId="20" applyAlignment="1" pivotButton="0" quotePrefix="0" xfId="0">
      <alignment horizontal="center" vertical="center"/>
    </xf>
    <xf numFmtId="3" fontId="62" fillId="0" borderId="48" applyAlignment="1" pivotButton="0" quotePrefix="0" xfId="0">
      <alignment horizontal="right" vertical="center" wrapText="1"/>
    </xf>
    <xf numFmtId="4" fontId="62" fillId="0" borderId="48" applyAlignment="1" pivotButton="0" quotePrefix="0" xfId="0">
      <alignment horizontal="right" vertical="center" wrapText="1"/>
    </xf>
    <xf numFmtId="9" fontId="52" fillId="0" borderId="48" applyAlignment="1" pivotButton="0" quotePrefix="0" xfId="0">
      <alignment horizontal="right" vertical="center" wrapText="1"/>
    </xf>
    <xf numFmtId="4" fontId="62" fillId="0" borderId="50" applyAlignment="1" pivotButton="0" quotePrefix="0" xfId="0">
      <alignment horizontal="right" vertical="center" wrapText="1"/>
    </xf>
    <xf numFmtId="49" fontId="69" fillId="0" borderId="44" applyAlignment="1" pivotButton="0" quotePrefix="0" xfId="0">
      <alignment horizontal="left" vertical="top"/>
    </xf>
    <xf numFmtId="49" fontId="66" fillId="0" borderId="44" applyAlignment="1" pivotButton="0" quotePrefix="0" xfId="0">
      <alignment horizontal="left" vertical="top"/>
    </xf>
    <xf numFmtId="0" fontId="18" fillId="8" borderId="44" applyAlignment="1" pivotButton="0" quotePrefix="0" xfId="0">
      <alignment horizontal="left" vertical="top"/>
    </xf>
    <xf numFmtId="4" fontId="69" fillId="0" borderId="44" applyAlignment="1" pivotButton="0" quotePrefix="0" xfId="0">
      <alignment horizontal="left" vertical="top"/>
    </xf>
    <xf numFmtId="9" fontId="66" fillId="0" borderId="44" applyAlignment="1" pivotButton="0" quotePrefix="0" xfId="0">
      <alignment horizontal="left" vertical="top"/>
    </xf>
    <xf numFmtId="177" fontId="69" fillId="0" borderId="44" applyAlignment="1" pivotButton="0" quotePrefix="0" xfId="0">
      <alignment horizontal="left" vertical="top"/>
    </xf>
    <xf numFmtId="4" fontId="62" fillId="0" borderId="54" applyAlignment="1" pivotButton="0" quotePrefix="0" xfId="0">
      <alignment horizontal="right" vertical="center" wrapText="1"/>
    </xf>
    <xf numFmtId="4" fontId="62" fillId="0" borderId="52" applyAlignment="1" pivotButton="0" quotePrefix="0" xfId="0">
      <alignment horizontal="right" vertical="center" wrapText="1"/>
    </xf>
    <xf numFmtId="4" fontId="62" fillId="0" borderId="44" applyAlignment="1" pivotButton="0" quotePrefix="0" xfId="0">
      <alignment horizontal="right" vertical="center" wrapText="1"/>
    </xf>
    <xf numFmtId="4" fontId="62" fillId="0" borderId="65" applyAlignment="1" pivotButton="0" quotePrefix="0" xfId="0">
      <alignment horizontal="right" vertical="center" wrapText="1"/>
    </xf>
    <xf numFmtId="164" fontId="6" fillId="0" borderId="1" applyAlignment="1" pivotButton="0" quotePrefix="0" xfId="0">
      <alignment horizontal="center" vertical="center" wrapText="1"/>
    </xf>
    <xf numFmtId="167" fontId="6" fillId="0" borderId="1" applyAlignment="1" pivotButton="0" quotePrefix="0" xfId="0">
      <alignment horizontal="right" vertical="top" wrapText="1"/>
    </xf>
    <xf numFmtId="164" fontId="7" fillId="0" borderId="0" applyAlignment="1" pivotButton="0" quotePrefix="0" xfId="0">
      <alignment horizontal="right" vertical="top"/>
    </xf>
    <xf numFmtId="164" fontId="9" fillId="0" borderId="0" applyAlignment="1" pivotButton="0" quotePrefix="0" xfId="0">
      <alignment horizontal="right" vertical="top"/>
    </xf>
    <xf numFmtId="0" fontId="0" fillId="0" borderId="113" pivotButton="0" quotePrefix="0" xfId="0"/>
    <xf numFmtId="173" fontId="64" fillId="12" borderId="44" applyAlignment="1" pivotButton="0" quotePrefix="0" xfId="0">
      <alignment horizontal="right" vertical="center" wrapText="1"/>
    </xf>
    <xf numFmtId="170" fontId="52" fillId="0" borderId="52" applyAlignment="1" pivotButton="0" quotePrefix="0" xfId="0">
      <alignment horizontal="right" vertical="center" wrapText="1"/>
    </xf>
    <xf numFmtId="10" fontId="62" fillId="0" borderId="44" applyAlignment="1" pivotButton="0" quotePrefix="0" xfId="0">
      <alignment horizontal="right" vertical="center" wrapText="1"/>
    </xf>
    <xf numFmtId="10" fontId="62" fillId="0" borderId="48" applyAlignment="1" pivotButton="0" quotePrefix="0" xfId="0">
      <alignment horizontal="right" vertical="center" wrapText="1"/>
    </xf>
    <xf numFmtId="170" fontId="62" fillId="0" borderId="65" applyAlignment="1" pivotButton="0" quotePrefix="0" xfId="0">
      <alignment horizontal="right" vertical="center" wrapText="1"/>
    </xf>
    <xf numFmtId="0" fontId="0" fillId="0" borderId="117" pivotButton="0" quotePrefix="0" xfId="0"/>
    <xf numFmtId="165" fontId="17" fillId="0" borderId="1" applyAlignment="1" pivotButton="0" quotePrefix="0" xfId="0">
      <alignment horizontal="center" vertical="center"/>
    </xf>
    <xf numFmtId="3" fontId="64" fillId="12" borderId="54" applyAlignment="1" pivotButton="0" quotePrefix="0" xfId="0">
      <alignment horizontal="right" vertical="center" wrapText="1"/>
    </xf>
    <xf numFmtId="3" fontId="62" fillId="0" borderId="54" applyAlignment="1" pivotButton="0" quotePrefix="0" xfId="0">
      <alignment horizontal="right" vertical="center" wrapText="1"/>
    </xf>
    <xf numFmtId="3" fontId="62" fillId="0" borderId="52" applyAlignment="1" pivotButton="0" quotePrefix="0" xfId="0">
      <alignment horizontal="right" vertical="center" wrapText="1"/>
    </xf>
    <xf numFmtId="2" fontId="65" fillId="0" borderId="0" applyAlignment="1" pivotButton="0" quotePrefix="0" xfId="0">
      <alignment horizontal="left" vertical="top" wrapText="1"/>
    </xf>
    <xf numFmtId="3" fontId="52" fillId="0" borderId="44" applyAlignment="1" pivotButton="0" quotePrefix="0" xfId="0">
      <alignment horizontal="right" vertical="center" wrapText="1"/>
    </xf>
    <xf numFmtId="3" fontId="52" fillId="0" borderId="48" applyAlignment="1" pivotButton="0" quotePrefix="0" xfId="0">
      <alignment horizontal="right" vertical="center" wrapText="1"/>
    </xf>
    <xf numFmtId="3" fontId="52" fillId="0" borderId="54" applyAlignment="1" pivotButton="0" quotePrefix="0" xfId="0">
      <alignment horizontal="right" vertical="center" wrapText="1"/>
    </xf>
    <xf numFmtId="3" fontId="66" fillId="0" borderId="54" applyAlignment="1" pivotButton="0" quotePrefix="0" xfId="0">
      <alignment horizontal="left" vertical="top" wrapText="1"/>
    </xf>
    <xf numFmtId="3" fontId="66" fillId="0" borderId="52" applyAlignment="1" pivotButton="0" quotePrefix="0" xfId="0">
      <alignment horizontal="left" vertical="top" wrapText="1"/>
    </xf>
    <xf numFmtId="3" fontId="62" fillId="0" borderId="44" applyAlignment="1" pivotButton="0" quotePrefix="0" xfId="0">
      <alignment horizontal="right" vertical="center" wrapText="1"/>
    </xf>
    <xf numFmtId="3" fontId="66" fillId="0" borderId="44" applyAlignment="1" pivotButton="0" quotePrefix="0" xfId="0">
      <alignment horizontal="left" vertical="top" wrapText="1"/>
    </xf>
    <xf numFmtId="3" fontId="66" fillId="0" borderId="48" applyAlignment="1" pivotButton="0" quotePrefix="0" xfId="0">
      <alignment horizontal="left" vertical="top" wrapText="1"/>
    </xf>
    <xf numFmtId="3" fontId="64" fillId="12" borderId="44" applyAlignment="1" pivotButton="0" quotePrefix="0" xfId="0">
      <alignment horizontal="right" vertical="center" wrapText="1"/>
    </xf>
    <xf numFmtId="3" fontId="69" fillId="0" borderId="65" applyAlignment="1" pivotButton="0" quotePrefix="0" xfId="0">
      <alignment horizontal="left" vertical="top" wrapText="1"/>
    </xf>
    <xf numFmtId="3" fontId="69" fillId="0" borderId="50" applyAlignment="1" pivotButton="0" quotePrefix="0" xfId="0">
      <alignment horizontal="left" vertical="top" wrapText="1"/>
    </xf>
    <xf numFmtId="49" fontId="0" fillId="0" borderId="54" applyAlignment="1" pivotButton="0" quotePrefix="0" xfId="0">
      <alignment horizontal="right" vertical="center" wrapText="1"/>
    </xf>
    <xf numFmtId="2" fontId="53" fillId="0" borderId="44" applyAlignment="1" pivotButton="0" quotePrefix="0" xfId="0">
      <alignment horizontal="right" vertical="center" wrapText="1"/>
    </xf>
    <xf numFmtId="2" fontId="52" fillId="0" borderId="44" applyAlignment="1" pivotButton="0" quotePrefix="0" xfId="0">
      <alignment horizontal="right" vertical="center" wrapText="1"/>
    </xf>
    <xf numFmtId="49" fontId="0" fillId="0" borderId="44" applyAlignment="1" pivotButton="0" quotePrefix="0" xfId="0">
      <alignment horizontal="right" vertical="center" wrapText="1"/>
    </xf>
    <xf numFmtId="49" fontId="0" fillId="0" borderId="65" applyAlignment="1" pivotButton="0" quotePrefix="0" xfId="0">
      <alignment horizontal="right" vertical="center" wrapText="1"/>
    </xf>
    <xf numFmtId="3" fontId="52" fillId="0" borderId="65" applyAlignment="1" pivotButton="0" quotePrefix="0" xfId="0">
      <alignment horizontal="right" vertical="center" wrapText="1"/>
    </xf>
    <xf numFmtId="3" fontId="52" fillId="0" borderId="50" applyAlignment="1" pivotButton="0" quotePrefix="0" xfId="0">
      <alignment horizontal="right" vertical="center" wrapText="1"/>
    </xf>
    <xf numFmtId="3" fontId="62" fillId="0" borderId="65" applyAlignment="1" pivotButton="0" quotePrefix="0" xfId="0">
      <alignment horizontal="right" vertical="center" wrapText="1"/>
    </xf>
    <xf numFmtId="3" fontId="62" fillId="0" borderId="50" applyAlignment="1" pivotButton="0" quotePrefix="0" xfId="0">
      <alignment horizontal="right" vertical="center" wrapText="1"/>
    </xf>
    <xf numFmtId="3" fontId="52" fillId="0" borderId="52" applyAlignment="1" pivotButton="0" quotePrefix="0" xfId="0">
      <alignment horizontal="right" vertical="center" wrapText="1"/>
    </xf>
    <xf numFmtId="172" fontId="53" fillId="0" borderId="52" applyAlignment="1" pivotButton="0" quotePrefix="0" xfId="0">
      <alignment horizontal="right" vertical="center" wrapText="1"/>
    </xf>
    <xf numFmtId="172" fontId="53" fillId="0" borderId="48" applyAlignment="1" pivotButton="0" quotePrefix="0" xfId="0">
      <alignment horizontal="right" vertical="center" wrapText="1"/>
    </xf>
    <xf numFmtId="172" fontId="52" fillId="0" borderId="48" applyAlignment="1" pivotButton="0" quotePrefix="0" xfId="0">
      <alignment horizontal="right" vertical="center" wrapText="1"/>
    </xf>
    <xf numFmtId="172" fontId="53" fillId="0" borderId="50" applyAlignment="1" pivotButton="0" quotePrefix="0" xfId="0">
      <alignment horizontal="right" vertical="center" wrapText="1"/>
    </xf>
    <xf numFmtId="167" fontId="6" fillId="0" borderId="1" applyAlignment="1" pivotButton="0" quotePrefix="0" xfId="0">
      <alignment horizontal="center" vertical="center"/>
    </xf>
    <xf numFmtId="167" fontId="21" fillId="0" borderId="1" applyAlignment="1" pivotButton="0" quotePrefix="0" xfId="0">
      <alignment horizontal="center" vertical="center"/>
    </xf>
    <xf numFmtId="3" fontId="52" fillId="0" borderId="44" applyAlignment="1" pivotButton="0" quotePrefix="0" xfId="0">
      <alignment horizontal="center" vertical="center" wrapText="1"/>
    </xf>
    <xf numFmtId="3" fontId="52" fillId="0" borderId="48" applyAlignment="1" pivotButton="0" quotePrefix="0" xfId="0">
      <alignment horizontal="center" vertical="center" wrapText="1"/>
    </xf>
    <xf numFmtId="3" fontId="53" fillId="0" borderId="44" applyAlignment="1" pivotButton="0" quotePrefix="0" xfId="0">
      <alignment horizontal="center" vertical="center" wrapText="1"/>
    </xf>
    <xf numFmtId="3" fontId="62" fillId="0" borderId="44" applyAlignment="1" pivotButton="0" quotePrefix="0" xfId="0">
      <alignment horizontal="center" vertical="center" wrapText="1"/>
    </xf>
    <xf numFmtId="3" fontId="62" fillId="0" borderId="48" applyAlignment="1" pivotButton="0" quotePrefix="0" xfId="0">
      <alignment horizontal="center" vertical="center" wrapText="1"/>
    </xf>
    <xf numFmtId="3" fontId="62" fillId="0" borderId="65" applyAlignment="1" pivotButton="0" quotePrefix="0" xfId="0">
      <alignment horizontal="center"/>
    </xf>
    <xf numFmtId="3" fontId="62" fillId="0" borderId="50" applyAlignment="1" pivotButton="0" quotePrefix="0" xfId="0">
      <alignment horizontal="center"/>
    </xf>
    <xf numFmtId="173" fontId="64" fillId="12" borderId="52" applyAlignment="1" pivotButton="0" quotePrefix="0" xfId="0">
      <alignment horizontal="center" vertical="center" wrapText="1"/>
    </xf>
    <xf numFmtId="0" fontId="0" fillId="8" borderId="48" applyAlignment="1" pivotButton="0" quotePrefix="0" xfId="0">
      <alignment horizontal="center" vertical="center" wrapText="1"/>
    </xf>
    <xf numFmtId="173" fontId="64" fillId="12" borderId="48" applyAlignment="1" pivotButton="0" quotePrefix="0" xfId="0">
      <alignment horizontal="center" vertical="center" wrapText="1"/>
    </xf>
    <xf numFmtId="0" fontId="0" fillId="8" borderId="65" applyAlignment="1" pivotButton="0" quotePrefix="0" xfId="0">
      <alignment horizontal="center" vertical="center" wrapText="1"/>
    </xf>
    <xf numFmtId="3" fontId="52" fillId="0" borderId="65" applyAlignment="1" pivotButton="0" quotePrefix="0" xfId="0">
      <alignment horizontal="center"/>
    </xf>
    <xf numFmtId="3" fontId="52" fillId="0" borderId="50" applyAlignment="1" pivotButton="0" quotePrefix="0" xfId="0">
      <alignment horizontal="center"/>
    </xf>
    <xf numFmtId="180" fontId="53" fillId="0" borderId="54" applyAlignment="1" pivotButton="0" quotePrefix="0" xfId="0">
      <alignment horizontal="center" vertical="center" wrapText="1"/>
    </xf>
    <xf numFmtId="3" fontId="62" fillId="0" borderId="54" applyAlignment="1" pivotButton="0" quotePrefix="0" xfId="0">
      <alignment horizontal="center" vertical="center" wrapText="1"/>
    </xf>
    <xf numFmtId="3" fontId="62" fillId="0" borderId="52" applyAlignment="1" pivotButton="0" quotePrefix="0" xfId="0">
      <alignment horizontal="center" vertical="center" wrapText="1"/>
    </xf>
    <xf numFmtId="180" fontId="53" fillId="0" borderId="44" applyAlignment="1" pivotButton="0" quotePrefix="0" xfId="0">
      <alignment horizontal="center" vertical="center" wrapText="1"/>
    </xf>
    <xf numFmtId="180" fontId="62" fillId="0" borderId="65" applyAlignment="1" pivotButton="0" quotePrefix="0" xfId="0">
      <alignment horizontal="center" vertical="center" wrapText="1"/>
    </xf>
    <xf numFmtId="3" fontId="62" fillId="0" borderId="65" applyAlignment="1" pivotButton="0" quotePrefix="0" xfId="0">
      <alignment horizontal="center" vertical="center" wrapText="1"/>
    </xf>
    <xf numFmtId="3" fontId="62" fillId="0" borderId="50" applyAlignment="1" pivotButton="0" quotePrefix="0" xfId="0">
      <alignment horizontal="center" vertical="center" wrapText="1"/>
    </xf>
    <xf numFmtId="49" fontId="0" fillId="0" borderId="52" applyAlignment="1" pivotButton="0" quotePrefix="0" xfId="0">
      <alignment horizontal="center" vertical="center" wrapText="1"/>
    </xf>
    <xf numFmtId="49" fontId="0" fillId="0" borderId="48" applyAlignment="1" pivotButton="0" quotePrefix="0" xfId="0">
      <alignment horizontal="center" vertical="center" wrapText="1"/>
    </xf>
    <xf numFmtId="9" fontId="53" fillId="0" borderId="65" applyAlignment="1" pivotButton="0" quotePrefix="0" xfId="0">
      <alignment horizontal="center" vertical="center" wrapText="1"/>
    </xf>
    <xf numFmtId="49" fontId="0" fillId="0" borderId="50" applyAlignment="1" pivotButton="0" quotePrefix="0" xfId="0">
      <alignment horizontal="center" vertical="center" wrapText="1"/>
    </xf>
    <xf numFmtId="3" fontId="52" fillId="0" borderId="50" applyAlignment="1" pivotButton="0" quotePrefix="0" xfId="0">
      <alignment horizontal="center" vertical="center" wrapText="1"/>
    </xf>
    <xf numFmtId="0" fontId="0" fillId="0" borderId="156" pivotButton="0" quotePrefix="0" xfId="0"/>
    <xf numFmtId="0" fontId="0" fillId="0" borderId="157" pivotButton="0" quotePrefix="0" xfId="0"/>
    <xf numFmtId="3" fontId="53" fillId="0" borderId="65" applyAlignment="1" pivotButton="0" quotePrefix="0" xfId="0">
      <alignment horizontal="center" vertical="center" wrapText="1"/>
    </xf>
    <xf numFmtId="169" fontId="21" fillId="0" borderId="20" applyAlignment="1" pivotButton="0" quotePrefix="0" xfId="0">
      <alignment horizontal="center" vertical="center"/>
    </xf>
    <xf numFmtId="3" fontId="52" fillId="0" borderId="54" applyAlignment="1" pivotButton="0" quotePrefix="0" xfId="0">
      <alignment horizontal="center" vertical="center" wrapText="1"/>
    </xf>
    <xf numFmtId="3" fontId="52" fillId="0" borderId="54" applyAlignment="1" pivotButton="0" quotePrefix="0" xfId="0">
      <alignment vertical="center" wrapText="1"/>
    </xf>
    <xf numFmtId="3" fontId="52" fillId="0" borderId="52" applyAlignment="1" pivotButton="0" quotePrefix="0" xfId="0">
      <alignment vertical="center" wrapText="1"/>
    </xf>
    <xf numFmtId="3" fontId="62" fillId="0" borderId="44" applyAlignment="1" pivotButton="0" quotePrefix="0" xfId="0">
      <alignment vertical="center" wrapText="1"/>
    </xf>
    <xf numFmtId="3" fontId="62" fillId="0" borderId="48" applyAlignment="1" pivotButton="0" quotePrefix="0" xfId="0">
      <alignment vertical="center" wrapText="1"/>
    </xf>
    <xf numFmtId="3" fontId="52" fillId="0" borderId="44" applyAlignment="1" pivotButton="0" quotePrefix="0" xfId="0">
      <alignment vertical="center" wrapText="1"/>
    </xf>
    <xf numFmtId="3" fontId="52" fillId="0" borderId="48" applyAlignment="1" pivotButton="0" quotePrefix="0" xfId="0">
      <alignment vertical="center" wrapText="1"/>
    </xf>
    <xf numFmtId="3" fontId="62" fillId="0" borderId="65" pivotButton="0" quotePrefix="0" xfId="0"/>
    <xf numFmtId="3" fontId="62" fillId="0" borderId="50" pivotButton="0" quotePrefix="0" xfId="0"/>
    <xf numFmtId="49" fontId="0" fillId="0" borderId="54" applyAlignment="1" pivotButton="0" quotePrefix="0" xfId="0">
      <alignment horizontal="center" vertical="center" wrapText="1"/>
    </xf>
    <xf numFmtId="49" fontId="0" fillId="0" borderId="44" applyAlignment="1" pivotButton="0" quotePrefix="0" xfId="0">
      <alignment horizontal="center" vertical="center" wrapText="1"/>
    </xf>
    <xf numFmtId="0" fontId="18" fillId="8" borderId="44" applyAlignment="1" pivotButton="0" quotePrefix="0" xfId="0">
      <alignment horizontal="center" vertical="top" wrapText="1"/>
    </xf>
    <xf numFmtId="0" fontId="18" fillId="8" borderId="44" applyAlignment="1" pivotButton="0" quotePrefix="0" xfId="0">
      <alignment horizontal="left" vertical="top" wrapText="1"/>
    </xf>
    <xf numFmtId="0" fontId="18" fillId="8" borderId="48" applyAlignment="1" pivotButton="0" quotePrefix="0" xfId="0">
      <alignment horizontal="left" vertical="top" wrapText="1"/>
    </xf>
    <xf numFmtId="0" fontId="18" fillId="8" borderId="65" applyAlignment="1" pivotButton="0" quotePrefix="0" xfId="0">
      <alignment horizontal="center" vertical="top" wrapText="1"/>
    </xf>
    <xf numFmtId="0" fontId="18" fillId="8" borderId="65" applyAlignment="1" pivotButton="0" quotePrefix="0" xfId="0">
      <alignment horizontal="left" vertical="top" wrapText="1"/>
    </xf>
    <xf numFmtId="0" fontId="18" fillId="8" borderId="50" applyAlignment="1" pivotButton="0" quotePrefix="0" xfId="0">
      <alignment horizontal="left" vertical="top" wrapText="1"/>
    </xf>
    <xf numFmtId="180" fontId="65" fillId="0" borderId="0" applyAlignment="1" pivotButton="0" quotePrefix="0" xfId="0">
      <alignment horizontal="left" vertical="top" wrapText="1"/>
    </xf>
    <xf numFmtId="167" fontId="21" fillId="0" borderId="20" applyAlignment="1" pivotButton="0" quotePrefix="0" xfId="0">
      <alignment horizontal="center" vertical="center"/>
    </xf>
    <xf numFmtId="167" fontId="6" fillId="0" borderId="20" applyAlignment="1" pivotButton="0" quotePrefix="0" xfId="0">
      <alignment horizontal="center" vertical="center"/>
    </xf>
    <xf numFmtId="177" fontId="52" fillId="0" borderId="44" applyAlignment="1" pivotButton="0" quotePrefix="0" xfId="0">
      <alignment horizontal="right" vertical="center" wrapText="1"/>
    </xf>
    <xf numFmtId="173" fontId="69" fillId="0" borderId="44" applyAlignment="1" pivotButton="0" quotePrefix="0" xfId="0">
      <alignment horizontal="left" vertical="center" wrapText="1"/>
    </xf>
    <xf numFmtId="3" fontId="69" fillId="0" borderId="44" applyAlignment="1" pivotButton="0" quotePrefix="0" xfId="0">
      <alignment horizontal="left" vertical="center" wrapText="1"/>
    </xf>
    <xf numFmtId="177" fontId="69" fillId="0" borderId="44" applyAlignment="1" pivotButton="0" quotePrefix="0" xfId="0">
      <alignment horizontal="left" vertical="center" wrapText="1"/>
    </xf>
    <xf numFmtId="177" fontId="53" fillId="0" borderId="44" applyAlignment="1" pivotButton="0" quotePrefix="0" xfId="0">
      <alignment horizontal="right" vertical="center" wrapText="1"/>
    </xf>
    <xf numFmtId="177" fontId="65" fillId="0" borderId="44" applyAlignment="1" pivotButton="0" quotePrefix="0" xfId="0">
      <alignment horizontal="left" vertical="center" wrapText="1"/>
    </xf>
    <xf numFmtId="177" fontId="62" fillId="0" borderId="44" applyAlignment="1" pivotButton="0" quotePrefix="0" xfId="0">
      <alignment horizontal="right" vertical="center" wrapText="1"/>
    </xf>
    <xf numFmtId="177" fontId="66" fillId="0" borderId="44" applyAlignment="1" pivotButton="0" quotePrefix="0" xfId="0">
      <alignment horizontal="left" vertical="center" wrapText="1"/>
    </xf>
    <xf numFmtId="9" fontId="62" fillId="0" borderId="44" applyAlignment="1" pivotButton="0" quotePrefix="0" xfId="0">
      <alignment horizontal="right" vertical="center" wrapText="1"/>
    </xf>
    <xf numFmtId="177" fontId="52" fillId="0" borderId="44" applyAlignment="1" pivotButton="0" quotePrefix="0" xfId="0">
      <alignment horizontal="center" vertical="center" wrapText="1"/>
    </xf>
    <xf numFmtId="177" fontId="62" fillId="0" borderId="44" applyAlignment="1" pivotButton="0" quotePrefix="0" xfId="0">
      <alignment horizontal="center"/>
    </xf>
    <xf numFmtId="177" fontId="62" fillId="0" borderId="44" applyAlignment="1" pivotButton="0" quotePrefix="0" xfId="0">
      <alignment horizontal="center" vertical="center" wrapText="1"/>
    </xf>
    <xf numFmtId="180" fontId="65" fillId="0" borderId="0" applyAlignment="1" pivotButton="0" quotePrefix="0" xfId="0">
      <alignment horizontal="left" vertical="center" wrapText="1"/>
    </xf>
    <xf numFmtId="167" fontId="6" fillId="0" borderId="1" applyAlignment="1" pivotButton="0" quotePrefix="0" xfId="0">
      <alignment horizontal="right" vertical="center"/>
    </xf>
    <xf numFmtId="167" fontId="9" fillId="0" borderId="1" applyAlignment="1" pivotButton="0" quotePrefix="0" xfId="0">
      <alignment horizontal="right" vertical="center"/>
    </xf>
    <xf numFmtId="167" fontId="21" fillId="0" borderId="1" applyAlignment="1" pivotButton="0" quotePrefix="0" xfId="0">
      <alignment horizontal="right" vertical="center"/>
    </xf>
    <xf numFmtId="167" fontId="21" fillId="0" borderId="20" applyAlignment="1" pivotButton="0" quotePrefix="0" xfId="0">
      <alignment horizontal="right" vertical="center"/>
    </xf>
    <xf numFmtId="170" fontId="62" fillId="0" borderId="44" applyAlignment="1" pivotButton="0" quotePrefix="0" xfId="0">
      <alignment vertical="center" wrapText="1"/>
    </xf>
    <xf numFmtId="170" fontId="52" fillId="0" borderId="44" applyAlignment="1" pivotButton="0" quotePrefix="0" xfId="0">
      <alignment vertical="center" wrapText="1"/>
    </xf>
    <xf numFmtId="170" fontId="62" fillId="0" borderId="44" pivotButton="0" quotePrefix="0" xfId="0"/>
    <xf numFmtId="10" fontId="53" fillId="0" borderId="44" applyAlignment="1" pivotButton="0" quotePrefix="0" xfId="0">
      <alignment horizontal="right" vertical="center" wrapText="1"/>
    </xf>
    <xf numFmtId="181" fontId="62" fillId="0" borderId="44" applyAlignment="1" pivotButton="0" quotePrefix="0" xfId="0">
      <alignment horizontal="right" vertical="center" wrapText="1"/>
    </xf>
    <xf numFmtId="181" fontId="53" fillId="0" borderId="44" applyAlignment="1" pivotButton="0" quotePrefix="0" xfId="0">
      <alignment horizontal="right" vertical="center" wrapText="1"/>
    </xf>
    <xf numFmtId="165" fontId="21" fillId="0" borderId="1" applyAlignment="1" pivotButton="0" quotePrefix="0" xfId="0">
      <alignment horizontal="right" vertical="center"/>
    </xf>
    <xf numFmtId="177" fontId="62" fillId="0" borderId="44" applyAlignment="1" pivotButton="0" quotePrefix="0" xfId="0">
      <alignment vertical="center" wrapText="1"/>
    </xf>
    <xf numFmtId="177" fontId="52" fillId="0" borderId="44" applyAlignment="1" pivotButton="0" quotePrefix="0" xfId="0">
      <alignment vertical="center" wrapText="1"/>
    </xf>
    <xf numFmtId="3" fontId="52" fillId="0" borderId="44" pivotButton="0" quotePrefix="0" xfId="0"/>
    <xf numFmtId="179" fontId="65" fillId="0" borderId="0" applyAlignment="1" pivotButton="0" quotePrefix="0" xfId="0">
      <alignment horizontal="left" vertical="center" wrapText="1"/>
    </xf>
    <xf numFmtId="177" fontId="62" fillId="0" borderId="44" pivotButton="0" quotePrefix="0" xfId="0"/>
    <xf numFmtId="177" fontId="53" fillId="0" borderId="44" applyAlignment="1" pivotButton="0" quotePrefix="0" xfId="0">
      <alignment vertical="center" wrapText="1"/>
    </xf>
    <xf numFmtId="0" fontId="0" fillId="8" borderId="44" applyAlignment="1" pivotButton="0" quotePrefix="0" xfId="0">
      <alignment vertical="center" wrapText="1"/>
    </xf>
    <xf numFmtId="177" fontId="52" fillId="0" borderId="44" pivotButton="0" quotePrefix="0" xfId="0"/>
    <xf numFmtId="3" fontId="52" fillId="0" borderId="1" applyAlignment="1" pivotButton="0" quotePrefix="0" xfId="0">
      <alignment horizontal="center" vertical="center"/>
    </xf>
    <xf numFmtId="177" fontId="62" fillId="0" borderId="1" applyAlignment="1" pivotButton="0" quotePrefix="0" xfId="0">
      <alignment horizontal="center" vertical="center"/>
    </xf>
    <xf numFmtId="10" fontId="52" fillId="0" borderId="1" applyAlignment="1" pivotButton="0" quotePrefix="0" xfId="0">
      <alignment horizontal="center" vertical="center"/>
    </xf>
    <xf numFmtId="177" fontId="53" fillId="0" borderId="1" applyAlignment="1" pivotButton="0" quotePrefix="0" xfId="0">
      <alignment horizontal="center" vertical="center"/>
    </xf>
    <xf numFmtId="10" fontId="62" fillId="0" borderId="20" applyAlignment="1" pivotButton="0" quotePrefix="0" xfId="0">
      <alignment horizontal="center" vertical="center"/>
    </xf>
    <xf numFmtId="177" fontId="53" fillId="0" borderId="44" applyAlignment="1" pivotButton="0" quotePrefix="0" xfId="0">
      <alignment horizontal="center" vertical="center" wrapText="1"/>
    </xf>
    <xf numFmtId="9" fontId="65" fillId="0" borderId="0" applyAlignment="1" pivotButton="0" quotePrefix="0" xfId="0">
      <alignment horizontal="left" vertical="center" wrapText="1"/>
    </xf>
    <xf numFmtId="172" fontId="52" fillId="0" borderId="44" applyAlignment="1" pivotButton="0" quotePrefix="0" xfId="0">
      <alignment horizontal="center" vertical="center" wrapText="1"/>
    </xf>
    <xf numFmtId="177" fontId="53" fillId="0" borderId="44" applyAlignment="1" pivotButton="0" quotePrefix="0" xfId="0">
      <alignment horizontal="center"/>
    </xf>
    <xf numFmtId="177" fontId="53" fillId="0" borderId="44" pivotButton="0" quotePrefix="0" xfId="0"/>
    <xf numFmtId="167" fontId="9" fillId="0" borderId="20" applyAlignment="1" pivotButton="0" quotePrefix="0" xfId="0">
      <alignment horizontal="center" vertical="center"/>
    </xf>
    <xf numFmtId="49" fontId="62" fillId="0" borderId="44" applyAlignment="1" pivotButton="0" quotePrefix="0" xfId="0">
      <alignment vertical="center" wrapText="1"/>
    </xf>
    <xf numFmtId="49" fontId="62" fillId="0" borderId="44" pivotButton="0" quotePrefix="0" xfId="0"/>
    <xf numFmtId="171" fontId="62" fillId="0" borderId="44" applyAlignment="1" pivotButton="0" quotePrefix="0" xfId="0">
      <alignment horizontal="right" vertical="center" wrapText="1"/>
    </xf>
    <xf numFmtId="173" fontId="52" fillId="0" borderId="44" applyAlignment="1" pivotButton="0" quotePrefix="0" xfId="0">
      <alignment vertical="center" wrapText="1"/>
    </xf>
    <xf numFmtId="9" fontId="53" fillId="0" borderId="44" applyAlignment="1" pivotButton="0" quotePrefix="0" xfId="0">
      <alignment vertical="center" wrapText="1"/>
    </xf>
    <xf numFmtId="171" fontId="52" fillId="0" borderId="44" applyAlignment="1" pivotButton="0" quotePrefix="0" xfId="0">
      <alignment horizontal="right" vertical="center" wrapText="1"/>
    </xf>
    <xf numFmtId="49" fontId="62" fillId="0" borderId="44" applyAlignment="1" pivotButton="0" quotePrefix="0" xfId="0">
      <alignment horizontal="right" vertical="center" wrapText="1"/>
    </xf>
    <xf numFmtId="178" fontId="52" fillId="0" borderId="44" applyAlignment="1" pivotButton="0" quotePrefix="0" xfId="0">
      <alignment horizontal="right" vertical="center" wrapText="1"/>
    </xf>
    <xf numFmtId="172" fontId="52" fillId="0" borderId="44" applyAlignment="1" pivotButton="0" quotePrefix="0" xfId="0">
      <alignment horizontal="right" vertical="center" wrapText="1"/>
    </xf>
    <xf numFmtId="0" fontId="68" fillId="0" borderId="44" applyAlignment="1" pivotButton="0" quotePrefix="0" xfId="0">
      <alignment vertical="top" wrapText="1"/>
    </xf>
    <xf numFmtId="175" fontId="52" fillId="0" borderId="44" applyAlignment="1" pivotButton="0" quotePrefix="0" xfId="0">
      <alignment vertical="center" wrapText="1"/>
    </xf>
    <xf numFmtId="182" fontId="64" fillId="12" borderId="44" applyAlignment="1" pivotButton="0" quotePrefix="0" xfId="0">
      <alignment horizontal="right" vertical="center" wrapText="1"/>
    </xf>
    <xf numFmtId="182" fontId="62" fillId="0" borderId="44" applyAlignment="1" pivotButton="0" quotePrefix="0" xfId="0">
      <alignment horizontal="right" vertical="center" wrapText="1"/>
    </xf>
    <xf numFmtId="170" fontId="64" fillId="12" borderId="44" applyAlignment="1" pivotButton="0" quotePrefix="0" xfId="0">
      <alignment horizontal="right" vertical="center" wrapText="1"/>
    </xf>
    <xf numFmtId="182" fontId="62" fillId="0" borderId="44" applyAlignment="1" pivotButton="0" quotePrefix="0" xfId="0">
      <alignment vertical="center" wrapText="1"/>
    </xf>
    <xf numFmtId="170" fontId="64" fillId="12" borderId="44" applyAlignment="1" pivotButton="0" quotePrefix="0" xfId="0">
      <alignment vertical="center" wrapText="1"/>
    </xf>
    <xf numFmtId="182" fontId="62" fillId="0" borderId="44" pivotButton="0" quotePrefix="0" xfId="0"/>
    <xf numFmtId="0" fontId="21" fillId="0" borderId="158" applyAlignment="1" pivotButton="0" quotePrefix="0" xfId="0">
      <alignment horizontal="left" vertical="center"/>
    </xf>
    <xf numFmtId="0" fontId="0" fillId="0" borderId="37" pivotButton="0" quotePrefix="0" xfId="0"/>
    <xf numFmtId="0" fontId="0" fillId="0" borderId="3" pivotButton="0" quotePrefix="0" xfId="0"/>
    <xf numFmtId="164" fontId="21" fillId="0" borderId="20" applyAlignment="1" pivotButton="0" quotePrefix="0" xfId="0">
      <alignment horizontal="center" vertical="center"/>
    </xf>
    <xf numFmtId="171" fontId="52" fillId="0" borderId="44" applyAlignment="1" pivotButton="0" quotePrefix="0" xfId="0">
      <alignment vertical="center" wrapText="1"/>
    </xf>
    <xf numFmtId="4" fontId="52" fillId="0" borderId="44" applyAlignment="1" pivotButton="0" quotePrefix="0" xfId="0">
      <alignment vertical="center" wrapText="1"/>
    </xf>
    <xf numFmtId="173" fontId="62" fillId="0" borderId="44" applyAlignment="1" pivotButton="0" quotePrefix="0" xfId="0">
      <alignment vertical="center" wrapText="1"/>
    </xf>
    <xf numFmtId="170" fontId="53" fillId="0" borderId="44" applyAlignment="1" pivotButton="0" quotePrefix="0" xfId="0">
      <alignment vertical="center" wrapText="1"/>
    </xf>
    <xf numFmtId="2" fontId="53" fillId="0" borderId="44" applyAlignment="1" pivotButton="0" quotePrefix="0" xfId="0">
      <alignment vertical="center" wrapText="1"/>
    </xf>
    <xf numFmtId="2" fontId="62" fillId="0" borderId="44" applyAlignment="1" pivotButton="0" quotePrefix="0" xfId="0">
      <alignment vertical="center" wrapText="1"/>
    </xf>
    <xf numFmtId="9" fontId="62" fillId="0" borderId="44" applyAlignment="1" pivotButton="0" quotePrefix="0" xfId="0">
      <alignment vertical="center" wrapText="1"/>
    </xf>
    <xf numFmtId="9" fontId="53" fillId="0" borderId="44" pivotButton="0" quotePrefix="0" xfId="0"/>
    <xf numFmtId="9" fontId="62" fillId="0" borderId="44" pivotButton="0" quotePrefix="0" xfId="0"/>
    <xf numFmtId="4" fontId="62" fillId="0" borderId="44" applyAlignment="1" pivotButton="0" quotePrefix="0" xfId="0">
      <alignment vertical="center" wrapText="1"/>
    </xf>
    <xf numFmtId="3" fontId="53" fillId="0" borderId="44" applyAlignment="1" pivotButton="0" quotePrefix="0" xfId="0">
      <alignment vertical="center" wrapText="1"/>
    </xf>
    <xf numFmtId="170" fontId="65" fillId="0" borderId="0" applyAlignment="1" pivotButton="0" quotePrefix="0" xfId="0">
      <alignment horizontal="left" vertical="center" wrapText="1"/>
    </xf>
    <xf numFmtId="173" fontId="53" fillId="0" borderId="44" applyAlignment="1" pivotButton="0" quotePrefix="0" xfId="0">
      <alignment vertical="center" wrapText="1"/>
    </xf>
    <xf numFmtId="171" fontId="62" fillId="0" borderId="44" pivotButton="0" quotePrefix="0" xfId="0"/>
    <xf numFmtId="164" fontId="6" fillId="2" borderId="1" applyAlignment="1" pivotButton="0" quotePrefix="0" xfId="0">
      <alignment horizontal="center" vertical="center"/>
    </xf>
    <xf numFmtId="166" fontId="6" fillId="2" borderId="1" applyAlignment="1" pivotButton="0" quotePrefix="0" xfId="0">
      <alignment horizontal="center" vertical="center"/>
    </xf>
    <xf numFmtId="167" fontId="9" fillId="0" borderId="1" applyAlignment="1" pivotButton="0" quotePrefix="0" xfId="0">
      <alignment horizontal="center" vertical="center"/>
    </xf>
    <xf numFmtId="10" fontId="52" fillId="0" borderId="44" applyAlignment="1" pivotButton="0" quotePrefix="0" xfId="0">
      <alignment horizontal="right" vertical="center" wrapText="1"/>
    </xf>
    <xf numFmtId="178" fontId="52" fillId="0" borderId="44" pivotButton="0" quotePrefix="0" xfId="0"/>
    <xf numFmtId="165" fontId="21" fillId="0" borderId="1" applyAlignment="1" pivotButton="0" quotePrefix="0" xfId="0">
      <alignment horizontal="center" vertical="center"/>
    </xf>
    <xf numFmtId="0" fontId="0" fillId="0" borderId="159" pivotButton="0" quotePrefix="0" xfId="0"/>
    <xf numFmtId="0" fontId="0" fillId="0" borderId="160" pivotButton="0" quotePrefix="0" xfId="0"/>
    <xf numFmtId="0" fontId="0" fillId="0" borderId="161" pivotButton="0" quotePrefix="0" xfId="0"/>
    <xf numFmtId="0" fontId="54" fillId="9" borderId="0" pivotButton="0" quotePrefix="0" xfId="0"/>
    <xf numFmtId="0" fontId="0" fillId="9" borderId="0" pivotButton="0" quotePrefix="0" xfId="0"/>
    <xf numFmtId="0" fontId="55" fillId="0" borderId="0" applyAlignment="1" pivotButton="0" quotePrefix="0" xfId="0">
      <alignment vertical="top" wrapText="1"/>
    </xf>
    <xf numFmtId="0" fontId="56" fillId="10" borderId="163" applyAlignment="1" pivotButton="0" quotePrefix="0" xfId="0">
      <alignment horizontal="center" vertical="center" wrapText="1"/>
    </xf>
    <xf numFmtId="0" fontId="57" fillId="11" borderId="163" pivotButton="0" quotePrefix="0" xfId="0"/>
    <xf numFmtId="0" fontId="0" fillId="11" borderId="163" pivotButton="0" quotePrefix="0" xfId="0"/>
    <xf numFmtId="0" fontId="58" fillId="0" borderId="163" applyAlignment="1" pivotButton="0" quotePrefix="0" xfId="0">
      <alignment vertical="center" indent="1"/>
    </xf>
    <xf numFmtId="0" fontId="59" fillId="0" borderId="163" applyAlignment="1" pivotButton="0" quotePrefix="0" xfId="0">
      <alignment horizontal="center" vertical="center"/>
    </xf>
    <xf numFmtId="170" fontId="60" fillId="0" borderId="163" applyAlignment="1" pivotButton="0" quotePrefix="0" xfId="0">
      <alignment horizontal="right" vertical="center"/>
    </xf>
    <xf numFmtId="0" fontId="61" fillId="0" borderId="163" applyAlignment="1" pivotButton="0" quotePrefix="0" xfId="0">
      <alignment horizontal="right" vertical="center"/>
    </xf>
    <xf numFmtId="172" fontId="60" fillId="0" borderId="163" applyAlignment="1" pivotButton="0" quotePrefix="0" xfId="0">
      <alignment horizontal="right" vertical="center"/>
    </xf>
    <xf numFmtId="170" fontId="61" fillId="0" borderId="163" applyAlignment="1" pivotButton="0" quotePrefix="0" xfId="0">
      <alignment horizontal="right" vertical="center"/>
    </xf>
    <xf numFmtId="173" fontId="60" fillId="0" borderId="163" applyAlignment="1" pivotButton="0" quotePrefix="0" xfId="0">
      <alignment horizontal="right" vertical="center"/>
    </xf>
    <xf numFmtId="173" fontId="61" fillId="0" borderId="163" applyAlignment="1" pivotButton="0" quotePrefix="0" xfId="0">
      <alignment horizontal="right" vertical="center"/>
    </xf>
    <xf numFmtId="175" fontId="60" fillId="0" borderId="163" applyAlignment="1" pivotButton="0" quotePrefix="0" xfId="0">
      <alignment horizontal="right" vertical="center"/>
    </xf>
    <xf numFmtId="174" fontId="60" fillId="0" borderId="163" applyAlignment="1" pivotButton="0" quotePrefix="0" xfId="0">
      <alignment horizontal="right" vertical="center"/>
    </xf>
    <xf numFmtId="0" fontId="0" fillId="0" borderId="163" applyAlignment="1" pivotButton="0" quotePrefix="0" xfId="0">
      <alignment horizontal="right" vertical="center"/>
    </xf>
    <xf numFmtId="9" fontId="60" fillId="0" borderId="163" applyAlignment="1" pivotButton="0" quotePrefix="0" xfId="0">
      <alignment horizontal="right" vertical="center"/>
    </xf>
    <xf numFmtId="3" fontId="60" fillId="0" borderId="163" applyAlignment="1" pivotButton="0" quotePrefix="0" xfId="0">
      <alignment horizontal="right" vertical="center"/>
    </xf>
    <xf numFmtId="176" fontId="60" fillId="0" borderId="163" applyAlignment="1" pivotButton="0" quotePrefix="0" xfId="0">
      <alignment horizontal="right" vertical="center"/>
    </xf>
    <xf numFmtId="176" fontId="61" fillId="0" borderId="163" applyAlignment="1" pivotButton="0" quotePrefix="0" xfId="0">
      <alignment horizontal="right" vertical="center"/>
    </xf>
    <xf numFmtId="3" fontId="61" fillId="0" borderId="163" applyAlignment="1" pivotButton="0" quotePrefix="0" xfId="0">
      <alignment horizontal="right" vertical="center"/>
    </xf>
    <xf numFmtId="10" fontId="60" fillId="0" borderId="163" applyAlignment="1" pivotButton="0" quotePrefix="0" xfId="0">
      <alignment horizontal="right" vertical="center"/>
    </xf>
    <xf numFmtId="177" fontId="61" fillId="0" borderId="163" applyAlignment="1" pivotButton="0" quotePrefix="0" xfId="0">
      <alignment horizontal="right" vertical="center"/>
    </xf>
    <xf numFmtId="178" fontId="60" fillId="0" borderId="163" applyAlignment="1" pivotButton="0" quotePrefix="0" xfId="0">
      <alignment horizontal="right" vertical="center"/>
    </xf>
    <xf numFmtId="171" fontId="61" fillId="0" borderId="163" applyAlignment="1" pivotButton="0" quotePrefix="0" xfId="0">
      <alignment horizontal="right" vertical="center"/>
    </xf>
    <xf numFmtId="49" fontId="52" fillId="0" borderId="44" applyAlignment="1" pivotButton="0" quotePrefix="0" xfId="0">
      <alignment vertical="center" wrapText="1"/>
    </xf>
    <xf numFmtId="178" fontId="62" fillId="0" borderId="44" applyAlignment="1" pivotButton="0" quotePrefix="0" xfId="0">
      <alignment horizontal="right" vertical="center" wrapText="1"/>
    </xf>
    <xf numFmtId="183" fontId="43" fillId="3" borderId="44" applyAlignment="1" pivotButton="0" quotePrefix="0" xfId="0">
      <alignment horizontal="center" vertical="center" wrapText="1"/>
    </xf>
    <xf numFmtId="183" fontId="53" fillId="0" borderId="44" applyAlignment="1" pivotButton="0" quotePrefix="0" xfId="0">
      <alignment horizontal="center" vertical="center" wrapText="1"/>
    </xf>
    <xf numFmtId="167" fontId="6" fillId="0" borderId="40" applyAlignment="1" pivotButton="0" quotePrefix="0" xfId="0">
      <alignment horizontal="center" vertical="center" wrapText="1"/>
    </xf>
    <xf numFmtId="0" fontId="0" fillId="0" borderId="162" pivotButton="0" quotePrefix="0" xfId="0"/>
    <xf numFmtId="167" fontId="9" fillId="0" borderId="38" applyAlignment="1" pivotButton="0" quotePrefix="0" xfId="0">
      <alignment horizontal="right" vertical="center"/>
    </xf>
    <xf numFmtId="167" fontId="6" fillId="0" borderId="16" applyAlignment="1" pivotButton="0" quotePrefix="0" xfId="0">
      <alignment horizontal="right" vertical="center"/>
    </xf>
    <xf numFmtId="165" fontId="6" fillId="0" borderId="18" applyAlignment="1" pivotButton="0" quotePrefix="0" xfId="0">
      <alignment horizontal="right" vertical="center"/>
    </xf>
    <xf numFmtId="169" fontId="6" fillId="0" borderId="18" applyAlignment="1" pivotButton="0" quotePrefix="0" xfId="0">
      <alignment horizontal="right" vertical="center"/>
    </xf>
    <xf numFmtId="167" fontId="6" fillId="0" borderId="18" applyAlignment="1" pivotButton="0" quotePrefix="0" xfId="0">
      <alignment horizontal="right" vertical="center"/>
    </xf>
    <xf numFmtId="164" fontId="6" fillId="0" borderId="18" applyAlignment="1" pivotButton="0" quotePrefix="0" xfId="0">
      <alignment horizontal="right" vertical="center"/>
    </xf>
    <xf numFmtId="166" fontId="6" fillId="0" borderId="18" applyAlignment="1" pivotButton="0" quotePrefix="0" xfId="0">
      <alignment horizontal="right" vertical="center"/>
    </xf>
    <xf numFmtId="167" fontId="6" fillId="0" borderId="21" applyAlignment="1" pivotButton="0" quotePrefix="0" xfId="0">
      <alignment horizontal="right" vertical="center"/>
    </xf>
    <xf numFmtId="167" fontId="14" fillId="2" borderId="15" applyAlignment="1" pivotButton="0" quotePrefix="0" xfId="0">
      <alignment horizontal="center" vertical="center" wrapText="1"/>
    </xf>
    <xf numFmtId="167" fontId="14" fillId="2" borderId="16" applyAlignment="1" pivotButton="0" quotePrefix="0" xfId="0">
      <alignment horizontal="center" vertical="center" wrapText="1"/>
    </xf>
    <xf numFmtId="167" fontId="14" fillId="2" borderId="17" applyAlignment="1" pivotButton="0" quotePrefix="0" xfId="0">
      <alignment horizontal="right" vertical="center"/>
    </xf>
    <xf numFmtId="167" fontId="6" fillId="0" borderId="18" applyAlignment="1" pivotButton="0" quotePrefix="0" xfId="0">
      <alignment horizontal="center" vertical="center"/>
    </xf>
    <xf numFmtId="167" fontId="14" fillId="2" borderId="19" applyAlignment="1" pivotButton="0" quotePrefix="0" xfId="0">
      <alignment horizontal="right" vertical="center"/>
    </xf>
    <xf numFmtId="167" fontId="6" fillId="0" borderId="21" applyAlignment="1" pivotButton="0" quotePrefix="0" xfId="0">
      <alignment horizontal="center" vertical="center"/>
    </xf>
    <xf numFmtId="165" fontId="14" fillId="2" borderId="17" applyAlignment="1" pivotButton="0" quotePrefix="0" xfId="0">
      <alignment horizontal="right" vertical="center"/>
    </xf>
    <xf numFmtId="165" fontId="14" fillId="2" borderId="19" applyAlignment="1" pivotButton="0" quotePrefix="0" xfId="0">
      <alignment horizontal="right" vertical="center"/>
    </xf>
    <xf numFmtId="167" fontId="6" fillId="0" borderId="20" applyAlignment="1" pivotButton="0" quotePrefix="0" xfId="0">
      <alignment horizontal="right" vertical="center"/>
    </xf>
    <xf numFmtId="177" fontId="64" fillId="12" borderId="44" applyAlignment="1" pivotButton="0" quotePrefix="0" xfId="0">
      <alignment horizontal="right" vertical="center" wrapText="1"/>
    </xf>
    <xf numFmtId="0" fontId="18" fillId="8" borderId="44" applyAlignment="1" pivotButton="0" quotePrefix="0" xfId="0">
      <alignment horizontal="left" vertical="center" wrapText="1"/>
    </xf>
    <xf numFmtId="177" fontId="70" fillId="12" borderId="44" applyAlignment="1" pivotButton="0" quotePrefix="0" xfId="0">
      <alignment horizontal="left" vertical="center" wrapText="1"/>
    </xf>
    <xf numFmtId="172" fontId="66" fillId="0" borderId="44" applyAlignment="1" pivotButton="0" quotePrefix="0" xfId="0">
      <alignment horizontal="left" vertical="center" wrapText="1"/>
    </xf>
    <xf numFmtId="3" fontId="66" fillId="0" borderId="44" applyAlignment="1" pivotButton="0" quotePrefix="0" xfId="0">
      <alignment horizontal="left" vertical="center" wrapText="1"/>
    </xf>
    <xf numFmtId="167" fontId="66" fillId="0" borderId="1" applyAlignment="1" pivotButton="0" quotePrefix="0" xfId="0">
      <alignment horizontal="center" vertical="center"/>
    </xf>
    <xf numFmtId="0" fontId="0" fillId="0" borderId="42" pivotButton="0" quotePrefix="0" xfId="0"/>
    <xf numFmtId="167" fontId="7" fillId="0" borderId="1" applyAlignment="1" pivotButton="0" quotePrefix="0" xfId="0">
      <alignment horizontal="right" vertical="center"/>
    </xf>
    <xf numFmtId="167" fontId="21" fillId="0" borderId="15" applyAlignment="1" pivotButton="0" quotePrefix="0" xfId="0">
      <alignment horizontal="right" vertical="center"/>
    </xf>
    <xf numFmtId="168" fontId="72" fillId="0" borderId="1" applyAlignment="1" pivotButton="0" quotePrefix="0" xfId="0">
      <alignment horizontal="right" vertical="center"/>
    </xf>
    <xf numFmtId="167" fontId="20" fillId="0" borderId="1" applyAlignment="1" pivotButton="0" quotePrefix="0" xfId="0">
      <alignment horizontal="right" vertical="center"/>
    </xf>
    <xf numFmtId="165" fontId="7" fillId="0" borderId="20" applyAlignment="1" pivotButton="0" quotePrefix="0" xfId="0">
      <alignment horizontal="right" vertical="center"/>
    </xf>
    <xf numFmtId="0" fontId="63" fillId="0" borderId="124" applyAlignment="1" pivotButton="0" quotePrefix="0" xfId="2">
      <alignment horizontal="center" vertical="center"/>
    </xf>
    <xf numFmtId="0" fontId="63" fillId="0" borderId="124" applyAlignment="1" pivotButton="0" quotePrefix="0" xfId="2">
      <alignment horizontal="center"/>
    </xf>
    <xf numFmtId="0" fontId="63" fillId="0" borderId="125" applyAlignment="1" pivotButton="0" quotePrefix="0" xfId="0">
      <alignment horizontal="center"/>
    </xf>
    <xf numFmtId="168" fontId="69" fillId="0" borderId="1" applyAlignment="1" pivotButton="0" quotePrefix="0" xfId="0">
      <alignment horizontal="right" vertical="center"/>
    </xf>
    <xf numFmtId="0" fontId="54" fillId="9" borderId="0" applyAlignment="1" pivotButton="0" quotePrefix="0" xfId="0">
      <alignment horizontal="left" vertical="center" indent="1"/>
    </xf>
    <xf numFmtId="0" fontId="56" fillId="10" borderId="164" applyAlignment="1" pivotButton="0" quotePrefix="0" xfId="0">
      <alignment horizontal="center" vertical="center"/>
    </xf>
    <xf numFmtId="0" fontId="75" fillId="0" borderId="164" applyAlignment="1" pivotButton="0" quotePrefix="0" xfId="0">
      <alignment horizontal="left" vertical="center"/>
    </xf>
    <xf numFmtId="0" fontId="58" fillId="0" borderId="164" applyAlignment="1" pivotButton="0" quotePrefix="0" xfId="0">
      <alignment horizontal="center" vertical="center"/>
    </xf>
    <xf numFmtId="0" fontId="76" fillId="9" borderId="0" applyAlignment="1" pivotButton="0" quotePrefix="0" xfId="0">
      <alignment horizontal="left" vertical="center" indent="1"/>
    </xf>
    <xf numFmtId="0" fontId="77" fillId="0" borderId="0" applyAlignment="1" pivotButton="0" quotePrefix="0" xfId="0">
      <alignment vertical="top" wrapText="1"/>
    </xf>
    <xf numFmtId="0" fontId="56" fillId="10" borderId="164" applyAlignment="1" pivotButton="0" quotePrefix="0" xfId="0">
      <alignment horizontal="center" vertical="center" wrapText="1"/>
    </xf>
    <xf numFmtId="0" fontId="78" fillId="13" borderId="164" applyAlignment="1" pivotButton="0" quotePrefix="0" xfId="0">
      <alignment horizontal="center" vertical="top" wrapText="1"/>
    </xf>
    <xf numFmtId="0" fontId="68" fillId="0" borderId="164" applyAlignment="1" pivotButton="0" quotePrefix="0" xfId="0">
      <alignment horizontal="left" vertical="top" wrapText="1"/>
    </xf>
    <xf numFmtId="0" fontId="68" fillId="0" borderId="164" applyAlignment="1" pivotButton="0" quotePrefix="0" xfId="0">
      <alignment horizontal="center" vertical="top" wrapText="1"/>
    </xf>
    <xf numFmtId="0" fontId="68" fillId="14" borderId="164" applyAlignment="1" pivotButton="0" quotePrefix="0" xfId="0">
      <alignment horizontal="left" vertical="top" wrapText="1"/>
    </xf>
    <xf numFmtId="0" fontId="68" fillId="14" borderId="164" applyAlignment="1" pivotButton="0" quotePrefix="0" xfId="0">
      <alignment horizontal="center" vertical="top" wrapText="1"/>
    </xf>
    <xf numFmtId="3" fontId="78" fillId="0" borderId="164" applyAlignment="1" pivotButton="0" quotePrefix="0" xfId="0">
      <alignment horizontal="left" vertical="top" wrapText="1"/>
    </xf>
    <xf numFmtId="2" fontId="78" fillId="0" borderId="164" applyAlignment="1" pivotButton="0" quotePrefix="0" xfId="0">
      <alignment horizontal="left" vertical="top" wrapText="1"/>
    </xf>
    <xf numFmtId="1" fontId="78" fillId="0" borderId="164" applyAlignment="1" pivotButton="0" quotePrefix="0" xfId="0">
      <alignment horizontal="left" vertical="top" wrapText="1"/>
    </xf>
    <xf numFmtId="1" fontId="78" fillId="14" borderId="164" applyAlignment="1" pivotButton="0" quotePrefix="0" xfId="0">
      <alignment horizontal="left" vertical="top" wrapText="1"/>
    </xf>
    <xf numFmtId="4" fontId="78" fillId="14" borderId="164" applyAlignment="1" pivotButton="0" quotePrefix="0" xfId="0">
      <alignment horizontal="left" vertical="top" wrapText="1"/>
    </xf>
    <xf numFmtId="4" fontId="78" fillId="0" borderId="164" applyAlignment="1" pivotButton="0" quotePrefix="0" xfId="0">
      <alignment horizontal="left" vertical="top" wrapText="1"/>
    </xf>
    <xf numFmtId="179" fontId="78" fillId="14" borderId="164" applyAlignment="1" pivotButton="0" quotePrefix="0" xfId="0">
      <alignment horizontal="left" vertical="top" wrapText="1"/>
    </xf>
    <xf numFmtId="170" fontId="78" fillId="0" borderId="164" applyAlignment="1" pivotButton="0" quotePrefix="0" xfId="0">
      <alignment horizontal="left" vertical="top" wrapText="1"/>
    </xf>
    <xf numFmtId="170" fontId="78" fillId="14" borderId="164" applyAlignment="1" pivotButton="0" quotePrefix="0" xfId="0">
      <alignment horizontal="left" vertical="top" wrapText="1"/>
    </xf>
    <xf numFmtId="10" fontId="78" fillId="0" borderId="164" applyAlignment="1" pivotButton="0" quotePrefix="0" xfId="0">
      <alignment horizontal="left" vertical="top" wrapText="1"/>
    </xf>
    <xf numFmtId="173" fontId="78" fillId="14" borderId="164" applyAlignment="1" pivotButton="0" quotePrefix="0" xfId="0">
      <alignment horizontal="left" vertical="top" wrapText="1"/>
    </xf>
    <xf numFmtId="173" fontId="78" fillId="0" borderId="164" applyAlignment="1" pivotButton="0" quotePrefix="0" xfId="0">
      <alignment horizontal="left" vertical="top" wrapText="1"/>
    </xf>
    <xf numFmtId="171" fontId="78" fillId="14" borderId="164" applyAlignment="1" pivotButton="0" quotePrefix="0" xfId="0">
      <alignment horizontal="left" vertical="top" wrapText="1"/>
    </xf>
    <xf numFmtId="171" fontId="78" fillId="0" borderId="164" applyAlignment="1" pivotButton="0" quotePrefix="0" xfId="0">
      <alignment horizontal="left" vertical="top" wrapText="1"/>
    </xf>
    <xf numFmtId="9" fontId="78" fillId="14" borderId="164" applyAlignment="1" pivotButton="0" quotePrefix="0" xfId="0">
      <alignment horizontal="left" vertical="top" wrapText="1"/>
    </xf>
    <xf numFmtId="9" fontId="78" fillId="0" borderId="164" applyAlignment="1" pivotButton="0" quotePrefix="0" xfId="0">
      <alignment horizontal="left" vertical="top" wrapText="1"/>
    </xf>
    <xf numFmtId="172" fontId="78" fillId="14" borderId="164" applyAlignment="1" pivotButton="0" quotePrefix="0" xfId="0">
      <alignment horizontal="left" vertical="top" wrapText="1"/>
    </xf>
    <xf numFmtId="180" fontId="78" fillId="14" borderId="164" applyAlignment="1" pivotButton="0" quotePrefix="0" xfId="0">
      <alignment horizontal="left" vertical="top" wrapText="1"/>
    </xf>
    <xf numFmtId="3" fontId="78" fillId="14" borderId="164" applyAlignment="1" pivotButton="0" quotePrefix="0" xfId="0">
      <alignment horizontal="left" vertical="top" wrapText="1"/>
    </xf>
    <xf numFmtId="172" fontId="78" fillId="0" borderId="164" applyAlignment="1" pivotButton="0" quotePrefix="0" xfId="0">
      <alignment horizontal="left" vertical="top" wrapText="1"/>
    </xf>
    <xf numFmtId="177" fontId="78" fillId="0" borderId="164" applyAlignment="1" pivotButton="0" quotePrefix="0" xfId="0">
      <alignment horizontal="left" vertical="top" wrapText="1"/>
    </xf>
    <xf numFmtId="177" fontId="78" fillId="14" borderId="164" applyAlignment="1" pivotButton="0" quotePrefix="0" xfId="0">
      <alignment horizontal="left" vertical="top" wrapText="1"/>
    </xf>
    <xf numFmtId="181" fontId="78" fillId="14" borderId="164" applyAlignment="1" pivotButton="0" quotePrefix="0" xfId="0">
      <alignment horizontal="left" vertical="top" wrapText="1"/>
    </xf>
    <xf numFmtId="178" fontId="78" fillId="14" borderId="164" applyAlignment="1" pivotButton="0" quotePrefix="0" xfId="0">
      <alignment horizontal="left" vertical="top" wrapText="1"/>
    </xf>
    <xf numFmtId="175" fontId="78" fillId="0" borderId="164" applyAlignment="1" pivotButton="0" quotePrefix="0" xfId="0">
      <alignment horizontal="left" vertical="top" wrapText="1"/>
    </xf>
    <xf numFmtId="2" fontId="78" fillId="14" borderId="164" applyAlignment="1" pivotButton="0" quotePrefix="0" xfId="0">
      <alignment horizontal="left" vertical="top" wrapText="1"/>
    </xf>
    <xf numFmtId="10" fontId="78" fillId="14" borderId="164" applyAlignment="1" pivotButton="0" quotePrefix="0" xfId="0">
      <alignment horizontal="left" vertical="top" wrapText="1"/>
    </xf>
  </cellXfs>
  <cellStyles count="3">
    <cellStyle name="Normal" xfId="0" builtinId="0"/>
    <cellStyle name="Percent" xfId="1" builtinId="5"/>
    <cellStyle name="Hyperlink" xfId="2" builtinId="8"/>
  </cellStyles>
  <dxfs count="105">
    <dxf>
      <font>
        <color rgb="FF006100"/>
      </font>
      <fill>
        <patternFill>
          <bgColor rgb="FFC6EFCE"/>
        </patternFill>
      </fill>
    </dxf>
    <dxf>
      <fill>
        <patternFill>
          <bgColor rgb="FFFF0000"/>
        </patternFill>
      </fill>
    </dxf>
    <dxf>
      <alignment vertical="center"/>
    </dxf>
    <dxf>
      <alignment vertical="center"/>
      <border outline="0">
        <left style="thin">
          <color theme="0" tint="-0.249977111117893"/>
        </left>
        <right style="thin">
          <color theme="0" tint="-0.249977111117893"/>
        </right>
        <top/>
        <bottom/>
      </border>
    </dxf>
    <dxf>
      <fill>
        <patternFill patternType="solid">
          <fgColor indexed="64"/>
          <bgColor rgb="FF002060"/>
        </patternFill>
      </fill>
      <alignment vertical="center" wrapText="1"/>
      <border outline="0">
        <left style="thin">
          <color theme="0" tint="-0.249977111117893"/>
        </left>
        <right style="thin">
          <color theme="0" tint="-0.249977111117893"/>
        </right>
        <top/>
        <bottom/>
      </border>
    </dxf>
    <dxf>
      <alignment vertical="center"/>
      <border outline="0">
        <left style="thin">
          <color theme="0" tint="-0.249977111117893"/>
        </left>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right style="thin">
          <color theme="0" tint="-0.249977111117893"/>
        </right>
        <top style="thin">
          <color theme="0" tint="-0.249977111117893"/>
        </top>
        <bottom style="thin">
          <color theme="0" tint="-0.249977111117893"/>
        </bottom>
      </border>
    </dxf>
    <dxf>
      <font>
        <color rgb="FF595959"/>
        <sz val="9"/>
      </font>
      <alignment horizontal="left" vertical="center" wrapText="1" relativeIndent="1"/>
      <border outline="0">
        <left style="thin">
          <color theme="0" tint="-0.499984740745262"/>
        </left>
        <right/>
        <top style="thin">
          <color theme="0" tint="-0.499984740745262"/>
        </top>
        <bottom style="thin">
          <color theme="0" tint="-0.499984740745262"/>
        </bottom>
      </border>
    </dxf>
    <dxf>
      <font>
        <color rgb="FF595959"/>
        <sz val="9"/>
      </font>
      <alignment horizontal="center" vertical="center" wrapText="1"/>
      <border outline="0">
        <left style="thin">
          <color theme="0" tint="-0.499984740745262"/>
        </left>
        <right/>
        <top style="thin">
          <color theme="0" tint="-0.499984740745262"/>
        </top>
        <bottom style="thin">
          <color theme="0" tint="-0.499984740745262"/>
        </bottom>
      </border>
    </dxf>
    <dxf>
      <border>
        <bottom style="double">
          <color theme="0" tint="-0.499984740745262"/>
        </bottom>
      </border>
    </dxf>
    <dxf>
      <alignment vertical="center"/>
      <border>
        <left style="thin">
          <color theme="0" tint="-0.499984740745262"/>
        </left>
        <right style="thin">
          <color theme="0" tint="-0.499984740745262"/>
        </right>
        <top/>
        <bottom/>
        <vertical style="thin">
          <color theme="0" tint="-0.499984740745262"/>
        </vertical>
        <horizontal style="thin">
          <color theme="0" tint="-0.499984740745262"/>
        </horizontal>
      </border>
    </dxf>
    <dxf>
      <fill>
        <patternFill patternType="solid">
          <fgColor indexed="64"/>
          <bgColor rgb="FF002060"/>
        </patternFill>
      </fill>
      <alignment vertical="center" wrapText="1"/>
      <border>
        <left style="thin">
          <color theme="0" tint="-0.499984740745262"/>
        </left>
        <right style="thin">
          <color theme="0" tint="-0.499984740745262"/>
        </right>
        <top/>
        <bottom/>
        <vertical style="thin">
          <color theme="0" tint="-0.499984740745262"/>
        </vertical>
        <horizontal style="thin">
          <color theme="0" tint="-0.499984740745262"/>
        </horizontal>
      </border>
    </dxf>
    <dxf>
      <font>
        <color rgb="FF595959"/>
        <sz val="9"/>
      </font>
      <alignment horizontal="left" vertical="center" wrapText="1"/>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horizontal="center"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vertical="center"/>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vertical="center"/>
      <border>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border>
        <left style="medium">
          <color theme="0" tint="-0.499984740745262"/>
        </left>
        <right style="medium">
          <color theme="0" tint="-0.499984740745262"/>
        </right>
        <top style="medium">
          <color theme="0" tint="-0.499984740745262"/>
        </top>
        <bottom style="medium">
          <color theme="0" tint="-0.499984740745262"/>
        </bottom>
      </border>
    </dxf>
    <dxf>
      <alignment horizontal="left" vertical="center" wrapText="1"/>
    </dxf>
    <dxf>
      <alignment horizontal="left" vertical="center" wrapText="1"/>
      <border outline="0">
        <left style="thin">
          <color theme="0" tint="-0.249977111117893"/>
        </left>
        <right style="thin">
          <color theme="0" tint="-0.249977111117893"/>
        </right>
        <top/>
        <bottom/>
      </border>
    </dxf>
    <dxf>
      <fill>
        <patternFill patternType="solid">
          <fgColor indexed="64"/>
          <bgColor rgb="FF002060"/>
        </patternFill>
      </fill>
      <alignment horizontal="left" vertical="center" wrapText="1"/>
      <border outline="0">
        <left style="thin">
          <color theme="0" tint="-0.249977111117893"/>
        </left>
        <right style="thin">
          <color theme="0" tint="-0.249977111117893"/>
        </right>
        <top/>
        <bottom/>
      </border>
    </dxf>
    <dxf>
      <alignment horizontal="left" vertical="center" wrapText="1"/>
      <border outline="0">
        <left style="thin">
          <color theme="0" tint="-0.249977111117893"/>
        </left>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right style="thin">
          <color theme="0" tint="-0.249977111117893"/>
        </right>
        <top style="thin">
          <color theme="0" tint="-0.249977111117893"/>
        </top>
        <bottom style="thin">
          <color theme="0" tint="-0.249977111117893"/>
        </bottom>
      </border>
    </dxf>
    <dxf>
      <alignment vertical="center"/>
    </dxf>
    <dxf>
      <alignment vertical="center"/>
      <border>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vertical="center"/>
      <border>
        <left style="thin">
          <color theme="0" tint="-0.249977111117893"/>
        </left>
        <right style="thin">
          <color theme="0" tint="-0.249977111117893"/>
        </right>
        <top/>
        <bottom/>
        <vertical style="thin">
          <color theme="0" tint="-0.249977111117893"/>
        </vertical>
        <horizontal style="thin">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border>
    </dxf>
    <dxf>
      <alignment vertical="center"/>
    </dxf>
    <dxf>
      <border>
        <bottom style="thin">
          <color theme="0" tint="-0.249977111117893"/>
        </bottom>
      </border>
    </dxf>
    <dxf>
      <fill>
        <patternFill patternType="solid">
          <fgColor indexed="64"/>
          <bgColor rgb="FF002060"/>
        </patternFill>
      </fill>
      <alignment vertical="center"/>
      <border outline="0">
        <left style="thin">
          <color theme="0" tint="-0.249977111117893"/>
        </left>
        <right style="thin">
          <color theme="0" tint="-0.249977111117893"/>
        </right>
        <top/>
        <bottom/>
      </border>
    </dxf>
    <dxf>
      <border>
        <left style="medium">
          <color theme="0" tint="-0.249977111117893"/>
        </left>
        <right style="medium">
          <color theme="0" tint="-0.249977111117893"/>
        </right>
        <top style="medium">
          <color theme="0" tint="-0.249977111117893"/>
        </top>
        <bottom style="medium">
          <color theme="0" tint="-0.249977111117893"/>
        </bottom>
      </border>
    </dxf>
    <dxf>
      <border>
        <bottom style="thin">
          <color theme="0" tint="-0.249977111117893"/>
        </bottom>
      </border>
    </dxf>
    <dxf>
      <alignment vertical="center"/>
      <border outline="0">
        <left style="thin">
          <color theme="0" tint="-0.249977111117893"/>
        </left>
        <right/>
        <top style="thin">
          <color theme="0" tint="-0.249977111117893"/>
        </top>
        <bottom style="thin">
          <color theme="0" tint="-0.249977111117893"/>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font>
        <name val="Calibri"/>
        <family val="2"/>
        <strike val="0"/>
        <outline val="0"/>
        <shadow val="0"/>
        <color rgb="FF002060"/>
        <vertAlign val="baseline"/>
      </font>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bottom/>
      </border>
    </dxf>
    <dxf>
      <alignment vertical="center"/>
    </dxf>
    <dxf>
      <fill>
        <patternFill patternType="solid">
          <fgColor indexed="64"/>
          <bgColor rgb="FF002060"/>
        </patternFill>
      </fill>
      <alignment vertical="center"/>
      <border outline="0">
        <left style="thin">
          <color theme="0" tint="-0.249977111117893"/>
        </left>
        <right style="thin">
          <color theme="0" tint="-0.249977111117893"/>
        </right>
        <top/>
        <bottom/>
      </border>
    </dxf>
    <dxf>
      <alignment wrapText="1"/>
      <border>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alignment horizont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horizont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alignment wrapText="1"/>
      <border>
        <left style="thin">
          <color theme="0" tint="-0.249977111117893"/>
        </left>
        <right style="thin">
          <color theme="0" tint="-0.249977111117893"/>
        </right>
        <top/>
        <bottom/>
        <vertical style="thin">
          <color theme="0" tint="-0.249977111117893"/>
        </vertical>
        <horizontal style="thin">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border>
    </dxf>
    <dxf>
      <alignment wrapText="1"/>
    </dxf>
    <dxf>
      <border>
        <bottom style="thin">
          <color theme="0" tint="-0.249977111117893"/>
        </bottom>
      </border>
    </dxf>
    <dxf>
      <fill>
        <patternFill patternType="solid">
          <fgColor indexed="64"/>
          <bgColor rgb="FF002060"/>
        </patternFill>
      </fill>
      <alignment wrapText="1"/>
      <border>
        <left style="thin">
          <color theme="0" tint="-0.249977111117893"/>
        </left>
        <right style="thin">
          <color theme="0" tint="-0.249977111117893"/>
        </right>
        <top/>
        <bottom/>
        <vertical style="thin">
          <color theme="0" tint="-0.249977111117893"/>
        </vertical>
        <horizontal style="thin">
          <color theme="0" tint="-0.249977111117893"/>
        </horizontal>
      </border>
    </dxf>
    <dxf>
      <border>
        <left style="thin">
          <color theme="0" tint="-0.249977111117893"/>
        </left>
        <right style="thin">
          <color theme="0" tint="-0.249977111117893"/>
        </right>
        <top style="thin">
          <color theme="0" tint="-0.249977111117893"/>
        </top>
        <bottom style="thin">
          <color theme="0" tint="-0.249977111117893"/>
        </bottom>
      </border>
    </dxf>
    <dxf>
      <border>
        <bottom style="thin">
          <color theme="0" tint="-0.249977111117893"/>
        </bottom>
      </border>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charts/chart1.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Apparent Finished Steel Consumption and Growth</a:t>
            </a:r>
          </a:p>
        </rich>
      </tx>
    </title>
    <plotArea>
      <barChart>
        <barDir val="col"/>
        <grouping val="clustered"/>
        <ser>
          <idx val="0"/>
          <order val="0"/>
          <tx>
            <strRef>
              <f>'Steel Demand Model'!A16</f>
            </strRef>
          </tx>
          <spPr>
            <a:solidFill>
              <a:srgbClr val="2E5C8A"/>
            </a:solidFill>
            <a:ln>
              <a:noFill/>
              <a:prstDash val="solid"/>
            </a:ln>
          </spPr>
          <cat>
            <numRef>
              <f>'Steel Demand Model'!$B$15:$I$15</f>
            </numRef>
          </cat>
          <val>
            <numRef>
              <f>'Steel Demand Model'!$B$16:$I$16</f>
            </numRef>
          </val>
        </ser>
        <gapWidth val="70"/>
        <axId val="10"/>
        <axId val="100"/>
      </barChart>
      <lineChart>
        <grouping val="standard"/>
        <ser>
          <idx val="1"/>
          <order val="1"/>
          <tx>
            <strRef>
              <f>'Steel Demand Model'!A17</f>
            </strRef>
          </tx>
          <spPr>
            <a:ln w="22225">
              <a:solidFill>
                <a:srgbClr val="C9A227"/>
              </a:solidFill>
              <a:prstDash val="solid"/>
            </a:ln>
          </spPr>
          <marker>
            <symbol val="circle"/>
            <size val="5"/>
            <spPr>
              <a:solidFill>
                <a:srgbClr val="C9A227"/>
              </a:solidFill>
              <a:ln w="6350">
                <a:solidFill>
                  <a:srgbClr val="FFFFFF"/>
                </a:solidFill>
                <a:prstDash val="solid"/>
              </a:ln>
            </spPr>
          </marker>
          <val>
            <numRef>
              <f>'Steel Demand Model'!$B$17:$I$17</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Consumption (Mt)</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Growth (%)</a:t>
                </a:r>
              </a:p>
            </rich>
          </tx>
        </title>
        <numFmt formatCode="0.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Per Capita Finished Steel Consumption</a:t>
            </a:r>
          </a:p>
        </rich>
      </tx>
    </title>
    <plotArea>
      <lineChart>
        <grouping val="standard"/>
        <ser>
          <idx val="0"/>
          <order val="0"/>
          <tx>
            <strRef>
              <f>'Steel Demand Model'!A18</f>
            </strRef>
          </tx>
          <spPr>
            <a:ln w="22225">
              <a:solidFill>
                <a:srgbClr val="2E8B8B"/>
              </a:solidFill>
              <a:prstDash val="solid"/>
            </a:ln>
          </spPr>
          <marker>
            <symbol val="circle"/>
            <size val="5"/>
            <spPr>
              <a:solidFill>
                <a:srgbClr val="2E8B8B"/>
              </a:solidFill>
              <a:ln w="6350">
                <a:solidFill>
                  <a:srgbClr val="FFFFFF"/>
                </a:solidFill>
                <a:prstDash val="solid"/>
              </a:ln>
            </spPr>
          </marker>
          <cat>
            <numRef>
              <f>'Steel Demand Model'!$B$15:$I$15</f>
            </numRef>
          </cat>
          <val>
            <numRef>
              <f>'Steel Demand Model'!$B$18:$I$18</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kg per capita</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Per Capita Consumption: India against the World (kg)</a:t>
            </a:r>
          </a:p>
        </rich>
      </tx>
    </title>
    <plotArea>
      <barChart>
        <barDir val="col"/>
        <grouping val="clustered"/>
        <ser>
          <idx val="0"/>
          <order val="0"/>
          <tx>
            <strRef>
              <f>'Steel Demand Model'!B72</f>
            </strRef>
          </tx>
          <spPr>
            <a:solidFill>
              <a:srgbClr val="1F3864"/>
            </a:solidFill>
            <a:ln>
              <a:noFill/>
              <a:prstDash val="solid"/>
            </a:ln>
          </spPr>
          <cat>
            <numRef>
              <f>'Steel Demand Model'!$A$73:$A$78</f>
            </numRef>
          </cat>
          <val>
            <numRef>
              <f>'Steel Demand Model'!$B$73:$B$78</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Apparent Consumption by Scenario (Mt)</a:t>
            </a:r>
          </a:p>
        </rich>
      </tx>
    </title>
    <plotArea>
      <lineChart>
        <grouping val="standard"/>
        <ser>
          <idx val="0"/>
          <order val="0"/>
          <tx>
            <strRef>
              <f>'Steel Demand Model'!B93</f>
            </strRef>
          </tx>
          <spPr>
            <a:ln w="22225">
              <a:solidFill>
                <a:srgbClr val="1F3864"/>
              </a:solidFill>
              <a:prstDash val="solid"/>
            </a:ln>
          </spPr>
          <marker>
            <symbol val="circle"/>
            <size val="5"/>
            <spPr>
              <a:solidFill>
                <a:srgbClr val="1F3864"/>
              </a:solidFill>
              <a:ln w="6350">
                <a:solidFill>
                  <a:srgbClr val="FFFFFF"/>
                </a:solidFill>
                <a:prstDash val="solid"/>
              </a:ln>
            </spPr>
          </marker>
          <cat>
            <numRef>
              <f>'Steel Demand Model'!$A$94:$A$100</f>
            </numRef>
          </cat>
          <val>
            <numRef>
              <f>'Steel Demand Model'!$B$94:$B$100</f>
            </numRef>
          </val>
          <smooth val="0"/>
        </ser>
        <ser>
          <idx val="1"/>
          <order val="1"/>
          <tx>
            <strRef>
              <f>'Steel Demand Model'!C93</f>
            </strRef>
          </tx>
          <spPr>
            <a:ln w="22225">
              <a:solidFill>
                <a:srgbClr val="2E8B8B"/>
              </a:solidFill>
              <a:prstDash val="solid"/>
            </a:ln>
          </spPr>
          <marker>
            <symbol val="circle"/>
            <size val="5"/>
            <spPr>
              <a:solidFill>
                <a:srgbClr val="2E8B8B"/>
              </a:solidFill>
              <a:ln w="6350">
                <a:solidFill>
                  <a:srgbClr val="FFFFFF"/>
                </a:solidFill>
                <a:prstDash val="solid"/>
              </a:ln>
            </spPr>
          </marker>
          <cat>
            <numRef>
              <f>'Steel Demand Model'!$A$94:$A$100</f>
            </numRef>
          </cat>
          <val>
            <numRef>
              <f>'Steel Demand Model'!$C$94:$C$100</f>
            </numRef>
          </val>
          <smooth val="0"/>
        </ser>
        <ser>
          <idx val="2"/>
          <order val="2"/>
          <tx>
            <strRef>
              <f>'Steel Demand Model'!D93</f>
            </strRef>
          </tx>
          <spPr>
            <a:ln w="22225">
              <a:solidFill>
                <a:srgbClr val="C9A227"/>
              </a:solidFill>
              <a:prstDash val="solid"/>
            </a:ln>
          </spPr>
          <marker>
            <symbol val="circle"/>
            <size val="5"/>
            <spPr>
              <a:solidFill>
                <a:srgbClr val="C9A227"/>
              </a:solidFill>
              <a:ln w="6350">
                <a:solidFill>
                  <a:srgbClr val="FFFFFF"/>
                </a:solidFill>
                <a:prstDash val="solid"/>
              </a:ln>
            </spPr>
          </marker>
          <cat>
            <numRef>
              <f>'Steel Demand Model'!$A$94:$A$100</f>
            </numRef>
          </cat>
          <val>
            <numRef>
              <f>'Steel Demand Model'!$D$94:$D$100</f>
            </numRef>
          </val>
          <smooth val="0"/>
        </ser>
        <ser>
          <idx val="3"/>
          <order val="3"/>
          <tx>
            <strRef>
              <f>'Steel Demand Model'!E93</f>
            </strRef>
          </tx>
          <spPr>
            <a:ln w="22225">
              <a:solidFill>
                <a:srgbClr val="8B2E3C"/>
              </a:solidFill>
              <a:prstDash val="solid"/>
            </a:ln>
          </spPr>
          <marker>
            <symbol val="circle"/>
            <size val="5"/>
            <spPr>
              <a:solidFill>
                <a:srgbClr val="8B2E3C"/>
              </a:solidFill>
              <a:ln w="6350">
                <a:solidFill>
                  <a:srgbClr val="FFFFFF"/>
                </a:solidFill>
                <a:prstDash val="solid"/>
              </a:ln>
            </spPr>
          </marker>
          <cat>
            <numRef>
              <f>'Steel Demand Model'!$A$94:$A$100</f>
            </numRef>
          </cat>
          <val>
            <numRef>
              <f>'Steel Demand Model'!$E$94:$E$100</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Mt</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Crude Production, Finished Production and Installed Capacity</a:t>
            </a:r>
          </a:p>
        </rich>
      </tx>
    </title>
    <plotArea>
      <lineChart>
        <grouping val="standard"/>
        <ser>
          <idx val="0"/>
          <order val="0"/>
          <tx>
            <strRef>
              <f>'Steel Supply Model'!A9</f>
            </strRef>
          </tx>
          <spPr>
            <a:ln w="22225">
              <a:solidFill>
                <a:srgbClr val="2E5C8A"/>
              </a:solidFill>
              <a:prstDash val="solid"/>
            </a:ln>
          </spPr>
          <marker>
            <symbol val="circle"/>
            <size val="5"/>
            <spPr>
              <a:solidFill>
                <a:srgbClr val="2E5C8A"/>
              </a:solidFill>
              <a:ln w="6350">
                <a:solidFill>
                  <a:srgbClr val="FFFFFF"/>
                </a:solidFill>
                <a:prstDash val="solid"/>
              </a:ln>
            </spPr>
          </marker>
          <cat>
            <numRef>
              <f>'Steel Supply Model'!$B$8:$I$8</f>
            </numRef>
          </cat>
          <val>
            <numRef>
              <f>'Steel Supply Model'!$B$9:$I$9</f>
            </numRef>
          </val>
          <smooth val="0"/>
        </ser>
        <ser>
          <idx val="1"/>
          <order val="1"/>
          <tx>
            <strRef>
              <f>'Steel Supply Model'!A10</f>
            </strRef>
          </tx>
          <spPr>
            <a:ln w="22225">
              <a:solidFill>
                <a:srgbClr val="2E8B8B"/>
              </a:solidFill>
              <a:prstDash val="solid"/>
            </a:ln>
          </spPr>
          <marker>
            <symbol val="circle"/>
            <size val="5"/>
            <spPr>
              <a:solidFill>
                <a:srgbClr val="2E8B8B"/>
              </a:solidFill>
              <a:ln w="6350">
                <a:solidFill>
                  <a:srgbClr val="FFFFFF"/>
                </a:solidFill>
                <a:prstDash val="solid"/>
              </a:ln>
            </spPr>
          </marker>
          <cat>
            <numRef>
              <f>'Steel Supply Model'!$B$8:$I$8</f>
            </numRef>
          </cat>
          <val>
            <numRef>
              <f>'Steel Supply Model'!$B$10:$I$10</f>
            </numRef>
          </val>
          <smooth val="0"/>
        </ser>
        <ser>
          <idx val="2"/>
          <order val="2"/>
          <tx>
            <strRef>
              <f>'Steel Supply Model'!A11</f>
            </strRef>
          </tx>
          <spPr>
            <a:ln w="22225">
              <a:solidFill>
                <a:srgbClr val="1F3864"/>
              </a:solidFill>
              <a:prstDash val="solid"/>
            </a:ln>
          </spPr>
          <marker>
            <symbol val="circle"/>
            <size val="5"/>
            <spPr>
              <a:solidFill>
                <a:srgbClr val="1F3864"/>
              </a:solidFill>
              <a:ln w="6350">
                <a:solidFill>
                  <a:srgbClr val="FFFFFF"/>
                </a:solidFill>
                <a:prstDash val="solid"/>
              </a:ln>
            </spPr>
          </marker>
          <cat>
            <numRef>
              <f>'Steel Supply Model'!$B$8:$I$8</f>
            </numRef>
          </cat>
          <val>
            <numRef>
              <f>'Steel Supply Model'!$B$11:$I$11</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Mt / Mtpa</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Domestic Availability and Capacity Utilisation</a:t>
            </a:r>
          </a:p>
        </rich>
      </tx>
    </title>
    <plotArea>
      <barChart>
        <barDir val="col"/>
        <grouping val="clustered"/>
        <ser>
          <idx val="0"/>
          <order val="0"/>
          <tx>
            <strRef>
              <f>'Steel Supply Model'!A13</f>
            </strRef>
          </tx>
          <spPr>
            <a:solidFill>
              <a:srgbClr val="7FA8D0"/>
            </a:solidFill>
            <a:ln>
              <a:noFill/>
              <a:prstDash val="solid"/>
            </a:ln>
          </spPr>
          <cat>
            <numRef>
              <f>'Steel Supply Model'!$B$8:$I$8</f>
            </numRef>
          </cat>
          <val>
            <numRef>
              <f>'Steel Supply Model'!$B$13:$I$13</f>
            </numRef>
          </val>
        </ser>
        <gapWidth val="70"/>
        <axId val="10"/>
        <axId val="100"/>
      </barChart>
      <lineChart>
        <grouping val="standard"/>
        <ser>
          <idx val="1"/>
          <order val="1"/>
          <tx>
            <strRef>
              <f>'Steel Supply Model'!A12</f>
            </strRef>
          </tx>
          <spPr>
            <a:ln w="22225">
              <a:solidFill>
                <a:srgbClr val="8B2E3C"/>
              </a:solidFill>
              <a:prstDash val="solid"/>
            </a:ln>
          </spPr>
          <marker>
            <symbol val="circle"/>
            <size val="5"/>
            <spPr>
              <a:solidFill>
                <a:srgbClr val="8B2E3C"/>
              </a:solidFill>
              <a:ln w="6350">
                <a:solidFill>
                  <a:srgbClr val="FFFFFF"/>
                </a:solidFill>
                <a:prstDash val="solid"/>
              </a:ln>
            </spPr>
          </marker>
          <val>
            <numRef>
              <f>'Steel Supply Model'!$B$12:$I$12</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Availability (Mt)</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Utilisation (%)</a:t>
                </a:r>
              </a:p>
            </rich>
          </tx>
        </title>
        <numFmt formatCode="0.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Historical Production, FY2021-FY2026 (Mt)</a:t>
            </a:r>
          </a:p>
        </rich>
      </tx>
    </title>
    <plotArea>
      <barChart>
        <barDir val="col"/>
        <grouping val="clustered"/>
        <ser>
          <idx val="0"/>
          <order val="0"/>
          <tx>
            <strRef>
              <f>'Steel Supply Model'!B20</f>
            </strRef>
          </tx>
          <spPr>
            <a:solidFill>
              <a:srgbClr val="1F3864"/>
            </a:solidFill>
            <a:ln>
              <a:noFill/>
              <a:prstDash val="solid"/>
            </a:ln>
          </spPr>
          <cat>
            <numRef>
              <f>'Steel Supply Model'!$A$21:$A$26</f>
            </numRef>
          </cat>
          <val>
            <numRef>
              <f>'Steel Supply Model'!$B$21:$B$26</f>
            </numRef>
          </val>
        </ser>
        <ser>
          <idx val="1"/>
          <order val="1"/>
          <tx>
            <strRef>
              <f>'Steel Supply Model'!C20</f>
            </strRef>
          </tx>
          <spPr>
            <a:solidFill>
              <a:srgbClr val="2E5C8A"/>
            </a:solidFill>
            <a:ln>
              <a:noFill/>
              <a:prstDash val="solid"/>
            </a:ln>
          </spPr>
          <cat>
            <numRef>
              <f>'Steel Supply Model'!$A$21:$A$26</f>
            </numRef>
          </cat>
          <val>
            <numRef>
              <f>'Steel Supply Model'!$C$21:$C$26</f>
            </numRef>
          </val>
        </ser>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Installed Capacity and Utilisation</a:t>
            </a:r>
          </a:p>
        </rich>
      </tx>
    </title>
    <plotArea>
      <barChart>
        <barDir val="col"/>
        <grouping val="clustered"/>
        <ser>
          <idx val="0"/>
          <order val="0"/>
          <tx>
            <strRef>
              <f>'Capacity Forecast'!A9</f>
            </strRef>
          </tx>
          <spPr>
            <a:solidFill>
              <a:srgbClr val="1F3864"/>
            </a:solidFill>
            <a:ln>
              <a:noFill/>
              <a:prstDash val="solid"/>
            </a:ln>
          </spPr>
          <cat>
            <numRef>
              <f>'Capacity Forecast'!$B$8:$I$8</f>
            </numRef>
          </cat>
          <val>
            <numRef>
              <f>'Capacity Forecast'!$B$9:$I$9</f>
            </numRef>
          </val>
        </ser>
        <gapWidth val="70"/>
        <axId val="10"/>
        <axId val="100"/>
      </barChart>
      <lineChart>
        <grouping val="standard"/>
        <ser>
          <idx val="1"/>
          <order val="1"/>
          <tx>
            <strRef>
              <f>'Capacity Forecast'!A12</f>
            </strRef>
          </tx>
          <spPr>
            <a:ln w="22225">
              <a:solidFill>
                <a:srgbClr val="C9A227"/>
              </a:solidFill>
              <a:prstDash val="solid"/>
            </a:ln>
          </spPr>
          <marker>
            <symbol val="circle"/>
            <size val="5"/>
            <spPr>
              <a:solidFill>
                <a:srgbClr val="C9A227"/>
              </a:solidFill>
              <a:ln w="6350">
                <a:solidFill>
                  <a:srgbClr val="FFFFFF"/>
                </a:solidFill>
                <a:prstDash val="solid"/>
              </a:ln>
            </spPr>
          </marker>
          <val>
            <numRef>
              <f>'Capacity Forecast'!$B$12:$I$12</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Capacity (Mtpa)</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Utilisation (%)</a:t>
                </a:r>
              </a:p>
            </rich>
          </tx>
        </title>
        <numFmt formatCode="0.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Capacity Additions by Type (Mtpa)</a:t>
            </a:r>
          </a:p>
        </rich>
      </tx>
    </title>
    <plotArea>
      <barChart>
        <barDir val="col"/>
        <grouping val="stacked"/>
        <ser>
          <idx val="0"/>
          <order val="0"/>
          <tx>
            <strRef>
              <f>'Capacity Forecast'!A52</f>
            </strRef>
          </tx>
          <spPr>
            <a:solidFill>
              <a:srgbClr val="2E5C8A"/>
            </a:solidFill>
            <a:ln>
              <a:noFill/>
              <a:prstDash val="solid"/>
            </a:ln>
          </spPr>
          <cat>
            <numRef>
              <f>'Capacity Forecast'!$B$50:$H$50</f>
            </numRef>
          </cat>
          <val>
            <numRef>
              <f>'Capacity Forecast'!$B$52:$H$52</f>
            </numRef>
          </val>
        </ser>
        <ser>
          <idx val="1"/>
          <order val="1"/>
          <tx>
            <strRef>
              <f>'Capacity Forecast'!A53</f>
            </strRef>
          </tx>
          <spPr>
            <a:solidFill>
              <a:srgbClr val="2E8B8B"/>
            </a:solidFill>
            <a:ln>
              <a:noFill/>
              <a:prstDash val="solid"/>
            </a:ln>
          </spPr>
          <cat>
            <numRef>
              <f>'Capacity Forecast'!$B$50:$H$50</f>
            </numRef>
          </cat>
          <val>
            <numRef>
              <f>'Capacity Forecast'!$B$53:$H$53</f>
            </numRef>
          </val>
        </ser>
        <ser>
          <idx val="2"/>
          <order val="2"/>
          <tx>
            <strRef>
              <f>'Capacity Forecast'!A54</f>
            </strRef>
          </tx>
          <spPr>
            <a:solidFill>
              <a:srgbClr val="7FA8D0"/>
            </a:solidFill>
            <a:ln>
              <a:noFill/>
              <a:prstDash val="solid"/>
            </a:ln>
          </spPr>
          <cat>
            <numRef>
              <f>'Capacity Forecast'!$B$50:$H$50</f>
            </numRef>
          </cat>
          <val>
            <numRef>
              <f>'Capacity Forecast'!$B$54:$H$54</f>
            </numRef>
          </val>
        </ser>
        <gapWidth val="60"/>
        <overlap val="10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Capacity against Demand-Driven Requirement (Mtpa)</a:t>
            </a:r>
          </a:p>
        </rich>
      </tx>
    </title>
    <plotArea>
      <lineChart>
        <grouping val="standard"/>
        <ser>
          <idx val="0"/>
          <order val="0"/>
          <tx>
            <strRef>
              <f>'Capacity Forecast'!B61</f>
            </strRef>
          </tx>
          <spPr>
            <a:ln w="22225">
              <a:solidFill>
                <a:srgbClr val="1F3864"/>
              </a:solidFill>
              <a:prstDash val="solid"/>
            </a:ln>
          </spPr>
          <marker>
            <symbol val="circle"/>
            <size val="5"/>
            <spPr>
              <a:solidFill>
                <a:srgbClr val="1F3864"/>
              </a:solidFill>
              <a:ln w="6350">
                <a:solidFill>
                  <a:srgbClr val="FFFFFF"/>
                </a:solidFill>
                <a:prstDash val="solid"/>
              </a:ln>
            </spPr>
          </marker>
          <cat>
            <numRef>
              <f>'Capacity Forecast'!$A$62:$A$68</f>
            </numRef>
          </cat>
          <val>
            <numRef>
              <f>'Capacity Forecast'!$B$62:$B$68</f>
            </numRef>
          </val>
          <smooth val="0"/>
        </ser>
        <ser>
          <idx val="1"/>
          <order val="1"/>
          <tx>
            <strRef>
              <f>'Capacity Forecast'!C61</f>
            </strRef>
          </tx>
          <spPr>
            <a:ln w="22225">
              <a:solidFill>
                <a:srgbClr val="8B2E3C"/>
              </a:solidFill>
              <a:prstDash val="solid"/>
            </a:ln>
          </spPr>
          <marker>
            <symbol val="circle"/>
            <size val="5"/>
            <spPr>
              <a:solidFill>
                <a:srgbClr val="8B2E3C"/>
              </a:solidFill>
              <a:ln w="6350">
                <a:solidFill>
                  <a:srgbClr val="FFFFFF"/>
                </a:solidFill>
                <a:prstDash val="solid"/>
              </a:ln>
            </spPr>
          </marker>
          <cat>
            <numRef>
              <f>'Capacity Forecast'!$A$62:$A$68</f>
            </numRef>
          </cat>
          <val>
            <numRef>
              <f>'Capacity Forecast'!$C$62:$C$68</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Mtpa</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Capacity Utilisation</a:t>
            </a:r>
          </a:p>
        </rich>
      </tx>
    </title>
    <plotArea>
      <lineChart>
        <grouping val="standard"/>
        <ser>
          <idx val="0"/>
          <order val="0"/>
          <tx>
            <strRef>
              <f>'Capacity Utilisation'!A11</f>
            </strRef>
          </tx>
          <spPr>
            <a:ln w="22225">
              <a:solidFill>
                <a:srgbClr val="1F3864"/>
              </a:solidFill>
              <a:prstDash val="solid"/>
            </a:ln>
          </spPr>
          <marker>
            <symbol val="circle"/>
            <size val="5"/>
            <spPr>
              <a:solidFill>
                <a:srgbClr val="1F3864"/>
              </a:solidFill>
              <a:ln w="6350">
                <a:solidFill>
                  <a:srgbClr val="FFFFFF"/>
                </a:solidFill>
                <a:prstDash val="solid"/>
              </a:ln>
            </spPr>
          </marker>
          <cat>
            <numRef>
              <f>'Capacity Utilisation'!$B$8:$I$8</f>
            </numRef>
          </cat>
          <val>
            <numRef>
              <f>'Capacity Utilisation'!$B$11:$I$11</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Utilisation (%)</a:t>
                </a:r>
              </a:p>
            </rich>
          </tx>
        </title>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Installed Capacity by Producer, FY2026A (Mtpa)</a:t>
            </a:r>
          </a:p>
        </rich>
      </tx>
    </title>
    <plotArea>
      <barChart>
        <barDir val="col"/>
        <grouping val="clustered"/>
        <ser>
          <idx val="0"/>
          <order val="0"/>
          <tx>
            <strRef>
              <f>'Capacity Utilisation'!G18</f>
            </strRef>
          </tx>
          <spPr>
            <a:solidFill>
              <a:srgbClr val="1F3864"/>
            </a:solidFill>
            <a:ln>
              <a:noFill/>
              <a:prstDash val="solid"/>
            </a:ln>
          </spPr>
          <cat>
            <numRef>
              <f>'Capacity Utilisation'!$F$19:$F$26</f>
            </numRef>
          </cat>
          <val>
            <numRef>
              <f>'Capacity Utilisation'!$G$19:$G$26</f>
            </numRef>
          </val>
        </ser>
        <dLbls>
          <numFmt formatCode="#,##0.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13.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Capacity Utilisation by Scenario</a:t>
            </a:r>
          </a:p>
        </rich>
      </tx>
    </title>
    <plotArea>
      <lineChart>
        <grouping val="standard"/>
        <ser>
          <idx val="0"/>
          <order val="0"/>
          <tx>
            <strRef>
              <f>'Capacity Utilisation'!B51</f>
            </strRef>
          </tx>
          <spPr>
            <a:ln w="22225">
              <a:solidFill>
                <a:srgbClr val="1F3864"/>
              </a:solidFill>
              <a:prstDash val="solid"/>
            </a:ln>
          </spPr>
          <marker>
            <symbol val="circle"/>
            <size val="5"/>
            <spPr>
              <a:solidFill>
                <a:srgbClr val="1F3864"/>
              </a:solidFill>
              <a:ln w="6350">
                <a:solidFill>
                  <a:srgbClr val="FFFFFF"/>
                </a:solidFill>
                <a:prstDash val="solid"/>
              </a:ln>
            </spPr>
          </marker>
          <cat>
            <numRef>
              <f>'Capacity Utilisation'!$A$52:$A$58</f>
            </numRef>
          </cat>
          <val>
            <numRef>
              <f>'Capacity Utilisation'!$B$52:$B$58</f>
            </numRef>
          </val>
          <smooth val="0"/>
        </ser>
        <ser>
          <idx val="1"/>
          <order val="1"/>
          <tx>
            <strRef>
              <f>'Capacity Utilisation'!C51</f>
            </strRef>
          </tx>
          <spPr>
            <a:ln w="22225">
              <a:solidFill>
                <a:srgbClr val="2E8B8B"/>
              </a:solidFill>
              <a:prstDash val="solid"/>
            </a:ln>
          </spPr>
          <marker>
            <symbol val="circle"/>
            <size val="5"/>
            <spPr>
              <a:solidFill>
                <a:srgbClr val="2E8B8B"/>
              </a:solidFill>
              <a:ln w="6350">
                <a:solidFill>
                  <a:srgbClr val="FFFFFF"/>
                </a:solidFill>
                <a:prstDash val="solid"/>
              </a:ln>
            </spPr>
          </marker>
          <cat>
            <numRef>
              <f>'Capacity Utilisation'!$A$52:$A$58</f>
            </numRef>
          </cat>
          <val>
            <numRef>
              <f>'Capacity Utilisation'!$C$52:$C$58</f>
            </numRef>
          </val>
          <smooth val="0"/>
        </ser>
        <ser>
          <idx val="2"/>
          <order val="2"/>
          <tx>
            <strRef>
              <f>'Capacity Utilisation'!D51</f>
            </strRef>
          </tx>
          <spPr>
            <a:ln w="22225">
              <a:solidFill>
                <a:srgbClr val="C9A227"/>
              </a:solidFill>
              <a:prstDash val="solid"/>
            </a:ln>
          </spPr>
          <marker>
            <symbol val="circle"/>
            <size val="5"/>
            <spPr>
              <a:solidFill>
                <a:srgbClr val="C9A227"/>
              </a:solidFill>
              <a:ln w="6350">
                <a:solidFill>
                  <a:srgbClr val="FFFFFF"/>
                </a:solidFill>
                <a:prstDash val="solid"/>
              </a:ln>
            </spPr>
          </marker>
          <cat>
            <numRef>
              <f>'Capacity Utilisation'!$A$52:$A$58</f>
            </numRef>
          </cat>
          <val>
            <numRef>
              <f>'Capacity Utilisation'!$D$52:$D$58</f>
            </numRef>
          </val>
          <smooth val="0"/>
        </ser>
        <ser>
          <idx val="3"/>
          <order val="3"/>
          <tx>
            <strRef>
              <f>'Capacity Utilisation'!E51</f>
            </strRef>
          </tx>
          <spPr>
            <a:ln w="22225">
              <a:solidFill>
                <a:srgbClr val="8B2E3C"/>
              </a:solidFill>
              <a:prstDash val="solid"/>
            </a:ln>
          </spPr>
          <marker>
            <symbol val="circle"/>
            <size val="5"/>
            <spPr>
              <a:solidFill>
                <a:srgbClr val="8B2E3C"/>
              </a:solidFill>
              <a:ln w="6350">
                <a:solidFill>
                  <a:srgbClr val="FFFFFF"/>
                </a:solidFill>
                <a:prstDash val="solid"/>
              </a:ln>
            </spPr>
          </marker>
          <cat>
            <numRef>
              <f>'Capacity Utilisation'!$A$52:$A$58</f>
            </numRef>
          </cat>
          <val>
            <numRef>
              <f>'Capacity Utilisation'!$E$52:$E$58</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Utilisation (%)</a:t>
                </a:r>
              </a:p>
            </rich>
          </tx>
        </title>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Blended Industry Realisation (Rs/t)</a:t>
            </a:r>
          </a:p>
        </rich>
      </tx>
    </title>
    <plotArea>
      <lineChart>
        <grouping val="standard"/>
        <ser>
          <idx val="0"/>
          <order val="0"/>
          <tx>
            <strRef>
              <f>'Steel Price Forecast'!A12</f>
            </strRef>
          </tx>
          <spPr>
            <a:ln w="22225">
              <a:solidFill>
                <a:srgbClr val="1F3864"/>
              </a:solidFill>
              <a:prstDash val="solid"/>
            </a:ln>
          </spPr>
          <marker>
            <symbol val="circle"/>
            <size val="5"/>
            <spPr>
              <a:solidFill>
                <a:srgbClr val="1F3864"/>
              </a:solidFill>
              <a:ln w="6350">
                <a:solidFill>
                  <a:srgbClr val="FFFFFF"/>
                </a:solidFill>
                <a:prstDash val="solid"/>
              </a:ln>
            </spPr>
          </marker>
          <cat>
            <numRef>
              <f>'Steel Price Forecast'!$B$8:$I$8</f>
            </numRef>
          </cat>
          <val>
            <numRef>
              <f>'Steel Price Forecast'!$B$12:$I$12</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Rs per tonne</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15.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Blended Realisation by Scenario (Rs/t)</a:t>
            </a:r>
          </a:p>
        </rich>
      </tx>
    </title>
    <plotArea>
      <lineChart>
        <grouping val="standard"/>
        <ser>
          <idx val="0"/>
          <order val="0"/>
          <tx>
            <strRef>
              <f>'Steel Price Forecast'!B67</f>
            </strRef>
          </tx>
          <spPr>
            <a:ln w="22225">
              <a:solidFill>
                <a:srgbClr val="1F3864"/>
              </a:solidFill>
              <a:prstDash val="solid"/>
            </a:ln>
          </spPr>
          <marker>
            <symbol val="circle"/>
            <size val="5"/>
            <spPr>
              <a:solidFill>
                <a:srgbClr val="1F3864"/>
              </a:solidFill>
              <a:ln w="6350">
                <a:solidFill>
                  <a:srgbClr val="FFFFFF"/>
                </a:solidFill>
                <a:prstDash val="solid"/>
              </a:ln>
            </spPr>
          </marker>
          <cat>
            <numRef>
              <f>'Steel Price Forecast'!$A$68:$A$74</f>
            </numRef>
          </cat>
          <val>
            <numRef>
              <f>'Steel Price Forecast'!$B$68:$B$74</f>
            </numRef>
          </val>
          <smooth val="0"/>
        </ser>
        <ser>
          <idx val="1"/>
          <order val="1"/>
          <tx>
            <strRef>
              <f>'Steel Price Forecast'!C67</f>
            </strRef>
          </tx>
          <spPr>
            <a:ln w="22225">
              <a:solidFill>
                <a:srgbClr val="2E8B8B"/>
              </a:solidFill>
              <a:prstDash val="solid"/>
            </a:ln>
          </spPr>
          <marker>
            <symbol val="circle"/>
            <size val="5"/>
            <spPr>
              <a:solidFill>
                <a:srgbClr val="2E8B8B"/>
              </a:solidFill>
              <a:ln w="6350">
                <a:solidFill>
                  <a:srgbClr val="FFFFFF"/>
                </a:solidFill>
                <a:prstDash val="solid"/>
              </a:ln>
            </spPr>
          </marker>
          <cat>
            <numRef>
              <f>'Steel Price Forecast'!$A$68:$A$74</f>
            </numRef>
          </cat>
          <val>
            <numRef>
              <f>'Steel Price Forecast'!$C$68:$C$74</f>
            </numRef>
          </val>
          <smooth val="0"/>
        </ser>
        <ser>
          <idx val="2"/>
          <order val="2"/>
          <tx>
            <strRef>
              <f>'Steel Price Forecast'!D67</f>
            </strRef>
          </tx>
          <spPr>
            <a:ln w="22225">
              <a:solidFill>
                <a:srgbClr val="C9A227"/>
              </a:solidFill>
              <a:prstDash val="solid"/>
            </a:ln>
          </spPr>
          <marker>
            <symbol val="circle"/>
            <size val="5"/>
            <spPr>
              <a:solidFill>
                <a:srgbClr val="C9A227"/>
              </a:solidFill>
              <a:ln w="6350">
                <a:solidFill>
                  <a:srgbClr val="FFFFFF"/>
                </a:solidFill>
                <a:prstDash val="solid"/>
              </a:ln>
            </spPr>
          </marker>
          <cat>
            <numRef>
              <f>'Steel Price Forecast'!$A$68:$A$74</f>
            </numRef>
          </cat>
          <val>
            <numRef>
              <f>'Steel Price Forecast'!$D$68:$D$74</f>
            </numRef>
          </val>
          <smooth val="0"/>
        </ser>
        <ser>
          <idx val="3"/>
          <order val="3"/>
          <tx>
            <strRef>
              <f>'Steel Price Forecast'!E67</f>
            </strRef>
          </tx>
          <spPr>
            <a:ln w="22225">
              <a:solidFill>
                <a:srgbClr val="8B2E3C"/>
              </a:solidFill>
              <a:prstDash val="solid"/>
            </a:ln>
          </spPr>
          <marker>
            <symbol val="circle"/>
            <size val="5"/>
            <spPr>
              <a:solidFill>
                <a:srgbClr val="8B2E3C"/>
              </a:solidFill>
              <a:ln w="6350">
                <a:solidFill>
                  <a:srgbClr val="FFFFFF"/>
                </a:solidFill>
                <a:prstDash val="solid"/>
              </a:ln>
            </spPr>
          </marker>
          <cat>
            <numRef>
              <f>'Steel Price Forecast'!$A$68:$A$74</f>
            </numRef>
          </cat>
          <val>
            <numRef>
              <f>'Steel Price Forecast'!$E$68:$E$74</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Rs per tonne</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FY2026A Cost Floor and Price Build (Rs/t)</a:t>
            </a:r>
          </a:p>
        </rich>
      </tx>
    </title>
    <plotArea>
      <barChart>
        <barDir val="col"/>
        <grouping val="clustered"/>
        <ser>
          <idx val="0"/>
          <order val="0"/>
          <tx>
            <strRef>
              <f>'Steel Price Forecast'!B45</f>
            </strRef>
          </tx>
          <spPr>
            <a:solidFill>
              <a:srgbClr val="8B2E3C"/>
            </a:solidFill>
            <a:ln>
              <a:noFill/>
              <a:prstDash val="solid"/>
            </a:ln>
          </spPr>
          <cat>
            <numRef>
              <f>'Steel Price Forecast'!$A$46:$A$54</f>
            </numRef>
          </cat>
          <val>
            <numRef>
              <f>'Steel Price Forecast'!$B$46:$B$54</f>
            </numRef>
          </val>
        </ser>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17.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Coking Coal and Iron Ore</a:t>
            </a:r>
          </a:p>
        </rich>
      </tx>
    </title>
    <plotArea>
      <barChart>
        <barDir val="col"/>
        <grouping val="clustered"/>
        <ser>
          <idx val="0"/>
          <order val="0"/>
          <tx>
            <strRef>
              <f>'Raw Material Forecast'!A10</f>
            </strRef>
          </tx>
          <spPr>
            <a:solidFill>
              <a:srgbClr val="4A4A4A"/>
            </a:solidFill>
            <a:ln>
              <a:noFill/>
              <a:prstDash val="solid"/>
            </a:ln>
          </spPr>
          <cat>
            <numRef>
              <f>'Raw Material Forecast'!$B$8:$I$8</f>
            </numRef>
          </cat>
          <val>
            <numRef>
              <f>'Raw Material Forecast'!$B$10:$I$10</f>
            </numRef>
          </val>
        </ser>
        <gapWidth val="70"/>
        <axId val="10"/>
        <axId val="100"/>
      </barChart>
      <lineChart>
        <grouping val="standard"/>
        <ser>
          <idx val="1"/>
          <order val="1"/>
          <tx>
            <strRef>
              <f>'Raw Material Forecast'!A9</f>
            </strRef>
          </tx>
          <spPr>
            <a:ln w="22225">
              <a:solidFill>
                <a:srgbClr val="8B2E3C"/>
              </a:solidFill>
              <a:prstDash val="solid"/>
            </a:ln>
          </spPr>
          <marker>
            <symbol val="circle"/>
            <size val="5"/>
            <spPr>
              <a:solidFill>
                <a:srgbClr val="8B2E3C"/>
              </a:solidFill>
              <a:ln w="6350">
                <a:solidFill>
                  <a:srgbClr val="FFFFFF"/>
                </a:solidFill>
                <a:prstDash val="solid"/>
              </a:ln>
            </spPr>
          </marker>
          <val>
            <numRef>
              <f>'Raw Material Forecast'!$B$9:$I$9</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Coking coal (US$/t)</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Iron ore (US$/dmt)</a:t>
                </a:r>
              </a:p>
            </rich>
          </tx>
        </title>
        <numFmt formatCode="#,##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Iron Ore 62% Fe CFR China, FY2021-FY2026 (US$/dmt)</a:t>
            </a:r>
          </a:p>
        </rich>
      </tx>
    </title>
    <plotArea>
      <lineChart>
        <grouping val="standard"/>
        <ser>
          <idx val="0"/>
          <order val="0"/>
          <tx>
            <strRef>
              <f>'Raw Material Forecast'!A21</f>
            </strRef>
          </tx>
          <spPr>
            <a:ln w="22225">
              <a:solidFill>
                <a:srgbClr val="8B2E3C"/>
              </a:solidFill>
              <a:prstDash val="solid"/>
            </a:ln>
          </spPr>
          <marker>
            <symbol val="circle"/>
            <size val="5"/>
            <spPr>
              <a:solidFill>
                <a:srgbClr val="8B2E3C"/>
              </a:solidFill>
              <a:ln w="6350">
                <a:solidFill>
                  <a:srgbClr val="FFFFFF"/>
                </a:solidFill>
                <a:prstDash val="solid"/>
              </a:ln>
            </spPr>
          </marker>
          <cat>
            <numRef>
              <f>'Raw Material Forecast'!$B$20:$G$20</f>
            </numRef>
          </cat>
          <val>
            <numRef>
              <f>'Raw Material Forecast'!$B$21:$G$21</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US$/dmt</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19.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Input Costs by Scenario, FY2033E</a:t>
            </a:r>
          </a:p>
        </rich>
      </tx>
    </title>
    <plotArea>
      <barChart>
        <barDir val="col"/>
        <grouping val="clustered"/>
        <ser>
          <idx val="0"/>
          <order val="0"/>
          <tx>
            <strRef>
              <f>'Raw Material Forecast'!A66</f>
            </strRef>
          </tx>
          <spPr>
            <a:solidFill>
              <a:srgbClr val="8B2E3C"/>
            </a:solidFill>
            <a:ln>
              <a:noFill/>
              <a:prstDash val="solid"/>
            </a:ln>
          </spPr>
          <cat>
            <numRef>
              <f>'Raw Material Forecast'!$B$65:$E$65</f>
            </numRef>
          </cat>
          <val>
            <numRef>
              <f>'Raw Material Forecast'!$B$66:$E$66</f>
            </numRef>
          </val>
        </ser>
        <ser>
          <idx val="1"/>
          <order val="1"/>
          <tx>
            <strRef>
              <f>'Raw Material Forecast'!A67</f>
            </strRef>
          </tx>
          <spPr>
            <a:solidFill>
              <a:srgbClr val="4A4A4A"/>
            </a:solidFill>
            <a:ln>
              <a:noFill/>
              <a:prstDash val="solid"/>
            </a:ln>
          </spPr>
          <cat>
            <numRef>
              <f>'Raw Material Forecast'!$B$65:$E$65</f>
            </numRef>
          </cat>
          <val>
            <numRef>
              <f>'Raw Material Forecast'!$B$67:$E$67</f>
            </numRef>
          </val>
        </ser>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Producer Cash Cost Curve, FY2026A (Rs/t)</a:t>
            </a:r>
          </a:p>
        </rich>
      </tx>
    </title>
    <plotArea>
      <barChart>
        <barDir val="col"/>
        <grouping val="clustered"/>
        <ser>
          <idx val="0"/>
          <order val="0"/>
          <tx>
            <strRef>
              <f>'Cost Curve'!D18</f>
            </strRef>
          </tx>
          <spPr>
            <a:solidFill>
              <a:srgbClr val="2E8B8B"/>
            </a:solidFill>
            <a:ln>
              <a:noFill/>
              <a:prstDash val="solid"/>
            </a:ln>
          </spPr>
          <cat>
            <numRef>
              <f>'Cost Curve'!$B$19:$B$24</f>
            </numRef>
          </cat>
          <val>
            <numRef>
              <f>'Cost Curve'!$D$19:$D$24</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21.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FY2026A Cash Cost Composition</a:t>
            </a:r>
          </a:p>
        </rich>
      </tx>
    </title>
    <plotArea>
      <doughnutChart>
        <varyColors val="1"/>
        <ser>
          <idx val="0"/>
          <order val="0"/>
          <tx>
            <strRef>
              <f>'Cost Curve'!B37</f>
            </strRef>
          </tx>
          <spPr>
            <a:ln>
              <a:prstDash val="solid"/>
            </a:ln>
          </spPr>
          <dPt>
            <idx val="0"/>
            <spPr>
              <a:solidFill>
                <a:srgbClr val="8B2E3C"/>
              </a:solidFill>
              <a:ln w="12700">
                <a:solidFill>
                  <a:srgbClr val="FFFFFF"/>
                </a:solidFill>
                <a:prstDash val="solid"/>
              </a:ln>
            </spPr>
          </dPt>
          <dPt>
            <idx val="1"/>
            <spPr>
              <a:solidFill>
                <a:srgbClr val="4A4A4A"/>
              </a:solidFill>
              <a:ln w="12700">
                <a:solidFill>
                  <a:srgbClr val="FFFFFF"/>
                </a:solidFill>
                <a:prstDash val="solid"/>
              </a:ln>
            </spPr>
          </dPt>
          <dPt>
            <idx val="2"/>
            <spPr>
              <a:solidFill>
                <a:srgbClr val="9C9C9C"/>
              </a:solidFill>
              <a:ln w="12700">
                <a:solidFill>
                  <a:srgbClr val="FFFFFF"/>
                </a:solidFill>
                <a:prstDash val="solid"/>
              </a:ln>
            </spPr>
          </dPt>
          <dPt>
            <idx val="3"/>
            <spPr>
              <a:solidFill>
                <a:srgbClr val="9C9C9C"/>
              </a:solidFill>
              <a:ln w="12700">
                <a:solidFill>
                  <a:srgbClr val="FFFFFF"/>
                </a:solidFill>
                <a:prstDash val="solid"/>
              </a:ln>
            </spPr>
          </dPt>
          <dPt>
            <idx val="4"/>
            <spPr>
              <a:solidFill>
                <a:srgbClr val="8FA98F"/>
              </a:solidFill>
              <a:ln w="12700">
                <a:solidFill>
                  <a:srgbClr val="FFFFFF"/>
                </a:solidFill>
                <a:prstDash val="solid"/>
              </a:ln>
            </spPr>
          </dPt>
          <dPt>
            <idx val="5"/>
            <spPr>
              <a:solidFill>
                <a:srgbClr val="9C9C9C"/>
              </a:solidFill>
              <a:ln w="12700">
                <a:solidFill>
                  <a:srgbClr val="FFFFFF"/>
                </a:solidFill>
                <a:prstDash val="solid"/>
              </a:ln>
            </spPr>
          </dPt>
          <dPt>
            <idx val="6"/>
            <spPr>
              <a:solidFill>
                <a:srgbClr val="9C9C9C"/>
              </a:solidFill>
              <a:ln w="12700">
                <a:solidFill>
                  <a:srgbClr val="FFFFFF"/>
                </a:solidFill>
                <a:prstDash val="solid"/>
              </a:ln>
            </spPr>
          </dPt>
          <dPt>
            <idx val="7"/>
            <spPr>
              <a:solidFill>
                <a:srgbClr val="9C9C9C"/>
              </a:solidFill>
              <a:ln w="12700">
                <a:solidFill>
                  <a:srgbClr val="FFFFFF"/>
                </a:solidFill>
                <a:prstDash val="solid"/>
              </a:ln>
            </spPr>
          </dPt>
          <dPt>
            <idx val="8"/>
            <spPr>
              <a:solidFill>
                <a:srgbClr val="9C9C9C"/>
              </a:solidFill>
              <a:ln w="12700">
                <a:solidFill>
                  <a:srgbClr val="FFFFFF"/>
                </a:solidFill>
                <a:prstDash val="solid"/>
              </a:ln>
            </spPr>
          </dPt>
          <dPt>
            <idx val="9"/>
            <spPr>
              <a:solidFill>
                <a:srgbClr val="2E5C8A"/>
              </a:solidFill>
              <a:ln w="12700">
                <a:solidFill>
                  <a:srgbClr val="FFFFFF"/>
                </a:solidFill>
                <a:prstDash val="solid"/>
              </a:ln>
            </spPr>
          </dPt>
          <cat>
            <numRef>
              <f>'Cost Curve'!$A$38:$A$47</f>
            </numRef>
          </cat>
          <val>
            <numRef>
              <f>'Cost Curve'!$B$38:$B$47</f>
            </numRef>
          </val>
        </ser>
        <dLbls>
          <txPr>
            <a:bodyPr/>
            <a:p>
              <a:pPr>
                <a:defRPr sz="750" b="0">
                  <a:solidFill>
                    <a:srgbClr val="FFFFFF"/>
                  </a:solidFill>
                  <a:latin typeface="Calibri"/>
                </a:defRPr>
              </a:pPr>
              <a:r>
                <a:t/>
              </a:r>
              <a:endParaRPr sz="750" b="0">
                <a:solidFill>
                  <a:srgbClr val="FFFFFF"/>
                </a:solidFill>
                <a:latin typeface="Calibri"/>
              </a:endParaRPr>
            </a:p>
          </txPr>
          <showPercent val="1"/>
        </dLbls>
        <firstSliceAng val="0"/>
        <holeSize val="52"/>
      </doughnutChart>
    </plotArea>
    <legend>
      <legendPos val="r"/>
      <txPr>
        <a:bodyPr/>
        <a:p>
          <a:pPr>
            <a:defRPr sz="750" b="0">
              <a:solidFill>
                <a:srgbClr val="4A4A4A"/>
              </a:solidFill>
              <a:latin typeface="Calibri"/>
            </a:defRPr>
          </a:pPr>
          <a:r>
            <a:t/>
          </a:r>
          <a:endParaRPr sz="750" b="0">
            <a:solidFill>
              <a:srgbClr val="4A4A4A"/>
            </a:solidFill>
            <a:latin typeface="Calibri"/>
          </a:endParaRPr>
        </a:p>
      </txPr>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Cash Cost, Total Cost, Realisation and EBITDA per Tonne (Rs/t)</a:t>
            </a:r>
          </a:p>
        </rich>
      </tx>
    </title>
    <plotArea>
      <lineChart>
        <grouping val="standard"/>
        <ser>
          <idx val="0"/>
          <order val="0"/>
          <tx>
            <strRef>
              <f>'Cost Curve'!A9</f>
            </strRef>
          </tx>
          <spPr>
            <a:ln w="22225">
              <a:solidFill>
                <a:srgbClr val="2E8B8B"/>
              </a:solidFill>
              <a:prstDash val="solid"/>
            </a:ln>
          </spPr>
          <marker>
            <symbol val="circle"/>
            <size val="5"/>
            <spPr>
              <a:solidFill>
                <a:srgbClr val="2E8B8B"/>
              </a:solidFill>
              <a:ln w="6350">
                <a:solidFill>
                  <a:srgbClr val="FFFFFF"/>
                </a:solidFill>
                <a:prstDash val="solid"/>
              </a:ln>
            </spPr>
          </marker>
          <cat>
            <numRef>
              <f>'Cost Curve'!$B$8:$I$8</f>
            </numRef>
          </cat>
          <val>
            <numRef>
              <f>'Cost Curve'!$B$9:$I$9</f>
            </numRef>
          </val>
          <smooth val="0"/>
        </ser>
        <ser>
          <idx val="1"/>
          <order val="1"/>
          <tx>
            <strRef>
              <f>'Cost Curve'!A10</f>
            </strRef>
          </tx>
          <spPr>
            <a:ln w="22225">
              <a:solidFill>
                <a:srgbClr val="8FA98F"/>
              </a:solidFill>
              <a:prstDash val="solid"/>
            </a:ln>
          </spPr>
          <marker>
            <symbol val="circle"/>
            <size val="5"/>
            <spPr>
              <a:solidFill>
                <a:srgbClr val="8FA98F"/>
              </a:solidFill>
              <a:ln w="6350">
                <a:solidFill>
                  <a:srgbClr val="FFFFFF"/>
                </a:solidFill>
                <a:prstDash val="solid"/>
              </a:ln>
            </spPr>
          </marker>
          <cat>
            <numRef>
              <f>'Cost Curve'!$B$8:$I$8</f>
            </numRef>
          </cat>
          <val>
            <numRef>
              <f>'Cost Curve'!$B$10:$I$10</f>
            </numRef>
          </val>
          <smooth val="0"/>
        </ser>
        <ser>
          <idx val="2"/>
          <order val="2"/>
          <tx>
            <strRef>
              <f>'Cost Curve'!A11</f>
            </strRef>
          </tx>
          <spPr>
            <a:ln w="22225">
              <a:solidFill>
                <a:srgbClr val="1F3864"/>
              </a:solidFill>
              <a:prstDash val="solid"/>
            </a:ln>
          </spPr>
          <marker>
            <symbol val="circle"/>
            <size val="5"/>
            <spPr>
              <a:solidFill>
                <a:srgbClr val="1F3864"/>
              </a:solidFill>
              <a:ln w="6350">
                <a:solidFill>
                  <a:srgbClr val="FFFFFF"/>
                </a:solidFill>
                <a:prstDash val="solid"/>
              </a:ln>
            </spPr>
          </marker>
          <cat>
            <numRef>
              <f>'Cost Curve'!$B$8:$I$8</f>
            </numRef>
          </cat>
          <val>
            <numRef>
              <f>'Cost Curve'!$B$11:$I$11</f>
            </numRef>
          </val>
          <smooth val="0"/>
        </ser>
        <ser>
          <idx val="3"/>
          <order val="3"/>
          <tx>
            <strRef>
              <f>'Cost Curve'!A12</f>
            </strRef>
          </tx>
          <spPr>
            <a:ln w="22225">
              <a:solidFill>
                <a:srgbClr val="C9A227"/>
              </a:solidFill>
              <a:prstDash val="solid"/>
            </a:ln>
          </spPr>
          <marker>
            <symbol val="circle"/>
            <size val="5"/>
            <spPr>
              <a:solidFill>
                <a:srgbClr val="C9A227"/>
              </a:solidFill>
              <a:ln w="6350">
                <a:solidFill>
                  <a:srgbClr val="FFFFFF"/>
                </a:solidFill>
                <a:prstDash val="solid"/>
              </a:ln>
            </spPr>
          </marker>
          <cat>
            <numRef>
              <f>'Cost Curve'!$B$8:$I$8</f>
            </numRef>
          </cat>
          <val>
            <numRef>
              <f>'Cost Curve'!$B$12:$I$12</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Rs per tonne</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Revenue and Growth</a:t>
            </a:r>
          </a:p>
        </rich>
      </tx>
    </title>
    <plotArea>
      <barChart>
        <barDir val="col"/>
        <grouping val="clustered"/>
        <ser>
          <idx val="0"/>
          <order val="0"/>
          <tx>
            <strRef>
              <f>'Revenue Forecast'!A11</f>
            </strRef>
          </tx>
          <spPr>
            <a:solidFill>
              <a:srgbClr val="1F3864"/>
            </a:solidFill>
            <a:ln>
              <a:noFill/>
              <a:prstDash val="solid"/>
            </a:ln>
          </spPr>
          <cat>
            <numRef>
              <f>'Revenue Forecast'!$B$8:$I$8</f>
            </numRef>
          </cat>
          <val>
            <numRef>
              <f>'Revenue Forecast'!$B$11:$I$11</f>
            </numRef>
          </val>
        </ser>
        <gapWidth val="70"/>
        <axId val="10"/>
        <axId val="100"/>
      </barChart>
      <lineChart>
        <grouping val="standard"/>
        <ser>
          <idx val="1"/>
          <order val="1"/>
          <tx>
            <strRef>
              <f>'Revenue Forecast'!A12</f>
            </strRef>
          </tx>
          <spPr>
            <a:ln w="22225">
              <a:solidFill>
                <a:srgbClr val="C9A227"/>
              </a:solidFill>
              <a:prstDash val="solid"/>
            </a:ln>
          </spPr>
          <marker>
            <symbol val="circle"/>
            <size val="5"/>
            <spPr>
              <a:solidFill>
                <a:srgbClr val="C9A227"/>
              </a:solidFill>
              <a:ln w="6350">
                <a:solidFill>
                  <a:srgbClr val="FFFFFF"/>
                </a:solidFill>
                <a:prstDash val="solid"/>
              </a:ln>
            </spPr>
          </marker>
          <val>
            <numRef>
              <f>'Revenue Forecast'!$B$12:$I$12</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Revenue (Rs cr)</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Growth (%)</a:t>
                </a:r>
              </a:p>
            </rich>
          </tx>
        </title>
        <numFmt formatCode="0.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Revenue Bridge: Prior Year, Volume Effect and Price Effect (Rs cr)</a:t>
            </a:r>
          </a:p>
        </rich>
      </tx>
    </title>
    <plotArea>
      <barChart>
        <barDir val="col"/>
        <grouping val="stacked"/>
        <ser>
          <idx val="0"/>
          <order val="0"/>
          <tx>
            <strRef>
              <f>'Revenue Forecast'!A28</f>
            </strRef>
          </tx>
          <spPr>
            <a:solidFill>
              <a:srgbClr val="9C9C9C"/>
            </a:solidFill>
            <a:ln>
              <a:noFill/>
              <a:prstDash val="solid"/>
            </a:ln>
          </spPr>
          <cat>
            <numRef>
              <f>'Revenue Forecast'!$B$27:$H$27</f>
            </numRef>
          </cat>
          <val>
            <numRef>
              <f>'Revenue Forecast'!$B$28:$H$28</f>
            </numRef>
          </val>
        </ser>
        <ser>
          <idx val="1"/>
          <order val="1"/>
          <tx>
            <strRef>
              <f>'Revenue Forecast'!A29</f>
            </strRef>
          </tx>
          <spPr>
            <a:solidFill>
              <a:srgbClr val="2E5C8A"/>
            </a:solidFill>
            <a:ln>
              <a:noFill/>
              <a:prstDash val="solid"/>
            </a:ln>
          </spPr>
          <cat>
            <numRef>
              <f>'Revenue Forecast'!$B$27:$H$27</f>
            </numRef>
          </cat>
          <val>
            <numRef>
              <f>'Revenue Forecast'!$B$29:$H$29</f>
            </numRef>
          </val>
        </ser>
        <ser>
          <idx val="2"/>
          <order val="2"/>
          <tx>
            <strRef>
              <f>'Revenue Forecast'!A30</f>
            </strRef>
          </tx>
          <spPr>
            <a:solidFill>
              <a:srgbClr val="C9A227"/>
            </a:solidFill>
            <a:ln>
              <a:noFill/>
              <a:prstDash val="solid"/>
            </a:ln>
          </spPr>
          <cat>
            <numRef>
              <f>'Revenue Forecast'!$B$27:$H$27</f>
            </numRef>
          </cat>
          <val>
            <numRef>
              <f>'Revenue Forecast'!$B$30:$H$30</f>
            </numRef>
          </val>
        </ser>
        <gapWidth val="60"/>
        <overlap val="10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Domestic against Export Revenue (Rs cr)</a:t>
            </a:r>
          </a:p>
        </rich>
      </tx>
    </title>
    <plotArea>
      <barChart>
        <barDir val="col"/>
        <grouping val="stacked"/>
        <ser>
          <idx val="0"/>
          <order val="0"/>
          <tx>
            <strRef>
              <f>'Revenue Forecast'!B51</f>
            </strRef>
          </tx>
          <spPr>
            <a:solidFill>
              <a:srgbClr val="1F3864"/>
            </a:solidFill>
            <a:ln>
              <a:noFill/>
              <a:prstDash val="solid"/>
            </a:ln>
          </spPr>
          <cat>
            <numRef>
              <f>'Revenue Forecast'!$A$52:$A$59</f>
            </numRef>
          </cat>
          <val>
            <numRef>
              <f>'Revenue Forecast'!$B$52:$B$59</f>
            </numRef>
          </val>
        </ser>
        <ser>
          <idx val="1"/>
          <order val="1"/>
          <tx>
            <strRef>
              <f>'Revenue Forecast'!C51</f>
            </strRef>
          </tx>
          <spPr>
            <a:solidFill>
              <a:srgbClr val="C9A227"/>
            </a:solidFill>
            <a:ln>
              <a:noFill/>
              <a:prstDash val="solid"/>
            </a:ln>
          </spPr>
          <cat>
            <numRef>
              <f>'Revenue Forecast'!$A$52:$A$59</f>
            </numRef>
          </cat>
          <val>
            <numRef>
              <f>'Revenue Forecast'!$C$52:$C$59</f>
            </numRef>
          </val>
        </ser>
        <gapWidth val="60"/>
        <overlap val="10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Revenue by Scenario (Rs cr)</a:t>
            </a:r>
          </a:p>
        </rich>
      </tx>
    </title>
    <plotArea>
      <lineChart>
        <grouping val="standard"/>
        <ser>
          <idx val="0"/>
          <order val="0"/>
          <tx>
            <strRef>
              <f>'Revenue Forecast'!B82</f>
            </strRef>
          </tx>
          <spPr>
            <a:ln w="22225">
              <a:solidFill>
                <a:srgbClr val="1F3864"/>
              </a:solidFill>
              <a:prstDash val="solid"/>
            </a:ln>
          </spPr>
          <marker>
            <symbol val="circle"/>
            <size val="5"/>
            <spPr>
              <a:solidFill>
                <a:srgbClr val="1F3864"/>
              </a:solidFill>
              <a:ln w="6350">
                <a:solidFill>
                  <a:srgbClr val="FFFFFF"/>
                </a:solidFill>
                <a:prstDash val="solid"/>
              </a:ln>
            </spPr>
          </marker>
          <cat>
            <numRef>
              <f>'Revenue Forecast'!$A$83:$A$89</f>
            </numRef>
          </cat>
          <val>
            <numRef>
              <f>'Revenue Forecast'!$B$83:$B$89</f>
            </numRef>
          </val>
          <smooth val="0"/>
        </ser>
        <ser>
          <idx val="1"/>
          <order val="1"/>
          <tx>
            <strRef>
              <f>'Revenue Forecast'!C82</f>
            </strRef>
          </tx>
          <spPr>
            <a:ln w="22225">
              <a:solidFill>
                <a:srgbClr val="2E8B8B"/>
              </a:solidFill>
              <a:prstDash val="solid"/>
            </a:ln>
          </spPr>
          <marker>
            <symbol val="circle"/>
            <size val="5"/>
            <spPr>
              <a:solidFill>
                <a:srgbClr val="2E8B8B"/>
              </a:solidFill>
              <a:ln w="6350">
                <a:solidFill>
                  <a:srgbClr val="FFFFFF"/>
                </a:solidFill>
                <a:prstDash val="solid"/>
              </a:ln>
            </spPr>
          </marker>
          <cat>
            <numRef>
              <f>'Revenue Forecast'!$A$83:$A$89</f>
            </numRef>
          </cat>
          <val>
            <numRef>
              <f>'Revenue Forecast'!$C$83:$C$89</f>
            </numRef>
          </val>
          <smooth val="0"/>
        </ser>
        <ser>
          <idx val="2"/>
          <order val="2"/>
          <tx>
            <strRef>
              <f>'Revenue Forecast'!D82</f>
            </strRef>
          </tx>
          <spPr>
            <a:ln w="22225">
              <a:solidFill>
                <a:srgbClr val="C9A227"/>
              </a:solidFill>
              <a:prstDash val="solid"/>
            </a:ln>
          </spPr>
          <marker>
            <symbol val="circle"/>
            <size val="5"/>
            <spPr>
              <a:solidFill>
                <a:srgbClr val="C9A227"/>
              </a:solidFill>
              <a:ln w="6350">
                <a:solidFill>
                  <a:srgbClr val="FFFFFF"/>
                </a:solidFill>
                <a:prstDash val="solid"/>
              </a:ln>
            </spPr>
          </marker>
          <cat>
            <numRef>
              <f>'Revenue Forecast'!$A$83:$A$89</f>
            </numRef>
          </cat>
          <val>
            <numRef>
              <f>'Revenue Forecast'!$D$83:$D$89</f>
            </numRef>
          </val>
          <smooth val="0"/>
        </ser>
        <ser>
          <idx val="3"/>
          <order val="3"/>
          <tx>
            <strRef>
              <f>'Revenue Forecast'!E82</f>
            </strRef>
          </tx>
          <spPr>
            <a:ln w="22225">
              <a:solidFill>
                <a:srgbClr val="8B2E3C"/>
              </a:solidFill>
              <a:prstDash val="solid"/>
            </a:ln>
          </spPr>
          <marker>
            <symbol val="circle"/>
            <size val="5"/>
            <spPr>
              <a:solidFill>
                <a:srgbClr val="8B2E3C"/>
              </a:solidFill>
              <a:ln w="6350">
                <a:solidFill>
                  <a:srgbClr val="FFFFFF"/>
                </a:solidFill>
                <a:prstDash val="solid"/>
              </a:ln>
            </spPr>
          </marker>
          <cat>
            <numRef>
              <f>'Revenue Forecast'!$A$83:$A$89</f>
            </numRef>
          </cat>
          <val>
            <numRef>
              <f>'Revenue Forecast'!$E$83:$E$89</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Rs crore</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EBITDA and Margin</a:t>
            </a:r>
          </a:p>
        </rich>
      </tx>
    </title>
    <plotArea>
      <barChart>
        <barDir val="col"/>
        <grouping val="clustered"/>
        <ser>
          <idx val="0"/>
          <order val="0"/>
          <tx>
            <strRef>
              <f>'EBITDA Model'!A10</f>
            </strRef>
          </tx>
          <spPr>
            <a:solidFill>
              <a:srgbClr val="1F3864"/>
            </a:solidFill>
            <a:ln>
              <a:noFill/>
              <a:prstDash val="solid"/>
            </a:ln>
          </spPr>
          <cat>
            <numRef>
              <f>'EBITDA Model'!$B$8:$I$8</f>
            </numRef>
          </cat>
          <val>
            <numRef>
              <f>'EBITDA Model'!$B$10:$I$10</f>
            </numRef>
          </val>
        </ser>
        <gapWidth val="70"/>
        <axId val="10"/>
        <axId val="100"/>
      </barChart>
      <lineChart>
        <grouping val="standard"/>
        <ser>
          <idx val="1"/>
          <order val="1"/>
          <tx>
            <strRef>
              <f>'EBITDA Model'!A11</f>
            </strRef>
          </tx>
          <spPr>
            <a:ln w="22225">
              <a:solidFill>
                <a:srgbClr val="C9A227"/>
              </a:solidFill>
              <a:prstDash val="solid"/>
            </a:ln>
          </spPr>
          <marker>
            <symbol val="circle"/>
            <size val="5"/>
            <spPr>
              <a:solidFill>
                <a:srgbClr val="C9A227"/>
              </a:solidFill>
              <a:ln w="6350">
                <a:solidFill>
                  <a:srgbClr val="FFFFFF"/>
                </a:solidFill>
                <a:prstDash val="solid"/>
              </a:ln>
            </spPr>
          </marker>
          <val>
            <numRef>
              <f>'EBITDA Model'!$B$11:$I$11</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EBITDA (Rs cr)</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Margin (%)</a:t>
                </a:r>
              </a:p>
            </rich>
          </tx>
        </title>
        <numFmt formatCode="0.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EBITDA Bridge (Rs cr)</a:t>
            </a:r>
          </a:p>
        </rich>
      </tx>
    </title>
    <plotArea>
      <barChart>
        <barDir val="col"/>
        <grouping val="stacked"/>
        <ser>
          <idx val="0"/>
          <order val="0"/>
          <tx>
            <strRef>
              <f>'EBITDA Model'!A47</f>
            </strRef>
          </tx>
          <spPr>
            <a:solidFill>
              <a:srgbClr val="9C9C9C"/>
            </a:solidFill>
            <a:ln>
              <a:noFill/>
              <a:prstDash val="solid"/>
            </a:ln>
          </spPr>
          <cat>
            <numRef>
              <f>'EBITDA Model'!$B$46:$H$46</f>
            </numRef>
          </cat>
          <val>
            <numRef>
              <f>'EBITDA Model'!$B$47:$H$47</f>
            </numRef>
          </val>
        </ser>
        <ser>
          <idx val="1"/>
          <order val="1"/>
          <tx>
            <strRef>
              <f>'EBITDA Model'!A48</f>
            </strRef>
          </tx>
          <spPr>
            <a:solidFill>
              <a:srgbClr val="2E5C8A"/>
            </a:solidFill>
            <a:ln>
              <a:noFill/>
              <a:prstDash val="solid"/>
            </a:ln>
          </spPr>
          <cat>
            <numRef>
              <f>'EBITDA Model'!$B$46:$H$46</f>
            </numRef>
          </cat>
          <val>
            <numRef>
              <f>'EBITDA Model'!$B$48:$H$48</f>
            </numRef>
          </val>
        </ser>
        <ser>
          <idx val="2"/>
          <order val="2"/>
          <tx>
            <strRef>
              <f>'EBITDA Model'!A49</f>
            </strRef>
          </tx>
          <spPr>
            <a:solidFill>
              <a:srgbClr val="C9A227"/>
            </a:solidFill>
            <a:ln>
              <a:noFill/>
              <a:prstDash val="solid"/>
            </a:ln>
          </spPr>
          <cat>
            <numRef>
              <f>'EBITDA Model'!$B$46:$H$46</f>
            </numRef>
          </cat>
          <val>
            <numRef>
              <f>'EBITDA Model'!$B$49:$H$49</f>
            </numRef>
          </val>
        </ser>
        <ser>
          <idx val="3"/>
          <order val="3"/>
          <tx>
            <strRef>
              <f>'EBITDA Model'!A50</f>
            </strRef>
          </tx>
          <spPr>
            <a:solidFill>
              <a:srgbClr val="8B2E3C"/>
            </a:solidFill>
            <a:ln>
              <a:noFill/>
              <a:prstDash val="solid"/>
            </a:ln>
          </spPr>
          <cat>
            <numRef>
              <f>'EBITDA Model'!$B$46:$H$46</f>
            </numRef>
          </cat>
          <val>
            <numRef>
              <f>'EBITDA Model'!$B$50:$H$50</f>
            </numRef>
          </val>
        </ser>
        <ser>
          <idx val="4"/>
          <order val="4"/>
          <tx>
            <strRef>
              <f>'EBITDA Model'!A51</f>
            </strRef>
          </tx>
          <spPr>
            <a:solidFill>
              <a:srgbClr val="9C9C9C"/>
            </a:solidFill>
            <a:ln>
              <a:noFill/>
              <a:prstDash val="solid"/>
            </a:ln>
          </spPr>
          <cat>
            <numRef>
              <f>'EBITDA Model'!$B$46:$H$46</f>
            </numRef>
          </cat>
          <val>
            <numRef>
              <f>'EBITDA Model'!$B$51:$H$51</f>
            </numRef>
          </val>
        </ser>
        <ser>
          <idx val="5"/>
          <order val="5"/>
          <tx>
            <strRef>
              <f>'EBITDA Model'!A52</f>
            </strRef>
          </tx>
          <spPr>
            <a:solidFill>
              <a:srgbClr val="9C9C9C"/>
            </a:solidFill>
            <a:ln>
              <a:noFill/>
              <a:prstDash val="solid"/>
            </a:ln>
          </spPr>
          <cat>
            <numRef>
              <f>'EBITDA Model'!$B$46:$H$46</f>
            </numRef>
          </cat>
          <val>
            <numRef>
              <f>'EBITDA Model'!$B$52:$H$52</f>
            </numRef>
          </val>
        </ser>
        <ser>
          <idx val="6"/>
          <order val="6"/>
          <tx>
            <strRef>
              <f>'EBITDA Model'!A53</f>
            </strRef>
          </tx>
          <spPr>
            <a:solidFill>
              <a:srgbClr val="2E8B8B"/>
            </a:solidFill>
            <a:ln>
              <a:noFill/>
              <a:prstDash val="solid"/>
            </a:ln>
          </spPr>
          <cat>
            <numRef>
              <f>'EBITDA Model'!$B$46:$H$46</f>
            </numRef>
          </cat>
          <val>
            <numRef>
              <f>'EBITDA Model'!$B$53:$H$53</f>
            </numRef>
          </val>
        </ser>
        <ser>
          <idx val="7"/>
          <order val="7"/>
          <tx>
            <strRef>
              <f>'EBITDA Model'!A54</f>
            </strRef>
          </tx>
          <spPr>
            <a:solidFill>
              <a:srgbClr val="8FA98F"/>
            </a:solidFill>
            <a:ln>
              <a:noFill/>
              <a:prstDash val="solid"/>
            </a:ln>
          </spPr>
          <cat>
            <numRef>
              <f>'EBITDA Model'!$B$46:$H$46</f>
            </numRef>
          </cat>
          <val>
            <numRef>
              <f>'EBITDA Model'!$B$54:$H$54</f>
            </numRef>
          </val>
        </ser>
        <gapWidth val="60"/>
        <overlap val="10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Margin Walk: Gross, EBITDA, Operating and Cash</a:t>
            </a:r>
          </a:p>
        </rich>
      </tx>
    </title>
    <plotArea>
      <lineChart>
        <grouping val="standard"/>
        <ser>
          <idx val="0"/>
          <order val="0"/>
          <tx>
            <strRef>
              <f>'EBITDA Model'!A81</f>
            </strRef>
          </tx>
          <spPr>
            <a:ln w="22225">
              <a:solidFill>
                <a:srgbClr val="8FA98F"/>
              </a:solidFill>
              <a:prstDash val="solid"/>
            </a:ln>
          </spPr>
          <marker>
            <symbol val="circle"/>
            <size val="5"/>
            <spPr>
              <a:solidFill>
                <a:srgbClr val="8FA98F"/>
              </a:solidFill>
              <a:ln w="6350">
                <a:solidFill>
                  <a:srgbClr val="FFFFFF"/>
                </a:solidFill>
                <a:prstDash val="solid"/>
              </a:ln>
            </spPr>
          </marker>
          <cat>
            <numRef>
              <f>'EBITDA Model'!$B$80:$H$80</f>
            </numRef>
          </cat>
          <val>
            <numRef>
              <f>'EBITDA Model'!$B$81:$H$81</f>
            </numRef>
          </val>
          <smooth val="0"/>
        </ser>
        <ser>
          <idx val="1"/>
          <order val="1"/>
          <tx>
            <strRef>
              <f>'EBITDA Model'!A82</f>
            </strRef>
          </tx>
          <spPr>
            <a:ln w="22225">
              <a:solidFill>
                <a:srgbClr val="1F3864"/>
              </a:solidFill>
              <a:prstDash val="solid"/>
            </a:ln>
          </spPr>
          <marker>
            <symbol val="circle"/>
            <size val="5"/>
            <spPr>
              <a:solidFill>
                <a:srgbClr val="1F3864"/>
              </a:solidFill>
              <a:ln w="6350">
                <a:solidFill>
                  <a:srgbClr val="FFFFFF"/>
                </a:solidFill>
                <a:prstDash val="solid"/>
              </a:ln>
            </spPr>
          </marker>
          <cat>
            <numRef>
              <f>'EBITDA Model'!$B$80:$H$80</f>
            </numRef>
          </cat>
          <val>
            <numRef>
              <f>'EBITDA Model'!$B$82:$H$82</f>
            </numRef>
          </val>
          <smooth val="0"/>
        </ser>
        <ser>
          <idx val="2"/>
          <order val="2"/>
          <tx>
            <strRef>
              <f>'EBITDA Model'!A83</f>
            </strRef>
          </tx>
          <spPr>
            <a:ln w="22225">
              <a:solidFill>
                <a:srgbClr val="2E5C8A"/>
              </a:solidFill>
              <a:prstDash val="solid"/>
            </a:ln>
          </spPr>
          <marker>
            <symbol val="circle"/>
            <size val="5"/>
            <spPr>
              <a:solidFill>
                <a:srgbClr val="2E5C8A"/>
              </a:solidFill>
              <a:ln w="6350">
                <a:solidFill>
                  <a:srgbClr val="FFFFFF"/>
                </a:solidFill>
                <a:prstDash val="solid"/>
              </a:ln>
            </spPr>
          </marker>
          <cat>
            <numRef>
              <f>'EBITDA Model'!$B$80:$H$80</f>
            </numRef>
          </cat>
          <val>
            <numRef>
              <f>'EBITDA Model'!$B$83:$H$83</f>
            </numRef>
          </val>
          <smooth val="0"/>
        </ser>
        <ser>
          <idx val="3"/>
          <order val="3"/>
          <tx>
            <strRef>
              <f>'EBITDA Model'!A84</f>
            </strRef>
          </tx>
          <spPr>
            <a:ln w="22225">
              <a:solidFill>
                <a:srgbClr val="2E8B8B"/>
              </a:solidFill>
              <a:prstDash val="solid"/>
            </a:ln>
          </spPr>
          <marker>
            <symbol val="circle"/>
            <size val="5"/>
            <spPr>
              <a:solidFill>
                <a:srgbClr val="2E8B8B"/>
              </a:solidFill>
              <a:ln w="6350">
                <a:solidFill>
                  <a:srgbClr val="FFFFFF"/>
                </a:solidFill>
                <a:prstDash val="solid"/>
              </a:ln>
            </spPr>
          </marker>
          <cat>
            <numRef>
              <f>'EBITDA Model'!$B$80:$H$80</f>
            </numRef>
          </cat>
          <val>
            <numRef>
              <f>'EBITDA Model'!$B$84:$H$84</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Margin (%)</a:t>
                </a:r>
              </a:p>
            </rich>
          </tx>
        </title>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EBITDA by Scenario (Rs cr)</a:t>
            </a:r>
          </a:p>
        </rich>
      </tx>
    </title>
    <plotArea>
      <lineChart>
        <grouping val="standard"/>
        <ser>
          <idx val="0"/>
          <order val="0"/>
          <tx>
            <strRef>
              <f>'EBITDA Model'!B88</f>
            </strRef>
          </tx>
          <spPr>
            <a:ln w="22225">
              <a:solidFill>
                <a:srgbClr val="1F3864"/>
              </a:solidFill>
              <a:prstDash val="solid"/>
            </a:ln>
          </spPr>
          <marker>
            <symbol val="circle"/>
            <size val="5"/>
            <spPr>
              <a:solidFill>
                <a:srgbClr val="1F3864"/>
              </a:solidFill>
              <a:ln w="6350">
                <a:solidFill>
                  <a:srgbClr val="FFFFFF"/>
                </a:solidFill>
                <a:prstDash val="solid"/>
              </a:ln>
            </spPr>
          </marker>
          <cat>
            <numRef>
              <f>'EBITDA Model'!$A$89:$A$95</f>
            </numRef>
          </cat>
          <val>
            <numRef>
              <f>'EBITDA Model'!$B$89:$B$95</f>
            </numRef>
          </val>
          <smooth val="0"/>
        </ser>
        <ser>
          <idx val="1"/>
          <order val="1"/>
          <tx>
            <strRef>
              <f>'EBITDA Model'!C88</f>
            </strRef>
          </tx>
          <spPr>
            <a:ln w="22225">
              <a:solidFill>
                <a:srgbClr val="2E8B8B"/>
              </a:solidFill>
              <a:prstDash val="solid"/>
            </a:ln>
          </spPr>
          <marker>
            <symbol val="circle"/>
            <size val="5"/>
            <spPr>
              <a:solidFill>
                <a:srgbClr val="2E8B8B"/>
              </a:solidFill>
              <a:ln w="6350">
                <a:solidFill>
                  <a:srgbClr val="FFFFFF"/>
                </a:solidFill>
                <a:prstDash val="solid"/>
              </a:ln>
            </spPr>
          </marker>
          <cat>
            <numRef>
              <f>'EBITDA Model'!$A$89:$A$95</f>
            </numRef>
          </cat>
          <val>
            <numRef>
              <f>'EBITDA Model'!$C$89:$C$95</f>
            </numRef>
          </val>
          <smooth val="0"/>
        </ser>
        <ser>
          <idx val="2"/>
          <order val="2"/>
          <tx>
            <strRef>
              <f>'EBITDA Model'!D88</f>
            </strRef>
          </tx>
          <spPr>
            <a:ln w="22225">
              <a:solidFill>
                <a:srgbClr val="C9A227"/>
              </a:solidFill>
              <a:prstDash val="solid"/>
            </a:ln>
          </spPr>
          <marker>
            <symbol val="circle"/>
            <size val="5"/>
            <spPr>
              <a:solidFill>
                <a:srgbClr val="C9A227"/>
              </a:solidFill>
              <a:ln w="6350">
                <a:solidFill>
                  <a:srgbClr val="FFFFFF"/>
                </a:solidFill>
                <a:prstDash val="solid"/>
              </a:ln>
            </spPr>
          </marker>
          <cat>
            <numRef>
              <f>'EBITDA Model'!$A$89:$A$95</f>
            </numRef>
          </cat>
          <val>
            <numRef>
              <f>'EBITDA Model'!$D$89:$D$95</f>
            </numRef>
          </val>
          <smooth val="0"/>
        </ser>
        <ser>
          <idx val="3"/>
          <order val="3"/>
          <tx>
            <strRef>
              <f>'EBITDA Model'!E88</f>
            </strRef>
          </tx>
          <spPr>
            <a:ln w="22225">
              <a:solidFill>
                <a:srgbClr val="8B2E3C"/>
              </a:solidFill>
              <a:prstDash val="solid"/>
            </a:ln>
          </spPr>
          <marker>
            <symbol val="circle"/>
            <size val="5"/>
            <spPr>
              <a:solidFill>
                <a:srgbClr val="8B2E3C"/>
              </a:solidFill>
              <a:ln w="6350">
                <a:solidFill>
                  <a:srgbClr val="FFFFFF"/>
                </a:solidFill>
                <a:prstDash val="solid"/>
              </a:ln>
            </spPr>
          </marker>
          <cat>
            <numRef>
              <f>'EBITDA Model'!$A$89:$A$95</f>
            </numRef>
          </cat>
          <val>
            <numRef>
              <f>'EBITDA Model'!$E$89:$E$95</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Rs crore</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Margin Ladder: Gross, EBITDA, Operating and Cash</a:t>
            </a:r>
          </a:p>
        </rich>
      </tx>
    </title>
    <plotArea>
      <lineChart>
        <grouping val="standard"/>
        <ser>
          <idx val="0"/>
          <order val="0"/>
          <tx>
            <strRef>
              <f>'Margin Analysis'!A9</f>
            </strRef>
          </tx>
          <spPr>
            <a:ln w="22225">
              <a:solidFill>
                <a:srgbClr val="8FA98F"/>
              </a:solidFill>
              <a:prstDash val="solid"/>
            </a:ln>
          </spPr>
          <marker>
            <symbol val="circle"/>
            <size val="5"/>
            <spPr>
              <a:solidFill>
                <a:srgbClr val="8FA98F"/>
              </a:solidFill>
              <a:ln w="6350">
                <a:solidFill>
                  <a:srgbClr val="FFFFFF"/>
                </a:solidFill>
                <a:prstDash val="solid"/>
              </a:ln>
            </spPr>
          </marker>
          <cat>
            <numRef>
              <f>'Margin Analysis'!$B$8:$I$8</f>
            </numRef>
          </cat>
          <val>
            <numRef>
              <f>'Margin Analysis'!$B$9:$I$9</f>
            </numRef>
          </val>
          <smooth val="0"/>
        </ser>
        <ser>
          <idx val="1"/>
          <order val="1"/>
          <tx>
            <strRef>
              <f>'Margin Analysis'!A10</f>
            </strRef>
          </tx>
          <spPr>
            <a:ln w="22225">
              <a:solidFill>
                <a:srgbClr val="1F3864"/>
              </a:solidFill>
              <a:prstDash val="solid"/>
            </a:ln>
          </spPr>
          <marker>
            <symbol val="circle"/>
            <size val="5"/>
            <spPr>
              <a:solidFill>
                <a:srgbClr val="1F3864"/>
              </a:solidFill>
              <a:ln w="6350">
                <a:solidFill>
                  <a:srgbClr val="FFFFFF"/>
                </a:solidFill>
                <a:prstDash val="solid"/>
              </a:ln>
            </spPr>
          </marker>
          <cat>
            <numRef>
              <f>'Margin Analysis'!$B$8:$I$8</f>
            </numRef>
          </cat>
          <val>
            <numRef>
              <f>'Margin Analysis'!$B$10:$I$10</f>
            </numRef>
          </val>
          <smooth val="0"/>
        </ser>
        <ser>
          <idx val="2"/>
          <order val="2"/>
          <tx>
            <strRef>
              <f>'Margin Analysis'!A11</f>
            </strRef>
          </tx>
          <spPr>
            <a:ln w="22225">
              <a:solidFill>
                <a:srgbClr val="2E5C8A"/>
              </a:solidFill>
              <a:prstDash val="solid"/>
            </a:ln>
          </spPr>
          <marker>
            <symbol val="circle"/>
            <size val="5"/>
            <spPr>
              <a:solidFill>
                <a:srgbClr val="2E5C8A"/>
              </a:solidFill>
              <a:ln w="6350">
                <a:solidFill>
                  <a:srgbClr val="FFFFFF"/>
                </a:solidFill>
                <a:prstDash val="solid"/>
              </a:ln>
            </spPr>
          </marker>
          <cat>
            <numRef>
              <f>'Margin Analysis'!$B$8:$I$8</f>
            </numRef>
          </cat>
          <val>
            <numRef>
              <f>'Margin Analysis'!$B$11:$I$11</f>
            </numRef>
          </val>
          <smooth val="0"/>
        </ser>
        <ser>
          <idx val="3"/>
          <order val="3"/>
          <tx>
            <strRef>
              <f>'Margin Analysis'!A12</f>
            </strRef>
          </tx>
          <spPr>
            <a:ln w="22225">
              <a:solidFill>
                <a:srgbClr val="2E8B8B"/>
              </a:solidFill>
              <a:prstDash val="solid"/>
            </a:ln>
          </spPr>
          <marker>
            <symbol val="circle"/>
            <size val="5"/>
            <spPr>
              <a:solidFill>
                <a:srgbClr val="2E8B8B"/>
              </a:solidFill>
              <a:ln w="6350">
                <a:solidFill>
                  <a:srgbClr val="FFFFFF"/>
                </a:solidFill>
                <a:prstDash val="solid"/>
              </a:ln>
            </spPr>
          </marker>
          <cat>
            <numRef>
              <f>'Margin Analysis'!$B$8:$I$8</f>
            </numRef>
          </cat>
          <val>
            <numRef>
              <f>'Margin Analysis'!$B$12:$I$12</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Margin (%)</a:t>
                </a:r>
              </a:p>
            </rich>
          </tx>
        </title>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Margin Bridge (percentage points)</a:t>
            </a:r>
          </a:p>
        </rich>
      </tx>
    </title>
    <plotArea>
      <barChart>
        <barDir val="col"/>
        <grouping val="stacked"/>
        <ser>
          <idx val="0"/>
          <order val="0"/>
          <tx>
            <strRef>
              <f>'Margin Analysis'!A31</f>
            </strRef>
          </tx>
          <spPr>
            <a:solidFill>
              <a:srgbClr val="9C9C9C"/>
            </a:solidFill>
            <a:ln>
              <a:noFill/>
              <a:prstDash val="solid"/>
            </a:ln>
          </spPr>
          <cat>
            <numRef>
              <f>'Margin Analysis'!$B$30:$H$30</f>
            </numRef>
          </cat>
          <val>
            <numRef>
              <f>'Margin Analysis'!$B$31:$H$31</f>
            </numRef>
          </val>
        </ser>
        <ser>
          <idx val="1"/>
          <order val="1"/>
          <tx>
            <strRef>
              <f>'Margin Analysis'!A32</f>
            </strRef>
          </tx>
          <spPr>
            <a:solidFill>
              <a:srgbClr val="C9A227"/>
            </a:solidFill>
            <a:ln>
              <a:noFill/>
              <a:prstDash val="solid"/>
            </a:ln>
          </spPr>
          <cat>
            <numRef>
              <f>'Margin Analysis'!$B$30:$H$30</f>
            </numRef>
          </cat>
          <val>
            <numRef>
              <f>'Margin Analysis'!$B$32:$H$32</f>
            </numRef>
          </val>
        </ser>
        <ser>
          <idx val="2"/>
          <order val="2"/>
          <tx>
            <strRef>
              <f>'Margin Analysis'!A33</f>
            </strRef>
          </tx>
          <spPr>
            <a:solidFill>
              <a:srgbClr val="8B2E3C"/>
            </a:solidFill>
            <a:ln>
              <a:noFill/>
              <a:prstDash val="solid"/>
            </a:ln>
          </spPr>
          <cat>
            <numRef>
              <f>'Margin Analysis'!$B$30:$H$30</f>
            </numRef>
          </cat>
          <val>
            <numRef>
              <f>'Margin Analysis'!$B$33:$H$33</f>
            </numRef>
          </val>
        </ser>
        <ser>
          <idx val="3"/>
          <order val="3"/>
          <tx>
            <strRef>
              <f>'Margin Analysis'!A34</f>
            </strRef>
          </tx>
          <spPr>
            <a:solidFill>
              <a:srgbClr val="9C9C9C"/>
            </a:solidFill>
            <a:ln>
              <a:noFill/>
              <a:prstDash val="solid"/>
            </a:ln>
          </spPr>
          <cat>
            <numRef>
              <f>'Margin Analysis'!$B$30:$H$30</f>
            </numRef>
          </cat>
          <val>
            <numRef>
              <f>'Margin Analysis'!$B$34:$H$34</f>
            </numRef>
          </val>
        </ser>
        <ser>
          <idx val="4"/>
          <order val="4"/>
          <tx>
            <strRef>
              <f>'Margin Analysis'!A35</f>
            </strRef>
          </tx>
          <spPr>
            <a:solidFill>
              <a:srgbClr val="9C9C9C"/>
            </a:solidFill>
            <a:ln>
              <a:noFill/>
              <a:prstDash val="solid"/>
            </a:ln>
          </spPr>
          <cat>
            <numRef>
              <f>'Margin Analysis'!$B$30:$H$30</f>
            </numRef>
          </cat>
          <val>
            <numRef>
              <f>'Margin Analysis'!$B$35:$H$35</f>
            </numRef>
          </val>
        </ser>
        <ser>
          <idx val="5"/>
          <order val="5"/>
          <tx>
            <strRef>
              <f>'Margin Analysis'!A36</f>
            </strRef>
          </tx>
          <spPr>
            <a:solidFill>
              <a:srgbClr val="2E8B8B"/>
            </a:solidFill>
            <a:ln>
              <a:noFill/>
              <a:prstDash val="solid"/>
            </a:ln>
          </spPr>
          <cat>
            <numRef>
              <f>'Margin Analysis'!$B$30:$H$30</f>
            </numRef>
          </cat>
          <val>
            <numRef>
              <f>'Margin Analysis'!$B$36:$H$36</f>
            </numRef>
          </val>
        </ser>
        <gapWidth val="60"/>
        <overlap val="10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EBITDA Margin by Producer, FY2026A</a:t>
            </a:r>
          </a:p>
        </rich>
      </tx>
    </title>
    <plotArea>
      <barChart>
        <barDir val="col"/>
        <grouping val="clustered"/>
        <ser>
          <idx val="0"/>
          <order val="0"/>
          <tx>
            <strRef>
              <f>'Margin Analysis'!B55</f>
            </strRef>
          </tx>
          <spPr>
            <a:solidFill>
              <a:srgbClr val="1F3864"/>
            </a:solidFill>
            <a:ln>
              <a:noFill/>
              <a:prstDash val="solid"/>
            </a:ln>
          </spPr>
          <cat>
            <numRef>
              <f>'Margin Analysis'!$A$56:$A$60</f>
            </numRef>
          </cat>
          <val>
            <numRef>
              <f>'Margin Analysis'!$B$56:$B$60</f>
            </numRef>
          </val>
        </ser>
        <dLbls>
          <numFmt formatCode="0.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34.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EBITDA Margin by Scenario</a:t>
            </a:r>
          </a:p>
        </rich>
      </tx>
    </title>
    <plotArea>
      <lineChart>
        <grouping val="standard"/>
        <ser>
          <idx val="0"/>
          <order val="0"/>
          <tx>
            <strRef>
              <f>'Margin Analysis'!B75</f>
            </strRef>
          </tx>
          <spPr>
            <a:ln w="22225">
              <a:solidFill>
                <a:srgbClr val="1F3864"/>
              </a:solidFill>
              <a:prstDash val="solid"/>
            </a:ln>
          </spPr>
          <marker>
            <symbol val="circle"/>
            <size val="5"/>
            <spPr>
              <a:solidFill>
                <a:srgbClr val="1F3864"/>
              </a:solidFill>
              <a:ln w="6350">
                <a:solidFill>
                  <a:srgbClr val="FFFFFF"/>
                </a:solidFill>
                <a:prstDash val="solid"/>
              </a:ln>
            </spPr>
          </marker>
          <cat>
            <numRef>
              <f>'Margin Analysis'!$A$76:$A$82</f>
            </numRef>
          </cat>
          <val>
            <numRef>
              <f>'Margin Analysis'!$B$76:$B$82</f>
            </numRef>
          </val>
          <smooth val="0"/>
        </ser>
        <ser>
          <idx val="1"/>
          <order val="1"/>
          <tx>
            <strRef>
              <f>'Margin Analysis'!C75</f>
            </strRef>
          </tx>
          <spPr>
            <a:ln w="22225">
              <a:solidFill>
                <a:srgbClr val="2E8B8B"/>
              </a:solidFill>
              <a:prstDash val="solid"/>
            </a:ln>
          </spPr>
          <marker>
            <symbol val="circle"/>
            <size val="5"/>
            <spPr>
              <a:solidFill>
                <a:srgbClr val="2E8B8B"/>
              </a:solidFill>
              <a:ln w="6350">
                <a:solidFill>
                  <a:srgbClr val="FFFFFF"/>
                </a:solidFill>
                <a:prstDash val="solid"/>
              </a:ln>
            </spPr>
          </marker>
          <cat>
            <numRef>
              <f>'Margin Analysis'!$A$76:$A$82</f>
            </numRef>
          </cat>
          <val>
            <numRef>
              <f>'Margin Analysis'!$C$76:$C$82</f>
            </numRef>
          </val>
          <smooth val="0"/>
        </ser>
        <ser>
          <idx val="2"/>
          <order val="2"/>
          <tx>
            <strRef>
              <f>'Margin Analysis'!D75</f>
            </strRef>
          </tx>
          <spPr>
            <a:ln w="22225">
              <a:solidFill>
                <a:srgbClr val="C9A227"/>
              </a:solidFill>
              <a:prstDash val="solid"/>
            </a:ln>
          </spPr>
          <marker>
            <symbol val="circle"/>
            <size val="5"/>
            <spPr>
              <a:solidFill>
                <a:srgbClr val="C9A227"/>
              </a:solidFill>
              <a:ln w="6350">
                <a:solidFill>
                  <a:srgbClr val="FFFFFF"/>
                </a:solidFill>
                <a:prstDash val="solid"/>
              </a:ln>
            </spPr>
          </marker>
          <cat>
            <numRef>
              <f>'Margin Analysis'!$A$76:$A$82</f>
            </numRef>
          </cat>
          <val>
            <numRef>
              <f>'Margin Analysis'!$D$76:$D$82</f>
            </numRef>
          </val>
          <smooth val="0"/>
        </ser>
        <ser>
          <idx val="3"/>
          <order val="3"/>
          <tx>
            <strRef>
              <f>'Margin Analysis'!E75</f>
            </strRef>
          </tx>
          <spPr>
            <a:ln w="22225">
              <a:solidFill>
                <a:srgbClr val="8B2E3C"/>
              </a:solidFill>
              <a:prstDash val="solid"/>
            </a:ln>
          </spPr>
          <marker>
            <symbol val="circle"/>
            <size val="5"/>
            <spPr>
              <a:solidFill>
                <a:srgbClr val="8B2E3C"/>
              </a:solidFill>
              <a:ln w="6350">
                <a:solidFill>
                  <a:srgbClr val="FFFFFF"/>
                </a:solidFill>
                <a:prstDash val="solid"/>
              </a:ln>
            </spPr>
          </marker>
          <cat>
            <numRef>
              <f>'Margin Analysis'!$A$76:$A$82</f>
            </numRef>
          </cat>
          <val>
            <numRef>
              <f>'Margin Analysis'!$E$76:$E$82</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Margin (%)</a:t>
                </a:r>
              </a:p>
            </rich>
          </tx>
        </title>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Net Working Capital and Intensity</a:t>
            </a:r>
          </a:p>
        </rich>
      </tx>
    </title>
    <plotArea>
      <barChart>
        <barDir val="col"/>
        <grouping val="clustered"/>
        <ser>
          <idx val="0"/>
          <order val="0"/>
          <tx>
            <strRef>
              <f>'Working Capital Model'!A12</f>
            </strRef>
          </tx>
          <spPr>
            <a:solidFill>
              <a:srgbClr val="7FA8D0"/>
            </a:solidFill>
            <a:ln>
              <a:noFill/>
              <a:prstDash val="solid"/>
            </a:ln>
          </spPr>
          <cat>
            <numRef>
              <f>'Working Capital Model'!$B$8:$I$8</f>
            </numRef>
          </cat>
          <val>
            <numRef>
              <f>'Working Capital Model'!$B$12:$I$12</f>
            </numRef>
          </val>
        </ser>
        <gapWidth val="70"/>
        <axId val="10"/>
        <axId val="100"/>
      </barChart>
      <lineChart>
        <grouping val="standard"/>
        <ser>
          <idx val="1"/>
          <order val="1"/>
          <tx>
            <strRef>
              <f>'Working Capital Model'!A13</f>
            </strRef>
          </tx>
          <spPr>
            <a:ln w="22225">
              <a:solidFill>
                <a:srgbClr val="8B2E3C"/>
              </a:solidFill>
              <a:prstDash val="solid"/>
            </a:ln>
          </spPr>
          <marker>
            <symbol val="circle"/>
            <size val="5"/>
            <spPr>
              <a:solidFill>
                <a:srgbClr val="8B2E3C"/>
              </a:solidFill>
              <a:ln w="6350">
                <a:solidFill>
                  <a:srgbClr val="FFFFFF"/>
                </a:solidFill>
                <a:prstDash val="solid"/>
              </a:ln>
            </spPr>
          </marker>
          <val>
            <numRef>
              <f>'Working Capital Model'!$B$13:$I$13</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NWC (Rs cr)</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 of revenue</a:t>
                </a:r>
              </a:p>
            </rich>
          </tx>
        </title>
        <numFmt formatCode="0.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Cash Absorbed by Working Capital (Rs cr)</a:t>
            </a:r>
          </a:p>
        </rich>
      </tx>
    </title>
    <plotArea>
      <barChart>
        <barDir val="col"/>
        <grouping val="clustered"/>
        <ser>
          <idx val="0"/>
          <order val="0"/>
          <tx>
            <strRef>
              <f>'Working Capital Model'!D46</f>
            </strRef>
          </tx>
          <spPr>
            <a:solidFill>
              <a:srgbClr val="8B2E3C"/>
            </a:solidFill>
            <a:ln>
              <a:noFill/>
              <a:prstDash val="solid"/>
            </a:ln>
          </spPr>
          <cat>
            <numRef>
              <f>'Working Capital Model'!$A$47:$A$53</f>
            </numRef>
          </cat>
          <val>
            <numRef>
              <f>'Working Capital Model'!$D$47:$D$53</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37.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Net Working Capital by Scenario (Rs cr)</a:t>
            </a:r>
          </a:p>
        </rich>
      </tx>
    </title>
    <plotArea>
      <lineChart>
        <grouping val="standard"/>
        <ser>
          <idx val="0"/>
          <order val="0"/>
          <tx>
            <strRef>
              <f>'Working Capital Model'!B57</f>
            </strRef>
          </tx>
          <spPr>
            <a:ln w="22225">
              <a:solidFill>
                <a:srgbClr val="1F3864"/>
              </a:solidFill>
              <a:prstDash val="solid"/>
            </a:ln>
          </spPr>
          <marker>
            <symbol val="circle"/>
            <size val="5"/>
            <spPr>
              <a:solidFill>
                <a:srgbClr val="1F3864"/>
              </a:solidFill>
              <a:ln w="6350">
                <a:solidFill>
                  <a:srgbClr val="FFFFFF"/>
                </a:solidFill>
                <a:prstDash val="solid"/>
              </a:ln>
            </spPr>
          </marker>
          <cat>
            <numRef>
              <f>'Working Capital Model'!$A$58:$A$64</f>
            </numRef>
          </cat>
          <val>
            <numRef>
              <f>'Working Capital Model'!$B$58:$B$64</f>
            </numRef>
          </val>
          <smooth val="0"/>
        </ser>
        <ser>
          <idx val="1"/>
          <order val="1"/>
          <tx>
            <strRef>
              <f>'Working Capital Model'!C57</f>
            </strRef>
          </tx>
          <spPr>
            <a:ln w="22225">
              <a:solidFill>
                <a:srgbClr val="2E8B8B"/>
              </a:solidFill>
              <a:prstDash val="solid"/>
            </a:ln>
          </spPr>
          <marker>
            <symbol val="circle"/>
            <size val="5"/>
            <spPr>
              <a:solidFill>
                <a:srgbClr val="2E8B8B"/>
              </a:solidFill>
              <a:ln w="6350">
                <a:solidFill>
                  <a:srgbClr val="FFFFFF"/>
                </a:solidFill>
                <a:prstDash val="solid"/>
              </a:ln>
            </spPr>
          </marker>
          <cat>
            <numRef>
              <f>'Working Capital Model'!$A$58:$A$64</f>
            </numRef>
          </cat>
          <val>
            <numRef>
              <f>'Working Capital Model'!$C$58:$C$64</f>
            </numRef>
          </val>
          <smooth val="0"/>
        </ser>
        <ser>
          <idx val="2"/>
          <order val="2"/>
          <tx>
            <strRef>
              <f>'Working Capital Model'!D57</f>
            </strRef>
          </tx>
          <spPr>
            <a:ln w="22225">
              <a:solidFill>
                <a:srgbClr val="C9A227"/>
              </a:solidFill>
              <a:prstDash val="solid"/>
            </a:ln>
          </spPr>
          <marker>
            <symbol val="circle"/>
            <size val="5"/>
            <spPr>
              <a:solidFill>
                <a:srgbClr val="C9A227"/>
              </a:solidFill>
              <a:ln w="6350">
                <a:solidFill>
                  <a:srgbClr val="FFFFFF"/>
                </a:solidFill>
                <a:prstDash val="solid"/>
              </a:ln>
            </spPr>
          </marker>
          <cat>
            <numRef>
              <f>'Working Capital Model'!$A$58:$A$64</f>
            </numRef>
          </cat>
          <val>
            <numRef>
              <f>'Working Capital Model'!$D$58:$D$64</f>
            </numRef>
          </val>
          <smooth val="0"/>
        </ser>
        <ser>
          <idx val="3"/>
          <order val="3"/>
          <tx>
            <strRef>
              <f>'Working Capital Model'!E57</f>
            </strRef>
          </tx>
          <spPr>
            <a:ln w="22225">
              <a:solidFill>
                <a:srgbClr val="8B2E3C"/>
              </a:solidFill>
              <a:prstDash val="solid"/>
            </a:ln>
          </spPr>
          <marker>
            <symbol val="circle"/>
            <size val="5"/>
            <spPr>
              <a:solidFill>
                <a:srgbClr val="8B2E3C"/>
              </a:solidFill>
              <a:ln w="6350">
                <a:solidFill>
                  <a:srgbClr val="FFFFFF"/>
                </a:solidFill>
                <a:prstDash val="solid"/>
              </a:ln>
            </spPr>
          </marker>
          <cat>
            <numRef>
              <f>'Working Capital Model'!$A$58:$A$64</f>
            </numRef>
          </cat>
          <val>
            <numRef>
              <f>'Working Capital Model'!$E$58:$E$64</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Rs crore</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Unlevered Free Cash Flow and Cash Conversion</a:t>
            </a:r>
          </a:p>
        </rich>
      </tx>
    </title>
    <plotArea>
      <barChart>
        <barDir val="col"/>
        <grouping val="clustered"/>
        <ser>
          <idx val="0"/>
          <order val="0"/>
          <tx>
            <strRef>
              <f>'Cash Flow Model'!A12</f>
            </strRef>
          </tx>
          <spPr>
            <a:solidFill>
              <a:srgbClr val="2E8B8B"/>
            </a:solidFill>
            <a:ln>
              <a:noFill/>
              <a:prstDash val="solid"/>
            </a:ln>
          </spPr>
          <cat>
            <numRef>
              <f>'Cash Flow Model'!$B$8:$I$8</f>
            </numRef>
          </cat>
          <val>
            <numRef>
              <f>'Cash Flow Model'!$B$12:$I$12</f>
            </numRef>
          </val>
        </ser>
        <gapWidth val="70"/>
        <axId val="10"/>
        <axId val="100"/>
      </barChart>
      <lineChart>
        <grouping val="standard"/>
        <ser>
          <idx val="1"/>
          <order val="1"/>
          <tx>
            <strRef>
              <f>'Cash Flow Model'!A14</f>
            </strRef>
          </tx>
          <spPr>
            <a:ln w="22225">
              <a:solidFill>
                <a:srgbClr val="C9A227"/>
              </a:solidFill>
              <a:prstDash val="solid"/>
            </a:ln>
          </spPr>
          <marker>
            <symbol val="circle"/>
            <size val="5"/>
            <spPr>
              <a:solidFill>
                <a:srgbClr val="C9A227"/>
              </a:solidFill>
              <a:ln w="6350">
                <a:solidFill>
                  <a:srgbClr val="FFFFFF"/>
                </a:solidFill>
                <a:prstDash val="solid"/>
              </a:ln>
            </spPr>
          </marker>
          <val>
            <numRef>
              <f>'Cash Flow Model'!$B$14:$I$14</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FCF (Rs cr)</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Conversion (% of EBITDA)</a:t>
                </a:r>
              </a:p>
            </rich>
          </tx>
        </title>
        <numFmt formatCode="0.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Cash Flow Build-up (Rs cr)</a:t>
            </a:r>
          </a:p>
        </rich>
      </tx>
    </title>
    <plotArea>
      <barChart>
        <barDir val="col"/>
        <grouping val="stacked"/>
        <ser>
          <idx val="0"/>
          <order val="0"/>
          <tx>
            <strRef>
              <f>'Cash Flow Model'!A20</f>
            </strRef>
          </tx>
          <spPr>
            <a:solidFill>
              <a:srgbClr val="1F3864"/>
            </a:solidFill>
            <a:ln>
              <a:noFill/>
              <a:prstDash val="solid"/>
            </a:ln>
          </spPr>
          <cat>
            <numRef>
              <f>'Cash Flow Model'!$B$19:$I$19</f>
            </numRef>
          </cat>
          <val>
            <numRef>
              <f>'Cash Flow Model'!$B$20:$I$20</f>
            </numRef>
          </val>
        </ser>
        <ser>
          <idx val="1"/>
          <order val="1"/>
          <tx>
            <strRef>
              <f>'Cash Flow Model'!A21</f>
            </strRef>
          </tx>
          <spPr>
            <a:solidFill>
              <a:srgbClr val="9C9C9C"/>
            </a:solidFill>
            <a:ln>
              <a:noFill/>
              <a:prstDash val="solid"/>
            </a:ln>
          </spPr>
          <cat>
            <numRef>
              <f>'Cash Flow Model'!$B$19:$I$19</f>
            </numRef>
          </cat>
          <val>
            <numRef>
              <f>'Cash Flow Model'!$B$21:$I$21</f>
            </numRef>
          </val>
        </ser>
        <ser>
          <idx val="2"/>
          <order val="2"/>
          <tx>
            <strRef>
              <f>'Cash Flow Model'!A22</f>
            </strRef>
          </tx>
          <spPr>
            <a:solidFill>
              <a:srgbClr val="7FA8D0"/>
            </a:solidFill>
            <a:ln>
              <a:noFill/>
              <a:prstDash val="solid"/>
            </a:ln>
          </spPr>
          <cat>
            <numRef>
              <f>'Cash Flow Model'!$B$19:$I$19</f>
            </numRef>
          </cat>
          <val>
            <numRef>
              <f>'Cash Flow Model'!$B$22:$I$22</f>
            </numRef>
          </val>
        </ser>
        <ser>
          <idx val="3"/>
          <order val="3"/>
          <tx>
            <strRef>
              <f>'Cash Flow Model'!A23</f>
            </strRef>
          </tx>
          <spPr>
            <a:solidFill>
              <a:srgbClr val="2E5C8A"/>
            </a:solidFill>
            <a:ln>
              <a:noFill/>
              <a:prstDash val="solid"/>
            </a:ln>
          </spPr>
          <cat>
            <numRef>
              <f>'Cash Flow Model'!$B$19:$I$19</f>
            </numRef>
          </cat>
          <val>
            <numRef>
              <f>'Cash Flow Model'!$B$23:$I$23</f>
            </numRef>
          </val>
        </ser>
        <ser>
          <idx val="4"/>
          <order val="4"/>
          <tx>
            <strRef>
              <f>'Cash Flow Model'!A24</f>
            </strRef>
          </tx>
          <spPr>
            <a:solidFill>
              <a:srgbClr val="2E8B8B"/>
            </a:solidFill>
            <a:ln>
              <a:noFill/>
              <a:prstDash val="solid"/>
            </a:ln>
          </spPr>
          <cat>
            <numRef>
              <f>'Cash Flow Model'!$B$19:$I$19</f>
            </numRef>
          </cat>
          <val>
            <numRef>
              <f>'Cash Flow Model'!$B$24:$I$24</f>
            </numRef>
          </val>
        </ser>
        <ser>
          <idx val="5"/>
          <order val="5"/>
          <tx>
            <strRef>
              <f>'Cash Flow Model'!A25</f>
            </strRef>
          </tx>
          <spPr>
            <a:solidFill>
              <a:srgbClr val="C9A227"/>
            </a:solidFill>
            <a:ln>
              <a:noFill/>
              <a:prstDash val="solid"/>
            </a:ln>
          </spPr>
          <cat>
            <numRef>
              <f>'Cash Flow Model'!$B$19:$I$19</f>
            </numRef>
          </cat>
          <val>
            <numRef>
              <f>'Cash Flow Model'!$B$25:$I$25</f>
            </numRef>
          </val>
        </ser>
        <gapWidth val="60"/>
        <overlap val="10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EBITDA, Operating Cash Flow and Capex (Rs cr)</a:t>
            </a:r>
          </a:p>
        </rich>
      </tx>
    </title>
    <plotArea>
      <barChart>
        <barDir val="col"/>
        <grouping val="clustered"/>
        <ser>
          <idx val="0"/>
          <order val="0"/>
          <tx>
            <strRef>
              <f>'Cash Flow Model'!A9</f>
            </strRef>
          </tx>
          <spPr>
            <a:solidFill>
              <a:srgbClr val="1F3864"/>
            </a:solidFill>
            <a:ln>
              <a:noFill/>
              <a:prstDash val="solid"/>
            </a:ln>
          </spPr>
          <cat>
            <numRef>
              <f>'Cash Flow Model'!$B$8:$I$8</f>
            </numRef>
          </cat>
          <val>
            <numRef>
              <f>'Cash Flow Model'!$B$9:$I$9</f>
            </numRef>
          </val>
        </ser>
        <ser>
          <idx val="1"/>
          <order val="1"/>
          <tx>
            <strRef>
              <f>'Cash Flow Model'!A10</f>
            </strRef>
          </tx>
          <spPr>
            <a:solidFill>
              <a:srgbClr val="2E5C8A"/>
            </a:solidFill>
            <a:ln>
              <a:noFill/>
              <a:prstDash val="solid"/>
            </a:ln>
          </spPr>
          <cat>
            <numRef>
              <f>'Cash Flow Model'!$B$8:$I$8</f>
            </numRef>
          </cat>
          <val>
            <numRef>
              <f>'Cash Flow Model'!$B$10:$I$10</f>
            </numRef>
          </val>
        </ser>
        <ser>
          <idx val="2"/>
          <order val="2"/>
          <tx>
            <strRef>
              <f>'Cash Flow Model'!A11</f>
            </strRef>
          </tx>
          <spPr>
            <a:solidFill>
              <a:srgbClr val="8B2E3C"/>
            </a:solidFill>
            <a:ln>
              <a:noFill/>
              <a:prstDash val="solid"/>
            </a:ln>
          </spPr>
          <cat>
            <numRef>
              <f>'Cash Flow Model'!$B$8:$I$8</f>
            </numRef>
          </cat>
          <val>
            <numRef>
              <f>'Cash Flow Model'!$B$11:$I$11</f>
            </numRef>
          </val>
        </ser>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Unlevered Free Cash Flow by Scenario (Rs cr)</a:t>
            </a:r>
          </a:p>
        </rich>
      </tx>
    </title>
    <plotArea>
      <lineChart>
        <grouping val="standard"/>
        <ser>
          <idx val="0"/>
          <order val="0"/>
          <tx>
            <strRef>
              <f>'Cash Flow Model'!B78</f>
            </strRef>
          </tx>
          <spPr>
            <a:ln w="22225">
              <a:solidFill>
                <a:srgbClr val="1F3864"/>
              </a:solidFill>
              <a:prstDash val="solid"/>
            </a:ln>
          </spPr>
          <marker>
            <symbol val="circle"/>
            <size val="5"/>
            <spPr>
              <a:solidFill>
                <a:srgbClr val="1F3864"/>
              </a:solidFill>
              <a:ln w="6350">
                <a:solidFill>
                  <a:srgbClr val="FFFFFF"/>
                </a:solidFill>
                <a:prstDash val="solid"/>
              </a:ln>
            </spPr>
          </marker>
          <cat>
            <numRef>
              <f>'Cash Flow Model'!$A$79:$A$85</f>
            </numRef>
          </cat>
          <val>
            <numRef>
              <f>'Cash Flow Model'!$B$79:$B$85</f>
            </numRef>
          </val>
          <smooth val="0"/>
        </ser>
        <ser>
          <idx val="1"/>
          <order val="1"/>
          <tx>
            <strRef>
              <f>'Cash Flow Model'!C78</f>
            </strRef>
          </tx>
          <spPr>
            <a:ln w="22225">
              <a:solidFill>
                <a:srgbClr val="2E8B8B"/>
              </a:solidFill>
              <a:prstDash val="solid"/>
            </a:ln>
          </spPr>
          <marker>
            <symbol val="circle"/>
            <size val="5"/>
            <spPr>
              <a:solidFill>
                <a:srgbClr val="2E8B8B"/>
              </a:solidFill>
              <a:ln w="6350">
                <a:solidFill>
                  <a:srgbClr val="FFFFFF"/>
                </a:solidFill>
                <a:prstDash val="solid"/>
              </a:ln>
            </spPr>
          </marker>
          <cat>
            <numRef>
              <f>'Cash Flow Model'!$A$79:$A$85</f>
            </numRef>
          </cat>
          <val>
            <numRef>
              <f>'Cash Flow Model'!$C$79:$C$85</f>
            </numRef>
          </val>
          <smooth val="0"/>
        </ser>
        <ser>
          <idx val="2"/>
          <order val="2"/>
          <tx>
            <strRef>
              <f>'Cash Flow Model'!D78</f>
            </strRef>
          </tx>
          <spPr>
            <a:ln w="22225">
              <a:solidFill>
                <a:srgbClr val="C9A227"/>
              </a:solidFill>
              <a:prstDash val="solid"/>
            </a:ln>
          </spPr>
          <marker>
            <symbol val="circle"/>
            <size val="5"/>
            <spPr>
              <a:solidFill>
                <a:srgbClr val="C9A227"/>
              </a:solidFill>
              <a:ln w="6350">
                <a:solidFill>
                  <a:srgbClr val="FFFFFF"/>
                </a:solidFill>
                <a:prstDash val="solid"/>
              </a:ln>
            </spPr>
          </marker>
          <cat>
            <numRef>
              <f>'Cash Flow Model'!$A$79:$A$85</f>
            </numRef>
          </cat>
          <val>
            <numRef>
              <f>'Cash Flow Model'!$D$79:$D$85</f>
            </numRef>
          </val>
          <smooth val="0"/>
        </ser>
        <ser>
          <idx val="3"/>
          <order val="3"/>
          <tx>
            <strRef>
              <f>'Cash Flow Model'!E78</f>
            </strRef>
          </tx>
          <spPr>
            <a:ln w="22225">
              <a:solidFill>
                <a:srgbClr val="8B2E3C"/>
              </a:solidFill>
              <a:prstDash val="solid"/>
            </a:ln>
          </spPr>
          <marker>
            <symbol val="circle"/>
            <size val="5"/>
            <spPr>
              <a:solidFill>
                <a:srgbClr val="8B2E3C"/>
              </a:solidFill>
              <a:ln w="6350">
                <a:solidFill>
                  <a:srgbClr val="FFFFFF"/>
                </a:solidFill>
                <a:prstDash val="solid"/>
              </a:ln>
            </spPr>
          </marker>
          <cat>
            <numRef>
              <f>'Cash Flow Model'!$A$79:$A$85</f>
            </numRef>
          </cat>
          <val>
            <numRef>
              <f>'Cash Flow Model'!$E$79:$E$85</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Rs crore</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Capex Allocation: Maintenance, Brownfield and Greenfield (Rs cr)</a:t>
            </a:r>
          </a:p>
        </rich>
      </tx>
    </title>
    <plotArea>
      <barChart>
        <barDir val="col"/>
        <grouping val="stacked"/>
        <ser>
          <idx val="0"/>
          <order val="0"/>
          <tx>
            <strRef>
              <f>'Capital Allocation'!A36</f>
            </strRef>
          </tx>
          <spPr>
            <a:solidFill>
              <a:srgbClr val="7FA8D0"/>
            </a:solidFill>
            <a:ln>
              <a:noFill/>
              <a:prstDash val="solid"/>
            </a:ln>
          </spPr>
          <cat>
            <numRef>
              <f>'Capital Allocation'!$B$35:$H$35</f>
            </numRef>
          </cat>
          <val>
            <numRef>
              <f>'Capital Allocation'!$B$36:$H$36</f>
            </numRef>
          </val>
        </ser>
        <ser>
          <idx val="1"/>
          <order val="1"/>
          <tx>
            <strRef>
              <f>'Capital Allocation'!A37</f>
            </strRef>
          </tx>
          <spPr>
            <a:solidFill>
              <a:srgbClr val="2E5C8A"/>
            </a:solidFill>
            <a:ln>
              <a:noFill/>
              <a:prstDash val="solid"/>
            </a:ln>
          </spPr>
          <cat>
            <numRef>
              <f>'Capital Allocation'!$B$35:$H$35</f>
            </numRef>
          </cat>
          <val>
            <numRef>
              <f>'Capital Allocation'!$B$37:$H$37</f>
            </numRef>
          </val>
        </ser>
        <ser>
          <idx val="2"/>
          <order val="2"/>
          <tx>
            <strRef>
              <f>'Capital Allocation'!A38</f>
            </strRef>
          </tx>
          <spPr>
            <a:solidFill>
              <a:srgbClr val="1F3864"/>
            </a:solidFill>
            <a:ln>
              <a:noFill/>
              <a:prstDash val="solid"/>
            </a:ln>
          </spPr>
          <cat>
            <numRef>
              <f>'Capital Allocation'!$B$35:$H$35</f>
            </numRef>
          </cat>
          <val>
            <numRef>
              <f>'Capital Allocation'!$B$38:$H$38</f>
            </numRef>
          </val>
        </ser>
        <gapWidth val="60"/>
        <overlap val="10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43.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Net Debt and Leverage</a:t>
            </a:r>
          </a:p>
        </rich>
      </tx>
    </title>
    <plotArea>
      <barChart>
        <barDir val="col"/>
        <grouping val="clustered"/>
        <ser>
          <idx val="0"/>
          <order val="0"/>
          <tx>
            <strRef>
              <f>'Capital Allocation'!E46</f>
            </strRef>
          </tx>
          <spPr>
            <a:solidFill>
              <a:srgbClr val="4A4A4A"/>
            </a:solidFill>
            <a:ln>
              <a:noFill/>
              <a:prstDash val="solid"/>
            </a:ln>
          </spPr>
          <cat>
            <numRef>
              <f>'Capital Allocation'!$A$47:$A$53</f>
            </numRef>
          </cat>
          <val>
            <numRef>
              <f>'Capital Allocation'!$E$47:$E$53</f>
            </numRef>
          </val>
        </ser>
        <gapWidth val="70"/>
        <axId val="10"/>
        <axId val="100"/>
      </barChart>
      <lineChart>
        <grouping val="standard"/>
        <ser>
          <idx val="1"/>
          <order val="1"/>
          <tx>
            <strRef>
              <f>'Capital Allocation'!F46</f>
            </strRef>
          </tx>
          <spPr>
            <a:ln w="22225">
              <a:solidFill>
                <a:srgbClr val="8B2E3C"/>
              </a:solidFill>
              <a:prstDash val="solid"/>
            </a:ln>
          </spPr>
          <marker>
            <symbol val="circle"/>
            <size val="5"/>
            <spPr>
              <a:solidFill>
                <a:srgbClr val="8B2E3C"/>
              </a:solidFill>
              <a:ln w="6350">
                <a:solidFill>
                  <a:srgbClr val="FFFFFF"/>
                </a:solidFill>
                <a:prstDash val="solid"/>
              </a:ln>
            </spPr>
          </marker>
          <val>
            <numRef>
              <f>'Capital Allocation'!$F$47:$F$53</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Net debt (Rs cr)</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Net debt / EBITDA</a:t>
                </a:r>
              </a:p>
            </rich>
          </tx>
        </title>
        <numFmt formatCode="0.0&quot;x&quot;"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Cumulative Growth Capex against Free Cash Flow by Scenario (Rs cr)</a:t>
            </a:r>
          </a:p>
        </rich>
      </tx>
    </title>
    <plotArea>
      <barChart>
        <barDir val="col"/>
        <grouping val="clustered"/>
        <ser>
          <idx val="0"/>
          <order val="0"/>
          <tx>
            <strRef>
              <f>'Capital Allocation'!B67</f>
            </strRef>
          </tx>
          <spPr>
            <a:solidFill>
              <a:srgbClr val="2E5C8A"/>
            </a:solidFill>
            <a:ln>
              <a:noFill/>
              <a:prstDash val="solid"/>
            </a:ln>
          </spPr>
          <cat>
            <numRef>
              <f>'Capital Allocation'!$A$68:$A$71</f>
            </numRef>
          </cat>
          <val>
            <numRef>
              <f>'Capital Allocation'!$B$68:$B$71</f>
            </numRef>
          </val>
        </ser>
        <ser>
          <idx val="1"/>
          <order val="1"/>
          <tx>
            <strRef>
              <f>'Capital Allocation'!C67</f>
            </strRef>
          </tx>
          <spPr>
            <a:solidFill>
              <a:srgbClr val="2E8B8B"/>
            </a:solidFill>
            <a:ln>
              <a:noFill/>
              <a:prstDash val="solid"/>
            </a:ln>
          </spPr>
          <cat>
            <numRef>
              <f>'Capital Allocation'!$A$68:$A$71</f>
            </numRef>
          </cat>
          <val>
            <numRef>
              <f>'Capital Allocation'!$C$68:$C$71</f>
            </numRef>
          </val>
        </ser>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Cycle Score (0-100)</a:t>
            </a:r>
          </a:p>
        </rich>
      </tx>
    </title>
    <plotArea>
      <lineChart>
        <grouping val="standard"/>
        <ser>
          <idx val="0"/>
          <order val="0"/>
          <spPr>
            <a:ln w="22225">
              <a:solidFill>
                <a:srgbClr val="1F3864"/>
              </a:solidFill>
              <a:prstDash val="solid"/>
            </a:ln>
          </spPr>
          <marker>
            <symbol val="circle"/>
            <size val="5"/>
            <spPr>
              <a:solidFill>
                <a:srgbClr val="1F3864"/>
              </a:solidFill>
              <a:ln w="6350">
                <a:solidFill>
                  <a:srgbClr val="FFFFFF"/>
                </a:solidFill>
                <a:prstDash val="solid"/>
              </a:ln>
            </spPr>
          </marker>
          <cat>
            <numRef>
              <f>'Industry Cycle Model'!$C$18:$J$18</f>
            </numRef>
          </cat>
          <val>
            <numRef>
              <f>'Industry Cycle Model'!$C$27:$J$27</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Score</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46.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Cycle Indicator Scores by Year</a:t>
            </a:r>
          </a:p>
        </rich>
      </tx>
    </title>
    <plotArea>
      <radarChart>
        <radarStyle val="marker"/>
        <ser>
          <idx val="0"/>
          <order val="0"/>
          <tx>
            <strRef>
              <f>'Industry Cycle Model'!C18</f>
            </strRef>
          </tx>
          <spPr>
            <a:ln w="22225">
              <a:solidFill>
                <a:srgbClr val="1F3864"/>
              </a:solidFill>
              <a:prstDash val="solid"/>
            </a:ln>
          </spPr>
          <marker>
            <symbol val="circle"/>
            <size val="5"/>
            <spPr>
              <a:solidFill>
                <a:srgbClr val="1F3864"/>
              </a:solidFill>
              <a:ln w="6350">
                <a:solidFill>
                  <a:srgbClr val="FFFFFF"/>
                </a:solidFill>
                <a:prstDash val="solid"/>
              </a:ln>
            </spPr>
          </marker>
          <cat>
            <numRef>
              <f>'Industry Cycle Model'!$A$19:$A$26</f>
            </numRef>
          </cat>
          <val>
            <numRef>
              <f>'Industry Cycle Model'!$C$19:$C$26</f>
            </numRef>
          </val>
        </ser>
        <ser>
          <idx val="1"/>
          <order val="1"/>
          <tx>
            <strRef>
              <f>'Industry Cycle Model'!D18</f>
            </strRef>
          </tx>
          <spPr>
            <a:ln w="22225">
              <a:solidFill>
                <a:srgbClr val="2E5C8A"/>
              </a:solidFill>
              <a:prstDash val="solid"/>
            </a:ln>
          </spPr>
          <marker>
            <symbol val="circle"/>
            <size val="5"/>
            <spPr>
              <a:solidFill>
                <a:srgbClr val="2E5C8A"/>
              </a:solidFill>
              <a:ln w="6350">
                <a:solidFill>
                  <a:srgbClr val="FFFFFF"/>
                </a:solidFill>
                <a:prstDash val="solid"/>
              </a:ln>
            </spPr>
          </marker>
          <cat>
            <numRef>
              <f>'Industry Cycle Model'!$A$19:$A$26</f>
            </numRef>
          </cat>
          <val>
            <numRef>
              <f>'Industry Cycle Model'!$D$19:$D$26</f>
            </numRef>
          </val>
        </ser>
        <ser>
          <idx val="2"/>
          <order val="2"/>
          <tx>
            <strRef>
              <f>'Industry Cycle Model'!E18</f>
            </strRef>
          </tx>
          <spPr>
            <a:ln w="22225">
              <a:solidFill>
                <a:srgbClr val="C9A227"/>
              </a:solidFill>
              <a:prstDash val="solid"/>
            </a:ln>
          </spPr>
          <marker>
            <symbol val="circle"/>
            <size val="5"/>
            <spPr>
              <a:solidFill>
                <a:srgbClr val="C9A227"/>
              </a:solidFill>
              <a:ln w="6350">
                <a:solidFill>
                  <a:srgbClr val="FFFFFF"/>
                </a:solidFill>
                <a:prstDash val="solid"/>
              </a:ln>
            </spPr>
          </marker>
          <cat>
            <numRef>
              <f>'Industry Cycle Model'!$A$19:$A$26</f>
            </numRef>
          </cat>
          <val>
            <numRef>
              <f>'Industry Cycle Model'!$E$19:$E$26</f>
            </numRef>
          </val>
        </ser>
        <ser>
          <idx val="3"/>
          <order val="3"/>
          <tx>
            <strRef>
              <f>'Industry Cycle Model'!F18</f>
            </strRef>
          </tx>
          <spPr>
            <a:ln w="22225">
              <a:solidFill>
                <a:srgbClr val="2E8B8B"/>
              </a:solidFill>
              <a:prstDash val="solid"/>
            </a:ln>
          </spPr>
          <marker>
            <symbol val="circle"/>
            <size val="5"/>
            <spPr>
              <a:solidFill>
                <a:srgbClr val="2E8B8B"/>
              </a:solidFill>
              <a:ln w="6350">
                <a:solidFill>
                  <a:srgbClr val="FFFFFF"/>
                </a:solidFill>
                <a:prstDash val="solid"/>
              </a:ln>
            </spPr>
          </marker>
          <cat>
            <numRef>
              <f>'Industry Cycle Model'!$A$19:$A$26</f>
            </numRef>
          </cat>
          <val>
            <numRef>
              <f>'Industry Cycle Model'!$F$19:$F$26</f>
            </numRef>
          </val>
        </ser>
        <ser>
          <idx val="4"/>
          <order val="4"/>
          <tx>
            <strRef>
              <f>'Industry Cycle Model'!G18</f>
            </strRef>
          </tx>
          <spPr>
            <a:ln w="22225">
              <a:solidFill>
                <a:srgbClr val="8B2E3C"/>
              </a:solidFill>
              <a:prstDash val="solid"/>
            </a:ln>
          </spPr>
          <marker>
            <symbol val="circle"/>
            <size val="5"/>
            <spPr>
              <a:solidFill>
                <a:srgbClr val="8B2E3C"/>
              </a:solidFill>
              <a:ln w="6350">
                <a:solidFill>
                  <a:srgbClr val="FFFFFF"/>
                </a:solidFill>
                <a:prstDash val="solid"/>
              </a:ln>
            </spPr>
          </marker>
          <cat>
            <numRef>
              <f>'Industry Cycle Model'!$A$19:$A$26</f>
            </numRef>
          </cat>
          <val>
            <numRef>
              <f>'Industry Cycle Model'!$G$19:$G$26</f>
            </numRef>
          </val>
        </ser>
        <ser>
          <idx val="5"/>
          <order val="5"/>
          <tx>
            <strRef>
              <f>'Industry Cycle Model'!H18</f>
            </strRef>
          </tx>
          <spPr>
            <a:ln w="22225">
              <a:solidFill>
                <a:srgbClr val="7FA8D0"/>
              </a:solidFill>
              <a:prstDash val="solid"/>
            </a:ln>
          </spPr>
          <marker>
            <symbol val="circle"/>
            <size val="5"/>
            <spPr>
              <a:solidFill>
                <a:srgbClr val="7FA8D0"/>
              </a:solidFill>
              <a:ln w="6350">
                <a:solidFill>
                  <a:srgbClr val="FFFFFF"/>
                </a:solidFill>
                <a:prstDash val="solid"/>
              </a:ln>
            </spPr>
          </marker>
          <cat>
            <numRef>
              <f>'Industry Cycle Model'!$A$19:$A$26</f>
            </numRef>
          </cat>
          <val>
            <numRef>
              <f>'Industry Cycle Model'!$H$19:$H$26</f>
            </numRef>
          </val>
        </ser>
        <ser>
          <idx val="6"/>
          <order val="6"/>
          <tx>
            <strRef>
              <f>'Industry Cycle Model'!I18</f>
            </strRef>
          </tx>
          <spPr>
            <a:ln w="22225">
              <a:solidFill>
                <a:srgbClr val="9C9C9C"/>
              </a:solidFill>
              <a:prstDash val="solid"/>
            </a:ln>
          </spPr>
          <marker>
            <symbol val="circle"/>
            <size val="5"/>
            <spPr>
              <a:solidFill>
                <a:srgbClr val="9C9C9C"/>
              </a:solidFill>
              <a:ln w="6350">
                <a:solidFill>
                  <a:srgbClr val="FFFFFF"/>
                </a:solidFill>
                <a:prstDash val="solid"/>
              </a:ln>
            </spPr>
          </marker>
          <cat>
            <numRef>
              <f>'Industry Cycle Model'!$A$19:$A$26</f>
            </numRef>
          </cat>
          <val>
            <numRef>
              <f>'Industry Cycle Model'!$I$19:$I$26</f>
            </numRef>
          </val>
        </ser>
        <ser>
          <idx val="7"/>
          <order val="7"/>
          <tx>
            <strRef>
              <f>'Industry Cycle Model'!J18</f>
            </strRef>
          </tx>
          <spPr>
            <a:ln w="22225">
              <a:solidFill>
                <a:srgbClr val="8FA98F"/>
              </a:solidFill>
              <a:prstDash val="solid"/>
            </a:ln>
          </spPr>
          <marker>
            <symbol val="circle"/>
            <size val="5"/>
            <spPr>
              <a:solidFill>
                <a:srgbClr val="8FA98F"/>
              </a:solidFill>
              <a:ln w="6350">
                <a:solidFill>
                  <a:srgbClr val="FFFFFF"/>
                </a:solidFill>
                <a:prstDash val="solid"/>
              </a:ln>
            </spPr>
          </marker>
          <cat>
            <numRef>
              <f>'Industry Cycle Model'!$A$19:$A$26</f>
            </numRef>
          </cat>
          <val>
            <numRef>
              <f>'Industry Cycle Model'!$J$19:$J$26</f>
            </numRef>
          </val>
        </ser>
        <axId val="10"/>
        <axId val="100"/>
      </radarChart>
      <catAx>
        <axId val="10"/>
        <scaling>
          <orientation val="minMax"/>
        </scaling>
        <axPos val="l"/>
        <majorTickMark val="none"/>
        <minorTickMark val="none"/>
        <txPr>
          <a:bodyPr/>
          <a:p>
            <a:pPr>
              <a:defRPr sz="750" b="0">
                <a:solidFill>
                  <a:srgbClr val="4A4A4A"/>
                </a:solidFill>
                <a:latin typeface="Calibri"/>
              </a:defRPr>
            </a:pPr>
            <a:r>
              <a:t/>
            </a:r>
            <a:endParaRPr sz="750" b="0">
              <a:solidFill>
                <a:srgbClr val="4A4A4A"/>
              </a:solidFill>
              <a:latin typeface="Calibri"/>
            </a:endParaRPr>
          </a:p>
        </txPr>
        <crossAx val="100"/>
        <lblOffset val="100"/>
      </catAx>
      <valAx>
        <axId val="100"/>
        <scaling>
          <orientation val="minMax"/>
        </scaling>
        <delete val="0"/>
        <axPos val="l"/>
        <majorGridlines/>
        <numFmt formatCode="0" sourceLinked="0"/>
        <majorTickMark val="none"/>
        <minorTickMark val="none"/>
        <txPr>
          <a:bodyPr/>
          <a:p>
            <a:pPr>
              <a:defRPr sz="750" b="0">
                <a:solidFill>
                  <a:srgbClr val="4A4A4A"/>
                </a:solidFill>
                <a:latin typeface="Calibri"/>
              </a:defRPr>
            </a:pPr>
            <a:r>
              <a:t/>
            </a:r>
            <a:endParaRPr sz="750" b="0">
              <a:solidFill>
                <a:srgbClr val="4A4A4A"/>
              </a:solidFill>
              <a:latin typeface="Calibri"/>
            </a:endParaRPr>
          </a:p>
        </txPr>
        <crossAx val="10"/>
      </valAx>
    </plotArea>
    <legend>
      <legendPos val="b"/>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FY2033E Cycle Score by Scenario</a:t>
            </a:r>
          </a:p>
        </rich>
      </tx>
    </title>
    <plotArea>
      <barChart>
        <barDir val="col"/>
        <grouping val="clustered"/>
        <ser>
          <idx val="0"/>
          <order val="0"/>
          <spPr>
            <a:solidFill>
              <a:srgbClr val="1F3864"/>
            </a:solidFill>
            <a:ln>
              <a:noFill/>
              <a:prstDash val="solid"/>
            </a:ln>
          </spPr>
          <cat>
            <numRef>
              <f>'Industry Cycle Model'!$B$69:$E$69</f>
            </numRef>
          </cat>
          <val>
            <numRef>
              <f>'Industry Cycle Model'!$B$70:$E$70</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48.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Finished Steel Imports and Exports (Mt)</a:t>
            </a:r>
          </a:p>
        </rich>
      </tx>
    </title>
    <plotArea>
      <barChart>
        <barDir val="col"/>
        <grouping val="clustered"/>
        <ser>
          <idx val="0"/>
          <order val="0"/>
          <tx>
            <strRef>
              <f>'Trade Model'!A9</f>
            </strRef>
          </tx>
          <spPr>
            <a:solidFill>
              <a:srgbClr val="8B2E3C"/>
            </a:solidFill>
            <a:ln>
              <a:noFill/>
              <a:prstDash val="solid"/>
            </a:ln>
          </spPr>
          <cat>
            <numRef>
              <f>'Trade Model'!$B$8:$I$8</f>
            </numRef>
          </cat>
          <val>
            <numRef>
              <f>'Trade Model'!$B$9:$I$9</f>
            </numRef>
          </val>
        </ser>
        <ser>
          <idx val="1"/>
          <order val="1"/>
          <tx>
            <strRef>
              <f>'Trade Model'!A10</f>
            </strRef>
          </tx>
          <spPr>
            <a:solidFill>
              <a:srgbClr val="2E8B8B"/>
            </a:solidFill>
            <a:ln>
              <a:noFill/>
              <a:prstDash val="solid"/>
            </a:ln>
          </spPr>
          <cat>
            <numRef>
              <f>'Trade Model'!$B$8:$I$8</f>
            </numRef>
          </cat>
          <val>
            <numRef>
              <f>'Trade Model'!$B$10:$I$10</f>
            </numRef>
          </val>
        </ser>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49.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Import Penetration and Export Intensity</a:t>
            </a:r>
          </a:p>
        </rich>
      </tx>
    </title>
    <plotArea>
      <lineChart>
        <grouping val="standard"/>
        <ser>
          <idx val="0"/>
          <order val="0"/>
          <tx>
            <strRef>
              <f>'Trade Model'!A12</f>
            </strRef>
          </tx>
          <spPr>
            <a:ln w="22225">
              <a:solidFill>
                <a:srgbClr val="8B2E3C"/>
              </a:solidFill>
              <a:prstDash val="solid"/>
            </a:ln>
          </spPr>
          <marker>
            <symbol val="circle"/>
            <size val="5"/>
            <spPr>
              <a:solidFill>
                <a:srgbClr val="8B2E3C"/>
              </a:solidFill>
              <a:ln w="6350">
                <a:solidFill>
                  <a:srgbClr val="FFFFFF"/>
                </a:solidFill>
                <a:prstDash val="solid"/>
              </a:ln>
            </spPr>
          </marker>
          <cat>
            <numRef>
              <f>'Trade Model'!$B$8:$I$8</f>
            </numRef>
          </cat>
          <val>
            <numRef>
              <f>'Trade Model'!$B$12:$I$12</f>
            </numRef>
          </val>
          <smooth val="0"/>
        </ser>
        <ser>
          <idx val="1"/>
          <order val="1"/>
          <tx>
            <strRef>
              <f>'Trade Model'!A13</f>
            </strRef>
          </tx>
          <spPr>
            <a:ln w="22225">
              <a:solidFill>
                <a:srgbClr val="2E8B8B"/>
              </a:solidFill>
              <a:prstDash val="solid"/>
            </a:ln>
          </spPr>
          <marker>
            <symbol val="circle"/>
            <size val="5"/>
            <spPr>
              <a:solidFill>
                <a:srgbClr val="2E8B8B"/>
              </a:solidFill>
              <a:ln w="6350">
                <a:solidFill>
                  <a:srgbClr val="FFFFFF"/>
                </a:solidFill>
                <a:prstDash val="solid"/>
              </a:ln>
            </spPr>
          </marker>
          <cat>
            <numRef>
              <f>'Trade Model'!$B$8:$I$8</f>
            </numRef>
          </cat>
          <val>
            <numRef>
              <f>'Trade Model'!$B$13:$I$13</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 of consumption / production</a:t>
                </a:r>
              </a:p>
            </rich>
          </tx>
        </title>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50.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Historical Trade, FY2021-FY2026 (Mt)</a:t>
            </a:r>
          </a:p>
        </rich>
      </tx>
    </title>
    <plotArea>
      <barChart>
        <barDir val="col"/>
        <grouping val="clustered"/>
        <ser>
          <idx val="0"/>
          <order val="0"/>
          <tx>
            <strRef>
              <f>'Trade Model'!B18</f>
            </strRef>
          </tx>
          <spPr>
            <a:solidFill>
              <a:srgbClr val="8B2E3C"/>
            </a:solidFill>
            <a:ln>
              <a:noFill/>
              <a:prstDash val="solid"/>
            </a:ln>
          </spPr>
          <cat>
            <numRef>
              <f>'Trade Model'!$A$19:$A$24</f>
            </numRef>
          </cat>
          <val>
            <numRef>
              <f>'Trade Model'!$B$19:$B$24</f>
            </numRef>
          </val>
        </ser>
        <ser>
          <idx val="1"/>
          <order val="1"/>
          <tx>
            <strRef>
              <f>'Trade Model'!C18</f>
            </strRef>
          </tx>
          <spPr>
            <a:solidFill>
              <a:srgbClr val="2E8B8B"/>
            </a:solidFill>
            <a:ln>
              <a:noFill/>
              <a:prstDash val="solid"/>
            </a:ln>
          </spPr>
          <cat>
            <numRef>
              <f>'Trade Model'!$A$19:$A$24</f>
            </numRef>
          </cat>
          <val>
            <numRef>
              <f>'Trade Model'!$C$19:$C$24</f>
            </numRef>
          </val>
        </ser>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Export Destinations, FY2026A</a:t>
            </a:r>
          </a:p>
        </rich>
      </tx>
    </title>
    <plotArea>
      <doughnutChart>
        <varyColors val="1"/>
        <ser>
          <idx val="0"/>
          <order val="0"/>
          <tx>
            <strRef>
              <f>'Trade Model'!D29</f>
            </strRef>
          </tx>
          <spPr>
            <a:ln>
              <a:prstDash val="solid"/>
            </a:ln>
          </spPr>
          <dPt>
            <idx val="0"/>
            <spPr>
              <a:solidFill>
                <a:srgbClr val="1F3864"/>
              </a:solidFill>
              <a:ln w="12700">
                <a:solidFill>
                  <a:srgbClr val="FFFFFF"/>
                </a:solidFill>
                <a:prstDash val="solid"/>
              </a:ln>
            </spPr>
          </dPt>
          <dPt>
            <idx val="1"/>
            <spPr>
              <a:solidFill>
                <a:srgbClr val="C9A227"/>
              </a:solidFill>
              <a:ln w="12700">
                <a:solidFill>
                  <a:srgbClr val="FFFFFF"/>
                </a:solidFill>
                <a:prstDash val="solid"/>
              </a:ln>
            </spPr>
          </dPt>
          <dPt>
            <idx val="2"/>
            <spPr>
              <a:solidFill>
                <a:srgbClr val="2E8B8B"/>
              </a:solidFill>
              <a:ln w="12700">
                <a:solidFill>
                  <a:srgbClr val="FFFFFF"/>
                </a:solidFill>
                <a:prstDash val="solid"/>
              </a:ln>
            </spPr>
          </dPt>
          <dPt>
            <idx val="3"/>
            <spPr>
              <a:solidFill>
                <a:srgbClr val="9C9C9C"/>
              </a:solidFill>
              <a:ln w="12700">
                <a:solidFill>
                  <a:srgbClr val="FFFFFF"/>
                </a:solidFill>
                <a:prstDash val="solid"/>
              </a:ln>
            </spPr>
          </dPt>
          <dPt>
            <idx val="4"/>
            <spPr>
              <a:solidFill>
                <a:srgbClr val="9C9C9C"/>
              </a:solidFill>
              <a:ln w="12700">
                <a:solidFill>
                  <a:srgbClr val="FFFFFF"/>
                </a:solidFill>
                <a:prstDash val="solid"/>
              </a:ln>
            </spPr>
          </dPt>
          <dPt>
            <idx val="5"/>
            <spPr>
              <a:solidFill>
                <a:srgbClr val="7FA8D0"/>
              </a:solidFill>
              <a:ln w="12700">
                <a:solidFill>
                  <a:srgbClr val="FFFFFF"/>
                </a:solidFill>
                <a:prstDash val="solid"/>
              </a:ln>
            </spPr>
          </dPt>
          <cat>
            <numRef>
              <f>'Trade Model'!$A$30:$A$35</f>
            </numRef>
          </cat>
          <val>
            <numRef>
              <f>'Trade Model'!$D$30:$D$35</f>
            </numRef>
          </val>
        </ser>
        <dLbls>
          <txPr>
            <a:bodyPr/>
            <a:p>
              <a:pPr>
                <a:defRPr sz="750" b="0">
                  <a:solidFill>
                    <a:srgbClr val="FFFFFF"/>
                  </a:solidFill>
                  <a:latin typeface="Calibri"/>
                </a:defRPr>
              </a:pPr>
              <a:r>
                <a:t/>
              </a:r>
              <a:endParaRPr sz="750" b="0">
                <a:solidFill>
                  <a:srgbClr val="FFFFFF"/>
                </a:solidFill>
                <a:latin typeface="Calibri"/>
              </a:endParaRPr>
            </a:p>
          </txPr>
          <showPercent val="1"/>
        </dLbls>
        <firstSliceAng val="0"/>
        <holeSize val="52"/>
      </doughnutChart>
    </plotArea>
    <legend>
      <legendPos val="r"/>
      <txPr>
        <a:bodyPr/>
        <a:p>
          <a:pPr>
            <a:defRPr sz="750" b="0">
              <a:solidFill>
                <a:srgbClr val="4A4A4A"/>
              </a:solidFill>
              <a:latin typeface="Calibri"/>
            </a:defRPr>
          </a:pPr>
          <a:r>
            <a:t/>
          </a:r>
          <a:endParaRPr sz="750" b="0">
            <a:solidFill>
              <a:srgbClr val="4A4A4A"/>
            </a:solidFill>
            <a:latin typeface="Calibri"/>
          </a:endParaRPr>
        </a:p>
      </txPr>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Import Sources, FY2026A</a:t>
            </a:r>
          </a:p>
        </rich>
      </tx>
    </title>
    <plotArea>
      <doughnutChart>
        <varyColors val="1"/>
        <ser>
          <idx val="0"/>
          <order val="0"/>
          <tx>
            <strRef>
              <f>'Trade Model'!I29</f>
            </strRef>
          </tx>
          <spPr>
            <a:ln>
              <a:prstDash val="solid"/>
            </a:ln>
          </spPr>
          <dPt>
            <idx val="0"/>
            <spPr>
              <a:solidFill>
                <a:srgbClr val="8B2E3C"/>
              </a:solidFill>
              <a:ln w="12700">
                <a:solidFill>
                  <a:srgbClr val="FFFFFF"/>
                </a:solidFill>
                <a:prstDash val="solid"/>
              </a:ln>
            </spPr>
          </dPt>
          <dPt>
            <idx val="1"/>
            <spPr>
              <a:solidFill>
                <a:srgbClr val="2E5C8A"/>
              </a:solidFill>
              <a:ln w="12700">
                <a:solidFill>
                  <a:srgbClr val="FFFFFF"/>
                </a:solidFill>
                <a:prstDash val="solid"/>
              </a:ln>
            </spPr>
          </dPt>
          <dPt>
            <idx val="2"/>
            <spPr>
              <a:solidFill>
                <a:srgbClr val="4A4A4A"/>
              </a:solidFill>
              <a:ln w="12700">
                <a:solidFill>
                  <a:srgbClr val="FFFFFF"/>
                </a:solidFill>
                <a:prstDash val="solid"/>
              </a:ln>
            </spPr>
          </dPt>
          <dPt>
            <idx val="3"/>
            <spPr>
              <a:solidFill>
                <a:srgbClr val="9C9C9C"/>
              </a:solidFill>
              <a:ln w="12700">
                <a:solidFill>
                  <a:srgbClr val="FFFFFF"/>
                </a:solidFill>
                <a:prstDash val="solid"/>
              </a:ln>
            </spPr>
          </dPt>
          <dPt>
            <idx val="4"/>
            <spPr>
              <a:solidFill>
                <a:srgbClr val="9C9C9C"/>
              </a:solidFill>
              <a:ln w="12700">
                <a:solidFill>
                  <a:srgbClr val="FFFFFF"/>
                </a:solidFill>
                <a:prstDash val="solid"/>
              </a:ln>
            </spPr>
          </dPt>
          <dPt>
            <idx val="5"/>
            <spPr>
              <a:solidFill>
                <a:srgbClr val="7FA8D0"/>
              </a:solidFill>
              <a:ln w="12700">
                <a:solidFill>
                  <a:srgbClr val="FFFFFF"/>
                </a:solidFill>
                <a:prstDash val="solid"/>
              </a:ln>
            </spPr>
          </dPt>
          <cat>
            <numRef>
              <f>'Trade Model'!$F$30:$F$35</f>
            </numRef>
          </cat>
          <val>
            <numRef>
              <f>'Trade Model'!$I$30:$I$35</f>
            </numRef>
          </val>
        </ser>
        <dLbls>
          <txPr>
            <a:bodyPr/>
            <a:p>
              <a:pPr>
                <a:defRPr sz="750" b="0">
                  <a:solidFill>
                    <a:srgbClr val="FFFFFF"/>
                  </a:solidFill>
                  <a:latin typeface="Calibri"/>
                </a:defRPr>
              </a:pPr>
              <a:r>
                <a:t/>
              </a:r>
              <a:endParaRPr sz="750" b="0">
                <a:solidFill>
                  <a:srgbClr val="FFFFFF"/>
                </a:solidFill>
                <a:latin typeface="Calibri"/>
              </a:endParaRPr>
            </a:p>
          </txPr>
          <showPercent val="1"/>
        </dLbls>
        <firstSliceAng val="0"/>
        <holeSize val="52"/>
      </doughnutChart>
    </plotArea>
    <legend>
      <legendPos val="r"/>
      <txPr>
        <a:bodyPr/>
        <a:p>
          <a:pPr>
            <a:defRPr sz="750" b="0">
              <a:solidFill>
                <a:srgbClr val="4A4A4A"/>
              </a:solidFill>
              <a:latin typeface="Calibri"/>
            </a:defRPr>
          </a:pPr>
          <a:r>
            <a:t/>
          </a:r>
          <a:endParaRPr sz="750" b="0">
            <a:solidFill>
              <a:srgbClr val="4A4A4A"/>
            </a:solidFill>
            <a:latin typeface="Calibri"/>
          </a:endParaRPr>
        </a:p>
      </txPr>
    </legend>
    <plotVisOnly val="1"/>
    <dispBlanksAs val="gap"/>
  </chart>
</chartSpace>
</file>

<file path=xl/charts/chart53.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CO2 Emissions and Emission Intensity</a:t>
            </a:r>
          </a:p>
        </rich>
      </tx>
    </title>
    <plotArea>
      <barChart>
        <barDir val="col"/>
        <grouping val="clustered"/>
        <ser>
          <idx val="0"/>
          <order val="0"/>
          <tx>
            <strRef>
              <f>'ESG Model'!A19</f>
            </strRef>
          </tx>
          <spPr>
            <a:solidFill>
              <a:srgbClr val="4A4A4A"/>
            </a:solidFill>
            <a:ln>
              <a:noFill/>
              <a:prstDash val="solid"/>
            </a:ln>
          </spPr>
          <cat>
            <numRef>
              <f>'ESG Model'!$B$8:$I$8</f>
            </numRef>
          </cat>
          <val>
            <numRef>
              <f>'ESG Model'!$B$19:$I$19</f>
            </numRef>
          </val>
        </ser>
        <gapWidth val="70"/>
        <axId val="10"/>
        <axId val="100"/>
      </barChart>
      <lineChart>
        <grouping val="standard"/>
        <ser>
          <idx val="1"/>
          <order val="1"/>
          <tx>
            <strRef>
              <f>'ESG Model'!A20</f>
            </strRef>
          </tx>
          <spPr>
            <a:ln w="22225">
              <a:solidFill>
                <a:srgbClr val="8FA98F"/>
              </a:solidFill>
              <a:prstDash val="solid"/>
            </a:ln>
          </spPr>
          <marker>
            <symbol val="circle"/>
            <size val="5"/>
            <spPr>
              <a:solidFill>
                <a:srgbClr val="8FA98F"/>
              </a:solidFill>
              <a:ln w="6350">
                <a:solidFill>
                  <a:srgbClr val="FFFFFF"/>
                </a:solidFill>
                <a:prstDash val="solid"/>
              </a:ln>
            </spPr>
          </marker>
          <val>
            <numRef>
              <f>'ESG Model'!$B$20:$I$20</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Mt CO2e</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tCO2e per tonne</a:t>
                </a:r>
              </a:p>
            </rich>
          </tx>
        </title>
        <numFmt formatCode="0.0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EU CBAM Carbon Cost (Rs cr)</a:t>
            </a:r>
          </a:p>
        </rich>
      </tx>
    </title>
    <plotArea>
      <barChart>
        <barDir val="col"/>
        <grouping val="clustered"/>
        <ser>
          <idx val="0"/>
          <order val="0"/>
          <tx>
            <strRef>
              <f>'ESG Model'!A33</f>
            </strRef>
          </tx>
          <spPr>
            <a:solidFill>
              <a:srgbClr val="8FA98F"/>
            </a:solidFill>
            <a:ln>
              <a:noFill/>
              <a:prstDash val="solid"/>
            </a:ln>
          </spPr>
          <cat>
            <numRef>
              <f>'ESG Model'!$B$30:$H$30</f>
            </numRef>
          </cat>
          <val>
            <numRef>
              <f>'ESG Model'!$B$33:$H$33</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55.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CBAM EBITDA Impact by Scenario, FY2033E (Rs cr)</a:t>
            </a:r>
          </a:p>
        </rich>
      </tx>
    </title>
    <plotArea>
      <barChart>
        <barDir val="col"/>
        <grouping val="clustered"/>
        <ser>
          <idx val="0"/>
          <order val="0"/>
          <tx>
            <strRef>
              <f>'ESG Model'!D85</f>
            </strRef>
          </tx>
          <spPr>
            <a:solidFill>
              <a:srgbClr val="8B2E3C"/>
            </a:solidFill>
            <a:ln>
              <a:noFill/>
              <a:prstDash val="solid"/>
            </a:ln>
          </spPr>
          <cat>
            <numRef>
              <f>'ESG Model'!$A$86:$A$89</f>
            </numRef>
          </cat>
          <val>
            <numRef>
              <f>'ESG Model'!$D$86:$D$89</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56.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FY2033E Revenue and EBITDA by Scenario (Rs cr)</a:t>
            </a:r>
          </a:p>
        </rich>
      </tx>
    </title>
    <plotArea>
      <barChart>
        <barDir val="col"/>
        <grouping val="clustered"/>
        <ser>
          <idx val="0"/>
          <order val="0"/>
          <tx>
            <strRef>
              <f>'Scenario Manager'!A28</f>
            </strRef>
          </tx>
          <spPr>
            <a:solidFill>
              <a:srgbClr val="1F3864"/>
            </a:solidFill>
            <a:ln>
              <a:noFill/>
              <a:prstDash val="solid"/>
            </a:ln>
          </spPr>
          <cat>
            <numRef>
              <f>'Scenario Manager'!$B$27:$E$27</f>
            </numRef>
          </cat>
          <val>
            <numRef>
              <f>'Scenario Manager'!$B$28:$E$28</f>
            </numRef>
          </val>
        </ser>
        <ser>
          <idx val="1"/>
          <order val="1"/>
          <tx>
            <strRef>
              <f>'Scenario Manager'!A29</f>
            </strRef>
          </tx>
          <spPr>
            <a:solidFill>
              <a:srgbClr val="C9A227"/>
            </a:solidFill>
            <a:ln>
              <a:noFill/>
              <a:prstDash val="solid"/>
            </a:ln>
          </spPr>
          <cat>
            <numRef>
              <f>'Scenario Manager'!$B$27:$E$27</f>
            </numRef>
          </cat>
          <val>
            <numRef>
              <f>'Scenario Manager'!$B$29:$E$29</f>
            </numRef>
          </val>
        </ser>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57.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FY2033E Industry EBITDA Margin by Scenario</a:t>
            </a:r>
          </a:p>
        </rich>
      </tx>
    </title>
    <plotArea>
      <barChart>
        <barDir val="col"/>
        <grouping val="clustered"/>
        <ser>
          <idx val="0"/>
          <order val="0"/>
          <spPr>
            <a:solidFill>
              <a:srgbClr val="1F3864"/>
            </a:solidFill>
            <a:ln>
              <a:noFill/>
              <a:prstDash val="solid"/>
            </a:ln>
          </spPr>
          <cat>
            <numRef>
              <f>'Scenario Manager'!$B$27:$E$27</f>
            </numRef>
          </cat>
          <val>
            <numRef>
              <f>'Scenario Manager'!$B$30:$E$30</f>
            </numRef>
          </val>
        </ser>
        <dLbls>
          <numFmt formatCode="0.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58.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FY2033E Industry Enterprise Value by Scenario (Rs cr)</a:t>
            </a:r>
          </a:p>
        </rich>
      </tx>
    </title>
    <plotArea>
      <barChart>
        <barDir val="col"/>
        <grouping val="clustered"/>
        <ser>
          <idx val="0"/>
          <order val="0"/>
          <spPr>
            <a:solidFill>
              <a:srgbClr val="1F3864"/>
            </a:solidFill>
            <a:ln>
              <a:noFill/>
              <a:prstDash val="solid"/>
            </a:ln>
          </spPr>
          <cat>
            <numRef>
              <f>'Scenario Manager'!$B$27:$E$27</f>
            </numRef>
          </cat>
          <val>
            <numRef>
              <f>'Scenario Manager'!$B$35:$E$35</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59.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Scenario Comparison - Spider</a:t>
            </a:r>
          </a:p>
        </rich>
      </tx>
    </title>
    <plotArea>
      <radarChart>
        <radarStyle val="marker"/>
        <ser>
          <idx val="0"/>
          <order val="0"/>
          <tx>
            <strRef>
              <f>'Scenario Manager'!B39</f>
            </strRef>
          </tx>
          <spPr>
            <a:ln w="22225">
              <a:solidFill>
                <a:srgbClr val="1F3864"/>
              </a:solidFill>
              <a:prstDash val="solid"/>
            </a:ln>
          </spPr>
          <marker>
            <symbol val="circle"/>
            <size val="5"/>
            <spPr>
              <a:solidFill>
                <a:srgbClr val="1F3864"/>
              </a:solidFill>
              <a:ln w="6350">
                <a:solidFill>
                  <a:srgbClr val="FFFFFF"/>
                </a:solidFill>
                <a:prstDash val="solid"/>
              </a:ln>
            </spPr>
          </marker>
          <cat>
            <numRef>
              <f>'Scenario Manager'!$A$40:$A$45</f>
            </numRef>
          </cat>
          <val>
            <numRef>
              <f>'Scenario Manager'!$B$40:$B$45</f>
            </numRef>
          </val>
        </ser>
        <ser>
          <idx val="1"/>
          <order val="1"/>
          <tx>
            <strRef>
              <f>'Scenario Manager'!C39</f>
            </strRef>
          </tx>
          <spPr>
            <a:ln w="22225">
              <a:solidFill>
                <a:srgbClr val="2E8B8B"/>
              </a:solidFill>
              <a:prstDash val="solid"/>
            </a:ln>
          </spPr>
          <marker>
            <symbol val="circle"/>
            <size val="5"/>
            <spPr>
              <a:solidFill>
                <a:srgbClr val="2E8B8B"/>
              </a:solidFill>
              <a:ln w="6350">
                <a:solidFill>
                  <a:srgbClr val="FFFFFF"/>
                </a:solidFill>
                <a:prstDash val="solid"/>
              </a:ln>
            </spPr>
          </marker>
          <cat>
            <numRef>
              <f>'Scenario Manager'!$A$40:$A$45</f>
            </numRef>
          </cat>
          <val>
            <numRef>
              <f>'Scenario Manager'!$C$40:$C$45</f>
            </numRef>
          </val>
        </ser>
        <ser>
          <idx val="2"/>
          <order val="2"/>
          <tx>
            <strRef>
              <f>'Scenario Manager'!D39</f>
            </strRef>
          </tx>
          <spPr>
            <a:ln w="22225">
              <a:solidFill>
                <a:srgbClr val="C9A227"/>
              </a:solidFill>
              <a:prstDash val="solid"/>
            </a:ln>
          </spPr>
          <marker>
            <symbol val="circle"/>
            <size val="5"/>
            <spPr>
              <a:solidFill>
                <a:srgbClr val="C9A227"/>
              </a:solidFill>
              <a:ln w="6350">
                <a:solidFill>
                  <a:srgbClr val="FFFFFF"/>
                </a:solidFill>
                <a:prstDash val="solid"/>
              </a:ln>
            </spPr>
          </marker>
          <cat>
            <numRef>
              <f>'Scenario Manager'!$A$40:$A$45</f>
            </numRef>
          </cat>
          <val>
            <numRef>
              <f>'Scenario Manager'!$D$40:$D$45</f>
            </numRef>
          </val>
        </ser>
        <ser>
          <idx val="3"/>
          <order val="3"/>
          <tx>
            <strRef>
              <f>'Scenario Manager'!E39</f>
            </strRef>
          </tx>
          <spPr>
            <a:ln w="22225">
              <a:solidFill>
                <a:srgbClr val="8B2E3C"/>
              </a:solidFill>
              <a:prstDash val="solid"/>
            </a:ln>
          </spPr>
          <marker>
            <symbol val="circle"/>
            <size val="5"/>
            <spPr>
              <a:solidFill>
                <a:srgbClr val="8B2E3C"/>
              </a:solidFill>
              <a:ln w="6350">
                <a:solidFill>
                  <a:srgbClr val="FFFFFF"/>
                </a:solidFill>
                <a:prstDash val="solid"/>
              </a:ln>
            </spPr>
          </marker>
          <cat>
            <numRef>
              <f>'Scenario Manager'!$A$40:$A$45</f>
            </numRef>
          </cat>
          <val>
            <numRef>
              <f>'Scenario Manager'!$E$40:$E$45</f>
            </numRef>
          </val>
        </ser>
        <axId val="10"/>
        <axId val="100"/>
      </radarChart>
      <catAx>
        <axId val="10"/>
        <scaling>
          <orientation val="minMax"/>
        </scaling>
        <axPos val="l"/>
        <majorTickMark val="none"/>
        <minorTickMark val="none"/>
        <txPr>
          <a:bodyPr/>
          <a:p>
            <a:pPr>
              <a:defRPr sz="750" b="0">
                <a:solidFill>
                  <a:srgbClr val="4A4A4A"/>
                </a:solidFill>
                <a:latin typeface="Calibri"/>
              </a:defRPr>
            </a:pPr>
            <a:r>
              <a:t/>
            </a:r>
            <a:endParaRPr sz="750" b="0">
              <a:solidFill>
                <a:srgbClr val="4A4A4A"/>
              </a:solidFill>
              <a:latin typeface="Calibri"/>
            </a:endParaRPr>
          </a:p>
        </txPr>
        <crossAx val="100"/>
        <lblOffset val="100"/>
      </catAx>
      <valAx>
        <axId val="100"/>
        <scaling>
          <orientation val="minMax"/>
        </scaling>
        <delete val="0"/>
        <axPos val="l"/>
        <majorGridlines/>
        <numFmt formatCode="0.0%" sourceLinked="0"/>
        <majorTickMark val="none"/>
        <minorTickMark val="none"/>
        <txPr>
          <a:bodyPr/>
          <a:p>
            <a:pPr>
              <a:defRPr sz="750" b="0">
                <a:solidFill>
                  <a:srgbClr val="4A4A4A"/>
                </a:solidFill>
                <a:latin typeface="Calibri"/>
              </a:defRPr>
            </a:pPr>
            <a:r>
              <a:t/>
            </a:r>
            <a:endParaRPr sz="750" b="0">
              <a:solidFill>
                <a:srgbClr val="4A4A4A"/>
              </a:solidFill>
              <a:latin typeface="Calibri"/>
            </a:endParaRPr>
          </a:p>
        </txPr>
        <crossAx val="10"/>
      </valAx>
    </plotArea>
    <legend>
      <legendPos val="b"/>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60.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Tornado: FY2033E EBITDA, 10% Adverse Move in Each Driver</a:t>
            </a:r>
          </a:p>
        </rich>
      </tx>
    </title>
    <plotArea>
      <barChart>
        <barDir val="bar"/>
        <grouping val="clustered"/>
        <ser>
          <idx val="0"/>
          <order val="0"/>
          <tx>
            <strRef>
              <f>'Sensitivity Analysis'!F96</f>
            </strRef>
          </tx>
          <spPr>
            <a:solidFill>
              <a:srgbClr val="8B2E3C"/>
            </a:solidFill>
            <a:ln>
              <a:noFill/>
              <a:prstDash val="solid"/>
            </a:ln>
          </spPr>
          <cat>
            <numRef>
              <f>'Sensitivity Analysis'!$A$97:$A$106</f>
            </numRef>
          </cat>
          <val>
            <numRef>
              <f>'Sensitivity Analysis'!$F$97:$F$106</f>
            </numRef>
          </val>
        </ser>
        <dLbls>
          <numFmt formatCode="0.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61.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FY2033E EBITDA against a Steel Price Shock (Rs cr)</a:t>
            </a:r>
          </a:p>
        </rich>
      </tx>
    </title>
    <plotArea>
      <lineChart>
        <grouping val="standard"/>
        <ser>
          <idx val="0"/>
          <order val="0"/>
          <tx>
            <strRef>
              <f>'Sensitivity Analysis'!D18</f>
            </strRef>
          </tx>
          <spPr>
            <a:ln w="22225">
              <a:solidFill>
                <a:srgbClr val="1F3864"/>
              </a:solidFill>
              <a:prstDash val="solid"/>
            </a:ln>
          </spPr>
          <marker>
            <symbol val="circle"/>
            <size val="5"/>
            <spPr>
              <a:solidFill>
                <a:srgbClr val="1F3864"/>
              </a:solidFill>
              <a:ln w="6350">
                <a:solidFill>
                  <a:srgbClr val="FFFFFF"/>
                </a:solidFill>
                <a:prstDash val="solid"/>
              </a:ln>
            </spPr>
          </marker>
          <cat>
            <numRef>
              <f>'Sensitivity Analysis'!$B$19:$B$25</f>
            </numRef>
          </cat>
          <val>
            <numRef>
              <f>'Sensitivity Analysis'!$D$19:$D$25</f>
            </numRef>
          </val>
          <smooth val="0"/>
        </ser>
        <axId val="10"/>
        <axId val="100"/>
      </lineChart>
      <catAx>
        <axId val="10"/>
        <scaling>
          <orientation val="minMax"/>
        </scaling>
        <delete val="0"/>
        <axPos val="l"/>
        <title>
          <tx>
            <rich>
              <a:bodyPr/>
              <a:p>
                <a:pPr>
                  <a:defRPr sz="850" b="1">
                    <a:solidFill>
                      <a:srgbClr val="9C9C9C"/>
                    </a:solidFill>
                    <a:latin typeface="Calibri"/>
                  </a:defRPr>
                </a:pPr>
                <a:r>
                  <a:t>Change in realisation</a:t>
                </a:r>
              </a:p>
            </rich>
          </tx>
        </title>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EBITDA (Rs cr)</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62.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Downside and Upside Impact on FY2033E EBITDA (Rs cr)</a:t>
            </a:r>
          </a:p>
        </rich>
      </tx>
    </title>
    <plotArea>
      <barChart>
        <barDir val="bar"/>
        <grouping val="clustered"/>
        <ser>
          <idx val="0"/>
          <order val="0"/>
          <tx>
            <strRef>
              <f>'Sensitivity Analysis'!B55</f>
            </strRef>
          </tx>
          <spPr>
            <a:solidFill>
              <a:srgbClr val="8B2E3C"/>
            </a:solidFill>
            <a:ln>
              <a:noFill/>
              <a:prstDash val="solid"/>
            </a:ln>
          </spPr>
          <cat>
            <numRef>
              <f>'Sensitivity Analysis'!$A$56:$A$63</f>
            </numRef>
          </cat>
          <val>
            <numRef>
              <f>'Sensitivity Analysis'!$B$56:$B$63</f>
            </numRef>
          </val>
        </ser>
        <ser>
          <idx val="1"/>
          <order val="1"/>
          <tx>
            <strRef>
              <f>'Sensitivity Analysis'!C55</f>
            </strRef>
          </tx>
          <spPr>
            <a:solidFill>
              <a:srgbClr val="2E8B8B"/>
            </a:solidFill>
            <a:ln>
              <a:noFill/>
              <a:prstDash val="solid"/>
            </a:ln>
          </spPr>
          <cat>
            <numRef>
              <f>'Sensitivity Analysis'!$A$56:$A$63</f>
            </numRef>
          </cat>
          <val>
            <numRef>
              <f>'Sensitivity Analysis'!$C$56:$C$63</f>
            </numRef>
          </val>
        </ser>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63.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Enterprise Value against WACC and Terminal Growth (Rs cr)</a:t>
            </a:r>
          </a:p>
        </rich>
      </tx>
    </title>
    <plotArea>
      <lineChart>
        <grouping val="standard"/>
        <ser>
          <idx val="0"/>
          <order val="0"/>
          <tx>
            <strRef>
              <f>'Sensitivity Analysis'!A39</f>
            </strRef>
          </tx>
          <spPr>
            <a:ln w="22225">
              <a:solidFill>
                <a:srgbClr val="1F3864"/>
              </a:solidFill>
              <a:prstDash val="solid"/>
            </a:ln>
          </spPr>
          <marker>
            <symbol val="circle"/>
            <size val="5"/>
            <spPr>
              <a:solidFill>
                <a:srgbClr val="1F3864"/>
              </a:solidFill>
              <a:ln w="6350">
                <a:solidFill>
                  <a:srgbClr val="FFFFFF"/>
                </a:solidFill>
                <a:prstDash val="solid"/>
              </a:ln>
            </spPr>
          </marker>
          <cat>
            <numRef>
              <f>'Sensitivity Analysis'!$B$38:$F$38</f>
            </numRef>
          </cat>
          <val>
            <numRef>
              <f>'Sensitivity Analysis'!$B$39:$F$39</f>
            </numRef>
          </val>
          <smooth val="0"/>
        </ser>
        <ser>
          <idx val="1"/>
          <order val="1"/>
          <tx>
            <strRef>
              <f>'Sensitivity Analysis'!A40</f>
            </strRef>
          </tx>
          <spPr>
            <a:ln w="22225">
              <a:solidFill>
                <a:srgbClr val="2E5C8A"/>
              </a:solidFill>
              <a:prstDash val="solid"/>
            </a:ln>
          </spPr>
          <marker>
            <symbol val="circle"/>
            <size val="5"/>
            <spPr>
              <a:solidFill>
                <a:srgbClr val="2E5C8A"/>
              </a:solidFill>
              <a:ln w="6350">
                <a:solidFill>
                  <a:srgbClr val="FFFFFF"/>
                </a:solidFill>
                <a:prstDash val="solid"/>
              </a:ln>
            </spPr>
          </marker>
          <cat>
            <numRef>
              <f>'Sensitivity Analysis'!$B$38:$F$38</f>
            </numRef>
          </cat>
          <val>
            <numRef>
              <f>'Sensitivity Analysis'!$B$40:$F$40</f>
            </numRef>
          </val>
          <smooth val="0"/>
        </ser>
        <ser>
          <idx val="2"/>
          <order val="2"/>
          <tx>
            <strRef>
              <f>'Sensitivity Analysis'!A41</f>
            </strRef>
          </tx>
          <spPr>
            <a:ln w="22225">
              <a:solidFill>
                <a:srgbClr val="C9A227"/>
              </a:solidFill>
              <a:prstDash val="solid"/>
            </a:ln>
          </spPr>
          <marker>
            <symbol val="circle"/>
            <size val="5"/>
            <spPr>
              <a:solidFill>
                <a:srgbClr val="C9A227"/>
              </a:solidFill>
              <a:ln w="6350">
                <a:solidFill>
                  <a:srgbClr val="FFFFFF"/>
                </a:solidFill>
                <a:prstDash val="solid"/>
              </a:ln>
            </spPr>
          </marker>
          <cat>
            <numRef>
              <f>'Sensitivity Analysis'!$B$38:$F$38</f>
            </numRef>
          </cat>
          <val>
            <numRef>
              <f>'Sensitivity Analysis'!$B$41:$F$41</f>
            </numRef>
          </val>
          <smooth val="0"/>
        </ser>
        <ser>
          <idx val="3"/>
          <order val="3"/>
          <tx>
            <strRef>
              <f>'Sensitivity Analysis'!A42</f>
            </strRef>
          </tx>
          <spPr>
            <a:ln w="22225">
              <a:solidFill>
                <a:srgbClr val="2E8B8B"/>
              </a:solidFill>
              <a:prstDash val="solid"/>
            </a:ln>
          </spPr>
          <marker>
            <symbol val="circle"/>
            <size val="5"/>
            <spPr>
              <a:solidFill>
                <a:srgbClr val="2E8B8B"/>
              </a:solidFill>
              <a:ln w="6350">
                <a:solidFill>
                  <a:srgbClr val="FFFFFF"/>
                </a:solidFill>
                <a:prstDash val="solid"/>
              </a:ln>
            </spPr>
          </marker>
          <cat>
            <numRef>
              <f>'Sensitivity Analysis'!$B$38:$F$38</f>
            </numRef>
          </cat>
          <val>
            <numRef>
              <f>'Sensitivity Analysis'!$B$42:$F$42</f>
            </numRef>
          </val>
          <smooth val="0"/>
        </ser>
        <ser>
          <idx val="4"/>
          <order val="4"/>
          <tx>
            <strRef>
              <f>'Sensitivity Analysis'!A43</f>
            </strRef>
          </tx>
          <spPr>
            <a:ln w="22225">
              <a:solidFill>
                <a:srgbClr val="8B2E3C"/>
              </a:solidFill>
              <a:prstDash val="solid"/>
            </a:ln>
          </spPr>
          <marker>
            <symbol val="circle"/>
            <size val="5"/>
            <spPr>
              <a:solidFill>
                <a:srgbClr val="8B2E3C"/>
              </a:solidFill>
              <a:ln w="6350">
                <a:solidFill>
                  <a:srgbClr val="FFFFFF"/>
                </a:solidFill>
                <a:prstDash val="solid"/>
              </a:ln>
            </spPr>
          </marker>
          <cat>
            <numRef>
              <f>'Sensitivity Analysis'!$B$38:$F$38</f>
            </numRef>
          </cat>
          <val>
            <numRef>
              <f>'Sensitivity Analysis'!$B$43:$F$43</f>
            </numRef>
          </val>
          <smooth val="0"/>
        </ser>
        <axId val="10"/>
        <axId val="100"/>
      </lineChart>
      <catAx>
        <axId val="10"/>
        <scaling>
          <orientation val="minMax"/>
        </scaling>
        <delete val="0"/>
        <axPos val="l"/>
        <title>
          <tx>
            <rich>
              <a:bodyPr/>
              <a:p>
                <a:pPr>
                  <a:defRPr sz="850" b="1">
                    <a:solidFill>
                      <a:srgbClr val="9C9C9C"/>
                    </a:solidFill>
                    <a:latin typeface="Calibri"/>
                  </a:defRPr>
                </a:pPr>
                <a:r>
                  <a:t>WACC</a:t>
                </a:r>
              </a:p>
            </rich>
          </tx>
        </title>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Enterprise value (Rs cr)</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legend>
      <legendPos val="b"/>
      <overlay val="0"/>
      <txPr>
        <a:bodyPr/>
        <a:p>
          <a:pPr>
            <a:defRPr sz="800" b="0">
              <a:solidFill>
                <a:srgbClr val="4A4A4A"/>
              </a:solidFill>
              <a:latin typeface="Calibri"/>
            </a:defRPr>
          </a:pPr>
          <a:r>
            <a:t/>
          </a:r>
          <a:endParaRPr sz="800" b="0">
            <a:solidFill>
              <a:srgbClr val="4A4A4A"/>
            </a:solidFill>
            <a:latin typeface="Calibri"/>
          </a:endParaRPr>
        </a:p>
      </txPr>
    </legend>
    <plotVisOnly val="1"/>
    <dispBlanksAs val="gap"/>
  </chart>
</chartSpace>
</file>

<file path=xl/charts/chart64.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Football Field: Implied Enterprise Value by Method (Rs cr)</a:t>
            </a:r>
          </a:p>
        </rich>
      </tx>
    </title>
    <plotArea>
      <barChart>
        <barDir val="bar"/>
        <grouping val="clustered"/>
        <ser>
          <idx val="0"/>
          <order val="0"/>
          <tx>
            <strRef>
              <f>'Comparable Valuation'!B83</f>
            </strRef>
          </tx>
          <spPr>
            <a:solidFill>
              <a:srgbClr val="1F3864"/>
            </a:solidFill>
            <a:ln>
              <a:noFill/>
              <a:prstDash val="solid"/>
            </a:ln>
          </spPr>
          <cat>
            <numRef>
              <f>'Comparable Valuation'!$A$84:$A$89</f>
            </numRef>
          </cat>
          <val>
            <numRef>
              <f>'Comparable Valuation'!$B$84:$B$89</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65.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Enterprise Value by Scenario, FY2033E (Rs cr)</a:t>
            </a:r>
          </a:p>
        </rich>
      </tx>
    </title>
    <plotArea>
      <barChart>
        <barDir val="col"/>
        <grouping val="clustered"/>
        <ser>
          <idx val="0"/>
          <order val="0"/>
          <tx>
            <strRef>
              <f>'Comparable Valuation'!C93</f>
            </strRef>
          </tx>
          <spPr>
            <a:solidFill>
              <a:srgbClr val="1F3864"/>
            </a:solidFill>
            <a:ln>
              <a:noFill/>
              <a:prstDash val="solid"/>
            </a:ln>
          </spPr>
          <cat>
            <numRef>
              <f>'Comparable Valuation'!$A$94:$A$97</f>
            </numRef>
          </cat>
          <val>
            <numRef>
              <f>'Comparable Valuation'!$C$94:$C$97</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66.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EV/EBITDA by Producer, FY2026A</a:t>
            </a:r>
          </a:p>
        </rich>
      </tx>
    </title>
    <plotArea>
      <barChart>
        <barDir val="col"/>
        <grouping val="clustered"/>
        <ser>
          <idx val="0"/>
          <order val="0"/>
          <tx>
            <strRef>
              <f>'Comparable Valuation'!B38</f>
            </strRef>
          </tx>
          <spPr>
            <a:solidFill>
              <a:srgbClr val="2E5C8A"/>
            </a:solidFill>
            <a:ln>
              <a:noFill/>
              <a:prstDash val="solid"/>
            </a:ln>
          </spPr>
          <cat>
            <numRef>
              <f>'Comparable Valuation'!$A$39:$A$43</f>
            </numRef>
          </cat>
          <val>
            <numRef>
              <f>'Comparable Valuation'!$B$39:$B$43</f>
            </numRef>
          </val>
        </ser>
        <dLbls>
          <numFmt formatCode="0.0&quot;x&quot;"/>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quot;x&quot;"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67.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Present Value of Unlevered Free Cash Flow (Rs cr)</a:t>
            </a:r>
          </a:p>
        </rich>
      </tx>
    </title>
    <plotArea>
      <barChart>
        <barDir val="col"/>
        <grouping val="clustered"/>
        <ser>
          <idx val="0"/>
          <order val="0"/>
          <spPr>
            <a:solidFill>
              <a:srgbClr val="2E8B8B"/>
            </a:solidFill>
            <a:ln>
              <a:noFill/>
              <a:prstDash val="solid"/>
            </a:ln>
          </spPr>
          <cat>
            <numRef>
              <f>'Comparable Valuation'!$D$126:$J$126</f>
            </numRef>
          </cat>
          <val>
            <numRef>
              <f>'Comparable Valuation'!$D$131:$J$131</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68.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Industry Revenue and EBITDA Margin</a:t>
            </a:r>
          </a:p>
        </rich>
      </tx>
    </title>
    <plotArea>
      <barChart>
        <barDir val="col"/>
        <grouping val="clustered"/>
        <ser>
          <idx val="0"/>
          <order val="0"/>
          <spPr>
            <a:solidFill>
              <a:srgbClr val="1F3864"/>
            </a:solidFill>
            <a:ln>
              <a:noFill/>
              <a:prstDash val="solid"/>
            </a:ln>
          </spPr>
          <cat>
            <numRef>
              <f>'Industry Dashboard'!$C$30:$J$30</f>
            </numRef>
          </cat>
          <val>
            <numRef>
              <f>'Industry Dashboard'!$C$47:$J$47</f>
            </numRef>
          </val>
        </ser>
        <gapWidth val="70"/>
        <axId val="10"/>
        <axId val="100"/>
      </barChart>
      <lineChart>
        <grouping val="standard"/>
        <ser>
          <idx val="1"/>
          <order val="1"/>
          <spPr>
            <a:ln w="22225">
              <a:solidFill>
                <a:srgbClr val="C9A227"/>
              </a:solidFill>
              <a:prstDash val="solid"/>
            </a:ln>
          </spPr>
          <marker>
            <symbol val="circle"/>
            <size val="5"/>
            <spPr>
              <a:solidFill>
                <a:srgbClr val="C9A227"/>
              </a:solidFill>
              <a:ln w="6350">
                <a:solidFill>
                  <a:srgbClr val="FFFFFF"/>
                </a:solidFill>
                <a:prstDash val="solid"/>
              </a:ln>
            </spPr>
          </marker>
          <val>
            <numRef>
              <f>'Industry Dashboard'!$C$46:$J$46</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Revenue (Rs cr)</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Margin (%)</a:t>
                </a:r>
              </a:p>
            </rich>
          </tx>
        </title>
        <numFmt formatCode="0.0%"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plotVisOnly val="1"/>
    <dispBlanksAs val="gap"/>
  </chart>
</chartSpace>
</file>

<file path=xl/charts/chart69.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Apparent Consumption (Mt)</a:t>
            </a:r>
          </a:p>
        </rich>
      </tx>
    </title>
    <plotArea>
      <lineChart>
        <grouping val="standard"/>
        <ser>
          <idx val="0"/>
          <order val="0"/>
          <spPr>
            <a:ln w="22225">
              <a:solidFill>
                <a:srgbClr val="2E5C8A"/>
              </a:solidFill>
              <a:prstDash val="solid"/>
            </a:ln>
          </spPr>
          <marker>
            <symbol val="circle"/>
            <size val="5"/>
            <spPr>
              <a:solidFill>
                <a:srgbClr val="2E5C8A"/>
              </a:solidFill>
              <a:ln w="6350">
                <a:solidFill>
                  <a:srgbClr val="FFFFFF"/>
                </a:solidFill>
                <a:prstDash val="solid"/>
              </a:ln>
            </spPr>
          </marker>
          <cat>
            <numRef>
              <f>'Industry Dashboard'!$C$30:$J$30</f>
            </numRef>
          </cat>
          <val>
            <numRef>
              <f>'Industry Dashboard'!$C$32:$J$32</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70.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Capacity Utilisation</a:t>
            </a:r>
          </a:p>
        </rich>
      </tx>
    </title>
    <plotArea>
      <lineChart>
        <grouping val="standard"/>
        <ser>
          <idx val="0"/>
          <order val="0"/>
          <spPr>
            <a:ln w="22225">
              <a:solidFill>
                <a:srgbClr val="8B2E3C"/>
              </a:solidFill>
              <a:prstDash val="solid"/>
            </a:ln>
          </spPr>
          <marker>
            <symbol val="circle"/>
            <size val="5"/>
            <spPr>
              <a:solidFill>
                <a:srgbClr val="8B2E3C"/>
              </a:solidFill>
              <a:ln w="6350">
                <a:solidFill>
                  <a:srgbClr val="FFFFFF"/>
                </a:solidFill>
                <a:prstDash val="solid"/>
              </a:ln>
            </spPr>
          </marker>
          <cat>
            <numRef>
              <f>'Industry Dashboard'!$C$30:$J$30</f>
            </numRef>
          </cat>
          <val>
            <numRef>
              <f>'Industry Dashboard'!$C$37:$J$37</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71.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Blended Realisation (Rs/t)</a:t>
            </a:r>
          </a:p>
        </rich>
      </tx>
    </title>
    <plotArea>
      <lineChart>
        <grouping val="standard"/>
        <ser>
          <idx val="0"/>
          <order val="0"/>
          <spPr>
            <a:ln w="22225">
              <a:solidFill>
                <a:srgbClr val="1F3864"/>
              </a:solidFill>
              <a:prstDash val="solid"/>
            </a:ln>
          </spPr>
          <marker>
            <symbol val="circle"/>
            <size val="5"/>
            <spPr>
              <a:solidFill>
                <a:srgbClr val="1F3864"/>
              </a:solidFill>
              <a:ln w="6350">
                <a:solidFill>
                  <a:srgbClr val="FFFFFF"/>
                </a:solidFill>
                <a:prstDash val="solid"/>
              </a:ln>
            </spPr>
          </marker>
          <cat>
            <numRef>
              <f>'Industry Dashboard'!$C$30:$J$30</f>
            </numRef>
          </cat>
          <val>
            <numRef>
              <f>'Industry Dashboard'!$C$39:$J$39</f>
            </numRef>
          </val>
          <smooth val="0"/>
        </ser>
        <axId val="10"/>
        <axId val="1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72.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Unlevered Free Cash Flow (Rs cr)</a:t>
            </a:r>
          </a:p>
        </rich>
      </tx>
    </title>
    <plotArea>
      <barChart>
        <barDir val="col"/>
        <grouping val="clustered"/>
        <ser>
          <idx val="0"/>
          <order val="0"/>
          <spPr>
            <a:solidFill>
              <a:srgbClr val="2E8B8B"/>
            </a:solidFill>
            <a:ln>
              <a:noFill/>
              <a:prstDash val="solid"/>
            </a:ln>
          </spPr>
          <cat>
            <numRef>
              <f>'Industry Dashboard'!$C$30:$J$30</f>
            </numRef>
          </cat>
          <val>
            <numRef>
              <f>'Industry Dashboard'!$C$52:$J$52</f>
            </numRef>
          </val>
        </ser>
        <dLbls>
          <numFmt formatCode="#,##0"/>
          <txPr>
            <a:bodyPr/>
            <a:p>
              <a:pPr>
                <a:defRPr sz="750" b="0">
                  <a:solidFill>
                    <a:srgbClr val="4A4A4A"/>
                  </a:solidFill>
                  <a:latin typeface="Calibri"/>
                </a:defRPr>
              </a:pPr>
              <a:r>
                <a:t/>
              </a:r>
              <a:endParaRPr sz="750" b="0">
                <a:solidFill>
                  <a:srgbClr val="4A4A4A"/>
                </a:solidFill>
                <a:latin typeface="Calibri"/>
              </a:endParaRPr>
            </a:p>
          </txPr>
          <showVal val="1"/>
        </dLbls>
        <gapWidth val="60"/>
        <axId val="10"/>
        <axId val="100"/>
      </bar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plotArea>
    <plotVisOnly val="1"/>
    <dispBlanksAs val="gap"/>
  </chart>
</chartSpace>
</file>

<file path=xl/charts/chart73.xml><?xml version="1.0" encoding="utf-8"?>
<chartSpace xmlns:a="http://schemas.openxmlformats.org/drawingml/2006/main" xmlns="http://schemas.openxmlformats.org/drawingml/2006/chart">
  <chart>
    <title>
      <tx>
        <rich>
          <a:bodyPr/>
          <a:p>
            <a:pPr>
              <a:defRPr sz="1050" b="1">
                <a:solidFill>
                  <a:srgbClr val="1F3864"/>
                </a:solidFill>
                <a:latin typeface="Calibri"/>
              </a:defRPr>
            </a:pPr>
            <a:r>
              <a:t>Net Debt and Leverage</a:t>
            </a:r>
          </a:p>
        </rich>
      </tx>
    </title>
    <plotArea>
      <barChart>
        <barDir val="col"/>
        <grouping val="clustered"/>
        <ser>
          <idx val="0"/>
          <order val="0"/>
          <spPr>
            <a:solidFill>
              <a:srgbClr val="4A4A4A"/>
            </a:solidFill>
            <a:ln>
              <a:noFill/>
              <a:prstDash val="solid"/>
            </a:ln>
          </spPr>
          <cat>
            <numRef>
              <f>'Industry Dashboard'!$C$30:$J$30</f>
            </numRef>
          </cat>
          <val>
            <numRef>
              <f>'Industry Dashboard'!$C$54:$J$54</f>
            </numRef>
          </val>
        </ser>
        <gapWidth val="70"/>
        <axId val="10"/>
        <axId val="100"/>
      </barChart>
      <lineChart>
        <grouping val="standard"/>
        <ser>
          <idx val="1"/>
          <order val="1"/>
          <spPr>
            <a:ln w="22225">
              <a:solidFill>
                <a:srgbClr val="C9A227"/>
              </a:solidFill>
              <a:prstDash val="solid"/>
            </a:ln>
          </spPr>
          <marker>
            <symbol val="circle"/>
            <size val="5"/>
            <spPr>
              <a:solidFill>
                <a:srgbClr val="C9A227"/>
              </a:solidFill>
              <a:ln w="6350">
                <a:solidFill>
                  <a:srgbClr val="FFFFFF"/>
                </a:solidFill>
                <a:prstDash val="solid"/>
              </a:ln>
            </spPr>
          </marker>
          <val>
            <numRef>
              <f>'Industry Dashboard'!$C$55:$J$55</f>
            </numRef>
          </val>
          <smooth val="0"/>
        </ser>
        <axId val="10"/>
        <axId val="200"/>
      </lineChart>
      <catAx>
        <axId val="10"/>
        <scaling>
          <orientation val="minMax"/>
        </scaling>
        <delete val="0"/>
        <axPos val="l"/>
        <majorTickMark val="out"/>
        <minorTickMark val="none"/>
        <spPr>
          <a:ln w="6350">
            <a:solidFill>
              <a:srgbClr val="9C9C9C"/>
            </a:solidFill>
            <a:prstDash val="solid"/>
          </a:ln>
        </spPr>
        <txPr>
          <a:bodyPr/>
          <a:p>
            <a:pPr>
              <a:defRPr sz="800" b="0">
                <a:solidFill>
                  <a:srgbClr val="4A4A4A"/>
                </a:solidFill>
                <a:latin typeface="Calibri"/>
              </a:defRPr>
            </a:pPr>
            <a:r>
              <a:t/>
            </a:r>
            <a:endParaRPr sz="800" b="0">
              <a:solidFill>
                <a:srgbClr val="4A4A4A"/>
              </a:solidFill>
              <a:latin typeface="Calibri"/>
            </a:endParaRPr>
          </a:p>
        </txPr>
        <crossAx val="100"/>
        <lblOffset val="100"/>
      </catAx>
      <valAx>
        <axId val="100"/>
        <scaling>
          <orientation val="minMax"/>
        </scaling>
        <delete val="0"/>
        <axPos val="l"/>
        <majorGridlines>
          <spPr>
            <a:ln w="3175">
              <a:solidFill>
                <a:srgbClr val="DDDDDD"/>
              </a:solidFill>
              <a:prstDash val="solid"/>
            </a:ln>
          </spPr>
        </majorGridlines>
        <title>
          <tx>
            <rich>
              <a:bodyPr/>
              <a:p>
                <a:pPr>
                  <a:defRPr sz="850" b="1">
                    <a:solidFill>
                      <a:srgbClr val="9C9C9C"/>
                    </a:solidFill>
                    <a:latin typeface="Calibri"/>
                  </a:defRPr>
                </a:pPr>
                <a:r>
                  <a:t>Net debt (Rs cr)</a:t>
                </a:r>
              </a:p>
            </rich>
          </tx>
        </title>
        <numFmt formatCode="#,##0" sourceLinked="0"/>
        <majorTickMark val="none"/>
        <minorTickMark val="none"/>
        <spPr>
          <a:ln>
            <a:noFill/>
            <a:prstDash val="solid"/>
          </a:ln>
        </spPr>
        <txPr>
          <a:bodyPr/>
          <a:p>
            <a:pPr>
              <a:defRPr sz="800" b="0">
                <a:solidFill>
                  <a:srgbClr val="4A4A4A"/>
                </a:solidFill>
                <a:latin typeface="Calibri"/>
              </a:defRPr>
            </a:pPr>
            <a:r>
              <a:t/>
            </a:r>
            <a:endParaRPr sz="800" b="0">
              <a:solidFill>
                <a:srgbClr val="4A4A4A"/>
              </a:solidFill>
              <a:latin typeface="Calibri"/>
            </a:endParaRPr>
          </a:p>
        </txPr>
        <crossAx val="10"/>
      </valAx>
      <valAx>
        <axId val="200"/>
        <scaling>
          <orientation val="minMax"/>
        </scaling>
        <delete val="0"/>
        <axPos val="l"/>
        <title>
          <tx>
            <rich>
              <a:bodyPr/>
              <a:p>
                <a:pPr>
                  <a:defRPr sz="850" b="1">
                    <a:solidFill>
                      <a:srgbClr val="9C9C9C"/>
                    </a:solidFill>
                    <a:latin typeface="Calibri"/>
                  </a:defRPr>
                </a:pPr>
                <a:r>
                  <a:t>x EBITDA</a:t>
                </a:r>
              </a:p>
            </rich>
          </tx>
        </title>
        <numFmt formatCode="0.0&quot;x&quot;" sourceLinked="0"/>
        <majorTickMark val="none"/>
        <minorTickMark val="none"/>
        <txPr>
          <a:bodyPr/>
          <a:p>
            <a:pPr>
              <a:defRPr sz="800" b="0">
                <a:solidFill>
                  <a:srgbClr val="4A4A4A"/>
                </a:solidFill>
                <a:latin typeface="Calibri"/>
              </a:defRPr>
            </a:pPr>
            <a:r>
              <a:t/>
            </a:r>
            <a:endParaRPr sz="800" b="0">
              <a:solidFill>
                <a:srgbClr val="4A4A4A"/>
              </a:solidFill>
              <a:latin typeface="Calibri"/>
            </a:endParaRPr>
          </a:p>
        </txPr>
        <crossAx val="10"/>
        <crosses val="max"/>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 Type="http://schemas.openxmlformats.org/officeDocument/2006/relationships/chart" Target="/xl/charts/chart7.xml" Id="rId3" /></Relationships>
</file>

<file path=xl/drawings/_rels/drawing3.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s>
</file>

<file path=xl/drawings/_rels/drawing4.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s>
</file>

<file path=xl/drawings/_rels/drawing5.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s>
</file>

<file path=xl/drawings/_rels/drawing6.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 Type="http://schemas.openxmlformats.org/officeDocument/2006/relationships/chart" Target="/xl/charts/chart19.xml" Id="rId3" /></Relationships>
</file>

<file path=xl/drawings/_rels/drawing7.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s>
</file>

<file path=xl/drawings/_rels/drawing8.xml.rels><Relationships xmlns="http://schemas.openxmlformats.org/package/2006/relationships"><Relationship Type="http://schemas.openxmlformats.org/officeDocument/2006/relationships/chart" Target="/xl/charts/chart23.xml" Id="rId1" /><Relationship Type="http://schemas.openxmlformats.org/officeDocument/2006/relationships/chart" Target="/xl/charts/chart24.xml" Id="rId2" /><Relationship Type="http://schemas.openxmlformats.org/officeDocument/2006/relationships/chart" Target="/xl/charts/chart25.xml" Id="rId3" /><Relationship Type="http://schemas.openxmlformats.org/officeDocument/2006/relationships/chart" Target="/xl/charts/chart26.xml" Id="rId4" /></Relationships>
</file>

<file path=xl/drawings/_rels/drawing9.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s>
</file>

<file path=xl/drawings/_rels/drawing10.xml.rels><Relationships xmlns="http://schemas.openxmlformats.org/package/2006/relationships"><Relationship Type="http://schemas.openxmlformats.org/officeDocument/2006/relationships/chart" Target="/xl/charts/chart31.xml" Id="rId1" /><Relationship Type="http://schemas.openxmlformats.org/officeDocument/2006/relationships/chart" Target="/xl/charts/chart32.xml" Id="rId2" /><Relationship Type="http://schemas.openxmlformats.org/officeDocument/2006/relationships/chart" Target="/xl/charts/chart33.xml" Id="rId3" /><Relationship Type="http://schemas.openxmlformats.org/officeDocument/2006/relationships/chart" Target="/xl/charts/chart34.xml" Id="rId4" /></Relationships>
</file>

<file path=xl/drawings/_rels/drawing11.xml.rels><Relationships xmlns="http://schemas.openxmlformats.org/package/2006/relationships"><Relationship Type="http://schemas.openxmlformats.org/officeDocument/2006/relationships/chart" Target="/xl/charts/chart35.xml" Id="rId1" /><Relationship Type="http://schemas.openxmlformats.org/officeDocument/2006/relationships/chart" Target="/xl/charts/chart36.xml" Id="rId2" /><Relationship Type="http://schemas.openxmlformats.org/officeDocument/2006/relationships/chart" Target="/xl/charts/chart37.xml" Id="rId3" /></Relationships>
</file>

<file path=xl/drawings/_rels/drawing12.xml.rels><Relationships xmlns="http://schemas.openxmlformats.org/package/2006/relationships"><Relationship Type="http://schemas.openxmlformats.org/officeDocument/2006/relationships/chart" Target="/xl/charts/chart38.xml" Id="rId1" /><Relationship Type="http://schemas.openxmlformats.org/officeDocument/2006/relationships/chart" Target="/xl/charts/chart39.xml" Id="rId2" /><Relationship Type="http://schemas.openxmlformats.org/officeDocument/2006/relationships/chart" Target="/xl/charts/chart40.xml" Id="rId3" /><Relationship Type="http://schemas.openxmlformats.org/officeDocument/2006/relationships/chart" Target="/xl/charts/chart41.xml" Id="rId4" /></Relationships>
</file>

<file path=xl/drawings/_rels/drawing13.xml.rels><Relationships xmlns="http://schemas.openxmlformats.org/package/2006/relationships"><Relationship Type="http://schemas.openxmlformats.org/officeDocument/2006/relationships/chart" Target="/xl/charts/chart42.xml" Id="rId1" /><Relationship Type="http://schemas.openxmlformats.org/officeDocument/2006/relationships/chart" Target="/xl/charts/chart43.xml" Id="rId2" /><Relationship Type="http://schemas.openxmlformats.org/officeDocument/2006/relationships/chart" Target="/xl/charts/chart44.xml" Id="rId3" /></Relationships>
</file>

<file path=xl/drawings/_rels/drawing14.xml.rels><Relationships xmlns="http://schemas.openxmlformats.org/package/2006/relationships"><Relationship Type="http://schemas.openxmlformats.org/officeDocument/2006/relationships/chart" Target="/xl/charts/chart45.xml" Id="rId1" /><Relationship Type="http://schemas.openxmlformats.org/officeDocument/2006/relationships/chart" Target="/xl/charts/chart46.xml" Id="rId2" /><Relationship Type="http://schemas.openxmlformats.org/officeDocument/2006/relationships/chart" Target="/xl/charts/chart47.xml" Id="rId3" /></Relationships>
</file>

<file path=xl/drawings/_rels/drawing15.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 Type="http://schemas.openxmlformats.org/officeDocument/2006/relationships/chart" Target="/xl/charts/chart50.xml" Id="rId3" /><Relationship Type="http://schemas.openxmlformats.org/officeDocument/2006/relationships/chart" Target="/xl/charts/chart51.xml" Id="rId4" /><Relationship Type="http://schemas.openxmlformats.org/officeDocument/2006/relationships/chart" Target="/xl/charts/chart52.xml" Id="rId5" /></Relationships>
</file>

<file path=xl/drawings/_rels/drawing16.xml.rels><Relationships xmlns="http://schemas.openxmlformats.org/package/2006/relationships"><Relationship Type="http://schemas.openxmlformats.org/officeDocument/2006/relationships/chart" Target="/xl/charts/chart53.xml" Id="rId1" /><Relationship Type="http://schemas.openxmlformats.org/officeDocument/2006/relationships/chart" Target="/xl/charts/chart54.xml" Id="rId2" /><Relationship Type="http://schemas.openxmlformats.org/officeDocument/2006/relationships/chart" Target="/xl/charts/chart55.xml" Id="rId3" /></Relationships>
</file>

<file path=xl/drawings/_rels/drawing17.xml.rels><Relationships xmlns="http://schemas.openxmlformats.org/package/2006/relationships"><Relationship Type="http://schemas.openxmlformats.org/officeDocument/2006/relationships/chart" Target="/xl/charts/chart56.xml" Id="rId1" /><Relationship Type="http://schemas.openxmlformats.org/officeDocument/2006/relationships/chart" Target="/xl/charts/chart57.xml" Id="rId2" /><Relationship Type="http://schemas.openxmlformats.org/officeDocument/2006/relationships/chart" Target="/xl/charts/chart58.xml" Id="rId3" /><Relationship Type="http://schemas.openxmlformats.org/officeDocument/2006/relationships/chart" Target="/xl/charts/chart59.xml" Id="rId4" /></Relationships>
</file>

<file path=xl/drawings/_rels/drawing18.xml.rels><Relationships xmlns="http://schemas.openxmlformats.org/package/2006/relationships"><Relationship Type="http://schemas.openxmlformats.org/officeDocument/2006/relationships/chart" Target="/xl/charts/chart60.xml" Id="rId1" /><Relationship Type="http://schemas.openxmlformats.org/officeDocument/2006/relationships/chart" Target="/xl/charts/chart61.xml" Id="rId2" /><Relationship Type="http://schemas.openxmlformats.org/officeDocument/2006/relationships/chart" Target="/xl/charts/chart62.xml" Id="rId3" /><Relationship Type="http://schemas.openxmlformats.org/officeDocument/2006/relationships/chart" Target="/xl/charts/chart63.xml" Id="rId4" /></Relationships>
</file>

<file path=xl/drawings/_rels/drawing19.xml.rels><Relationships xmlns="http://schemas.openxmlformats.org/package/2006/relationships"><Relationship Type="http://schemas.openxmlformats.org/officeDocument/2006/relationships/chart" Target="/xl/charts/chart64.xml" Id="rId1" /><Relationship Type="http://schemas.openxmlformats.org/officeDocument/2006/relationships/chart" Target="/xl/charts/chart65.xml" Id="rId2" /><Relationship Type="http://schemas.openxmlformats.org/officeDocument/2006/relationships/chart" Target="/xl/charts/chart66.xml" Id="rId3" /><Relationship Type="http://schemas.openxmlformats.org/officeDocument/2006/relationships/chart" Target="/xl/charts/chart67.xml" Id="rId4" /></Relationships>
</file>

<file path=xl/drawings/_rels/drawing20.xml.rels><Relationships xmlns="http://schemas.openxmlformats.org/package/2006/relationships"><Relationship Type="http://schemas.openxmlformats.org/officeDocument/2006/relationships/chart" Target="/xl/charts/chart68.xml" Id="rId1" /><Relationship Type="http://schemas.openxmlformats.org/officeDocument/2006/relationships/chart" Target="/xl/charts/chart69.xml" Id="rId2" /><Relationship Type="http://schemas.openxmlformats.org/officeDocument/2006/relationships/chart" Target="/xl/charts/chart70.xml" Id="rId3" /><Relationship Type="http://schemas.openxmlformats.org/officeDocument/2006/relationships/chart" Target="/xl/charts/chart71.xml" Id="rId4" /><Relationship Type="http://schemas.openxmlformats.org/officeDocument/2006/relationships/chart" Target="/xl/charts/chart72.xml" Id="rId5" /><Relationship Type="http://schemas.openxmlformats.org/officeDocument/2006/relationships/chart" Target="/xl/charts/chart73.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51</row>
      <rowOff>0</rowOff>
    </from>
    <ext cx="6480000" cy="3168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16</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16</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16</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4860000" cy="324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37</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37</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52</row>
      <rowOff>0</rowOff>
    </from>
    <ext cx="6480000" cy="3168000"/>
    <graphicFrame>
      <nvGraphicFramePr>
        <cNvPr id="4" name="Chart 4"/>
        <cNvGraphicFramePr/>
      </nvGraphicFramePr>
      <xfrm/>
      <a:graphic>
        <a:graphicData uri="http://schemas.openxmlformats.org/drawingml/2006/chart">
          <c:chart r:id="rId4"/>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456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37</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53</row>
      <rowOff>0</rowOff>
    </from>
    <ext cx="6480000" cy="3168000"/>
    <graphicFrame>
      <nvGraphicFramePr>
        <cNvPr id="4" name="Chart 4"/>
        <cNvGraphicFramePr/>
      </nvGraphicFramePr>
      <xfrm/>
      <a:graphic>
        <a:graphicData uri="http://schemas.openxmlformats.org/drawingml/2006/chart">
          <c:chart r:id="rId4"/>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456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37</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52</row>
      <rowOff>0</rowOff>
    </from>
    <ext cx="6480000" cy="3168000"/>
    <graphicFrame>
      <nvGraphicFramePr>
        <cNvPr id="4" name="Chart 4"/>
        <cNvGraphicFramePr/>
      </nvGraphicFramePr>
      <xfrm/>
      <a:graphic>
        <a:graphicData uri="http://schemas.openxmlformats.org/drawingml/2006/chart">
          <c:chart r:id="rId4"/>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456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37</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53</row>
      <rowOff>0</rowOff>
    </from>
    <ext cx="6480000" cy="3168000"/>
    <graphicFrame>
      <nvGraphicFramePr>
        <cNvPr id="4" name="Chart 4"/>
        <cNvGraphicFramePr/>
      </nvGraphicFramePr>
      <xfrm/>
      <a:graphic>
        <a:graphicData uri="http://schemas.openxmlformats.org/drawingml/2006/chart">
          <c:chart r:id="rId4"/>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37</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21</row>
      <rowOff>0</rowOff>
    </from>
    <ext cx="5220000" cy="3780000"/>
    <graphicFrame>
      <nvGraphicFramePr>
        <cNvPr id="2" name="Chart 2"/>
        <cNvGraphicFramePr/>
      </nvGraphicFramePr>
      <xfrm/>
      <a:graphic>
        <a:graphicData uri="http://schemas.openxmlformats.org/drawingml/2006/chart">
          <c:chart r:id="rId2"/>
        </a:graphicData>
      </a:graphic>
    </graphicFrame>
    <clientData/>
  </oneCellAnchor>
  <oneCellAnchor>
    <from>
      <col>11</col>
      <colOff>0</colOff>
      <row>39</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51</row>
      <rowOff>0</rowOff>
    </from>
    <ext cx="4860000" cy="3240000"/>
    <graphicFrame>
      <nvGraphicFramePr>
        <cNvPr id="4" name="Chart 4"/>
        <cNvGraphicFramePr/>
      </nvGraphicFramePr>
      <xfrm/>
      <a:graphic>
        <a:graphicData uri="http://schemas.openxmlformats.org/drawingml/2006/chart">
          <c:chart r:id="rId4"/>
        </a:graphicData>
      </a:graphic>
    </graphicFrame>
    <clientData/>
  </oneCellAnchor>
  <oneCellAnchor>
    <from>
      <col>17</col>
      <colOff>0</colOff>
      <row>51</row>
      <rowOff>0</rowOff>
    </from>
    <ext cx="4860000" cy="324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168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36</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51</row>
      <rowOff>0</rowOff>
    </from>
    <ext cx="5220000" cy="37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41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30</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45</row>
      <rowOff>0</rowOff>
    </from>
    <ext cx="6480000" cy="378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63</row>
      <rowOff>0</rowOff>
    </from>
    <ext cx="6480000" cy="3456000"/>
    <graphicFrame>
      <nvGraphicFramePr>
        <cNvPr id="4" name="Chart 4"/>
        <cNvGraphicFramePr/>
      </nvGraphicFramePr>
      <xfrm/>
      <a:graphic>
        <a:graphicData uri="http://schemas.openxmlformats.org/drawingml/2006/chart">
          <c:chart r:id="rId4"/>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480000" cy="3456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26</row>
      <rowOff>0</rowOff>
    </from>
    <ext cx="6480000" cy="3168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42</row>
      <rowOff>0</rowOff>
    </from>
    <ext cx="6480000" cy="3168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58</row>
      <rowOff>0</rowOff>
    </from>
    <ext cx="6480000" cy="3168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7</row>
      <rowOff>0</rowOff>
    </from>
    <ext cx="3204000" cy="3671999"/>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7</row>
      <rowOff>0</rowOff>
    </from>
    <ext cx="3204000" cy="3671999"/>
    <graphicFrame>
      <nvGraphicFramePr>
        <cNvPr id="2" name="Chart 2"/>
        <cNvGraphicFramePr/>
      </nvGraphicFramePr>
      <xfrm/>
      <a:graphic>
        <a:graphicData uri="http://schemas.openxmlformats.org/drawingml/2006/chart">
          <c:chart r:id="rId2"/>
        </a:graphicData>
      </a:graphic>
    </graphicFrame>
    <clientData/>
  </oneCellAnchor>
  <oneCellAnchor>
    <from>
      <col>6</col>
      <colOff>0</colOff>
      <row>7</row>
      <rowOff>0</rowOff>
    </from>
    <ext cx="3204000" cy="3671999"/>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67</row>
      <rowOff>0</rowOff>
    </from>
    <ext cx="648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86</row>
      <rowOff>0</rowOff>
    </from>
    <ext cx="6480000" cy="324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105</row>
      <rowOff>0</rowOff>
    </from>
    <ext cx="6480000" cy="3240000"/>
    <graphicFrame>
      <nvGraphicFramePr>
        <cNvPr id="6" name="Chart 6"/>
        <cNvGraphicFramePr/>
      </nvGraphicFramePr>
      <xfrm/>
      <a:graphic>
        <a:graphicData uri="http://schemas.openxmlformats.org/drawingml/2006/chart">
          <c:chart r:id="rId6"/>
        </a:graphicData>
      </a:graphic>
    </graphicFrame>
    <clientData/>
  </oneCellAnchor>
</wsDr>
</file>

<file path=xl/tables/table1.xml><?xml version="1.0" encoding="utf-8"?>
<table xmlns="http://schemas.openxmlformats.org/spreadsheetml/2006/main" id="1" name="tbl_ActiveDrivers7" displayName="tbl_ActiveDrivers7" ref="A7:N33" headerRowCount="1" headerRowDxfId="23" dataDxfId="55" totalsRowDxfId="22" headerRowBorderDxfId="21" tableBorderDxfId="36">
  <tableColumns count="14">
    <tableColumn id="1" name="No" dataDxfId="35"/>
    <tableColumn id="2" name="Line item" dataDxfId="34"/>
    <tableColumn id="3" name="Unit" dataDxfId="33"/>
    <tableColumn id="4" name="FY2026A" dataDxfId="32"/>
    <tableColumn id="5" name="FY2027E" dataDxfId="31"/>
    <tableColumn id="6" name="FY2028E" dataDxfId="30"/>
    <tableColumn id="7" name="FY2029E" dataDxfId="29"/>
    <tableColumn id="8" name="FY2030E" dataDxfId="28"/>
    <tableColumn id="9" name="FY2031E" dataDxfId="27"/>
    <tableColumn id="10" name="FY2032E" dataDxfId="26"/>
    <tableColumn id="11" name="FY2033E" dataDxfId="25"/>
    <tableColumn id="12" name="Source" dataDxfId="24"/>
    <tableColumn id="13" name="Conf." dataDxfId="20"/>
    <tableColumn id="14" name="Notes" dataDxfId="19"/>
  </tableColumns>
  <tableStyleInfo name="TableStyleLight1" showFirstColumn="0" showLastColumn="0" showRowStripes="0" showColumnStripes="0"/>
</table>
</file>

<file path=xl/tables/table2.xml><?xml version="1.0" encoding="utf-8"?>
<table xmlns="http://schemas.openxmlformats.org/spreadsheetml/2006/main" id="2" name="tbl_Register8" displayName="tbl_Register8" ref="A145:O155" headerRowCount="1" headerRowDxfId="39" dataDxfId="37" totalsRowDxfId="38" headerRowBorderDxfId="104" tableBorderDxfId="103">
  <tableColumns count="15">
    <tableColumn id="1" name="Assumption ID" dataDxfId="54"/>
    <tableColumn id="2" name="Assumption" dataDxfId="53"/>
    <tableColumn id="3" name="Unit" dataDxfId="52"/>
    <tableColumn id="4" name="Current Value (FY2026A / spot)" dataDxfId="51"/>
    <tableColumn id="5" name="Historical Range" dataDxfId="50"/>
    <tableColumn id="6" name="Forecast Value (Base, terminal year)" dataDxfId="49"/>
    <tableColumn id="7" name="Source" dataDxfId="48"/>
    <tableColumn id="8" name="Publication Date" dataDxfId="47"/>
    <tableColumn id="9" name="Confidence Rating" dataDxfId="46"/>
    <tableColumn id="10" name="Evidence" dataDxfId="45"/>
    <tableColumn id="11" name="Reasoning" dataDxfId="44"/>
    <tableColumn id="12" name="Sensitivity (impact of a 10% adverse move)" dataDxfId="43"/>
    <tableColumn id="13" name="Dependencies" dataDxfId="42"/>
    <tableColumn id="14" name="Review Date" dataDxfId="41"/>
    <tableColumn id="15" name="Owner" dataDxfId="40"/>
  </tableColumns>
  <tableStyleInfo name="TableStyleLight1" showFirstColumn="0" showLastColumn="0" showRowStripes="0" showColumnStripes="0"/>
</table>
</file>

<file path=xl/tables/table3.xml><?xml version="1.0" encoding="utf-8"?>
<table xmlns="http://schemas.openxmlformats.org/spreadsheetml/2006/main" id="3" name="tbl_Projects" displayName="tbl_Projects" ref="A76:O96" headerRowCount="1" headerRowDxfId="102" dataDxfId="100" totalsRowDxfId="98" headerRowBorderDxfId="101" tableBorderDxfId="99">
  <tableColumns count="15">
    <tableColumn id="1" name="Project ID" dataDxfId="97"/>
    <tableColumn id="2" name="Company" dataDxfId="96"/>
    <tableColumn id="3" name="Project / Asset" dataDxfId="95"/>
    <tableColumn id="4" name="State / Country" dataDxfId="94"/>
    <tableColumn id="5" name="Type" dataDxfId="93"/>
    <tableColumn id="6" name="Capacity Added (Mtpa)" dataDxfId="92"/>
    <tableColumn id="7" name="Capacity Definition" dataDxfId="91"/>
    <tableColumn id="8" name="Status At Cutoff" dataDxfId="90"/>
    <tableColumn id="9" name="Expected Commissioning FY" dataDxfId="89"/>
    <tableColumn id="10" name="Capex (Rs cr)" dataDxfId="88"/>
    <tableColumn id="11" name="Implied Capex (Rs/t)" dataDxfId="87"/>
    <tableColumn id="12" name="Included In Forecast?" dataDxfId="86"/>
    <tableColumn id="13" name="Source ID" dataDxfId="85"/>
    <tableColumn id="14" name="Confidence" dataDxfId="84"/>
    <tableColumn id="15" name="Notes" dataDxfId="83"/>
  </tableColumns>
  <tableStyleInfo name="TableStyleLight1" showFirstColumn="0" showLastColumn="0" showRowStripes="0" showColumnStripes="0"/>
</table>
</file>

<file path=xl/tables/table4.xml><?xml version="1.0" encoding="utf-8"?>
<table xmlns="http://schemas.openxmlformats.org/spreadsheetml/2006/main" id="4" name="tbl_Scenarios" displayName="tbl_Scenarios" ref="A68:I79" headerRowCount="1" headerRowDxfId="82" dataDxfId="81" totalsRowDxfId="80">
  <tableColumns count="9">
    <tableColumn id="2" name="FY2033E metric" dataDxfId="79"/>
    <tableColumn id="3" name="Unit" dataDxfId="78"/>
    <tableColumn id="4" name="Base Case" dataDxfId="77"/>
    <tableColumn id="5" name="Bull Case" dataDxfId="76"/>
    <tableColumn id="6" name="Bear Case" dataDxfId="75"/>
    <tableColumn id="7" name="Stress Case" dataDxfId="74"/>
    <tableColumn id="8" name="Live (active scenario)" dataDxfId="73"/>
    <tableColumn id="9" name="Tie-out" dataDxfId="72">
      <calculatedColumnFormula>IF(ABS(G69-INDEX(C69:F69,ScenID))&lt;=ABS(G69)*0.005+0.01,"OK","FAIL")</calculatedColumnFormula>
    </tableColumn>
    <tableColumn id="10" name="Commentary" dataDxfId="71"/>
  </tableColumns>
  <tableStyleInfo name="TableStyleLight1" showFirstColumn="0" showLastColumn="0" showRowStripes="0" showColumnStripes="0"/>
</table>
</file>

<file path=xl/tables/table5.xml><?xml version="1.0" encoding="utf-8"?>
<table xmlns="http://schemas.openxmlformats.org/spreadsheetml/2006/main" id="5" name="tbl_Comps" displayName="tbl_Comps" ref="A107:N114" headerRowCount="1" headerRowDxfId="4" dataDxfId="2" totalsRowDxfId="3" headerRowBorderDxfId="70" tableBorderDxfId="69">
  <tableColumns count="14">
    <tableColumn id="2" name="Company" dataDxfId="18"/>
    <tableColumn id="3" name="FY2026 EBITDA (Rs cr)" dataDxfId="17"/>
    <tableColumn id="4" name="Net debt (Rs cr)" dataDxfId="16"/>
    <tableColumn id="5" name="PAT (Rs cr)" dataDxfId="15"/>
    <tableColumn id="6" name="EPS (Rs)" dataDxfId="14"/>
    <tableColumn id="7" name="Shares (cr) - derived" dataDxfId="13"/>
    <tableColumn id="8" name="Share price (Rs) - USER INPUT" dataDxfId="12"/>
    <tableColumn id="9" name="Market cap (Rs cr)" dataDxfId="11"/>
    <tableColumn id="10" name="EV (Rs cr)" dataDxfId="10"/>
    <tableColumn id="11" name="EV/EBITDA (x)" dataDxfId="9"/>
    <tableColumn id="12" name="Capacity (Mtpa)" dataDxfId="8"/>
    <tableColumn id="13" name="EV per tonne (Rs/t)" dataDxfId="7"/>
    <tableColumn id="14" name="Conf." dataDxfId="6"/>
    <tableColumn id="15" name="Notes" dataDxfId="5"/>
  </tableColumns>
  <tableStyleInfo name="TableStyleLight1" showFirstColumn="0" showLastColumn="0" showRowStripes="0" showColumnStripes="0"/>
</table>
</file>

<file path=xl/tables/table6.xml><?xml version="1.0" encoding="utf-8"?>
<table xmlns="http://schemas.openxmlformats.org/spreadsheetml/2006/main" id="6" name="tbl_ModelSources" displayName="tbl_ModelSources" ref="A13:H22" headerRowCount="1" headerRowDxfId="68" dataDxfId="66" totalsRowDxfId="64" headerRowBorderDxfId="67" tableBorderDxfId="65">
  <tableColumns count="8">
    <tableColumn id="2" name="Ref" dataDxfId="63"/>
    <tableColumn id="3" name="Level" dataDxfId="62"/>
    <tableColumn id="4" name="Publisher" dataDxfId="61"/>
    <tableColumn id="5" name="Publication" dataDxfId="60"/>
    <tableColumn id="6" name="Date" dataDxfId="59"/>
    <tableColumn id="7" name="Used for" dataDxfId="58"/>
    <tableColumn id="8" name="Verification" dataDxfId="57"/>
    <tableColumn id="9" name="Notes" dataDxfId="56"/>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01_Data\Master%20Industry%20Database.xlsx" TargetMode="External" Id="rId1" /></Relationships>
</file>

<file path=xl/worksheets/_rels/sheet6.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drawing" Target="/xl/drawings/drawing2.xml" Id="rId1" /></Relationships>
</file>

<file path=xl/worksheets/_rels/sheet11.xml.rels><Relationships xmlns="http://schemas.openxmlformats.org/package/2006/relationships"><Relationship Type="http://schemas.openxmlformats.org/officeDocument/2006/relationships/drawing" Target="/xl/drawings/drawing3.xml" Id="rId1" /></Relationships>
</file>

<file path=xl/worksheets/_rels/sheet12.xml.rels><Relationships xmlns="http://schemas.openxmlformats.org/package/2006/relationships"><Relationship Type="http://schemas.openxmlformats.org/officeDocument/2006/relationships/table" Target="/xl/tables/table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4.xml.rels><Relationships xmlns="http://schemas.openxmlformats.org/package/2006/relationships"><Relationship Type="http://schemas.openxmlformats.org/officeDocument/2006/relationships/drawing" Target="/xl/drawings/drawing5.xml" Id="rId1" /></Relationships>
</file>

<file path=xl/worksheets/_rels/sheet15.xml.rels><Relationships xmlns="http://schemas.openxmlformats.org/package/2006/relationships"><Relationship Type="http://schemas.openxmlformats.org/officeDocument/2006/relationships/drawing" Target="/xl/drawings/drawing6.xml" Id="rId1" /></Relationships>
</file>

<file path=xl/worksheets/_rels/sheet16.xml.rels><Relationships xmlns="http://schemas.openxmlformats.org/package/2006/relationships"><Relationship Type="http://schemas.openxmlformats.org/officeDocument/2006/relationships/drawing" Target="/xl/drawings/drawing7.xml" Id="rId1" /></Relationships>
</file>

<file path=xl/worksheets/_rels/sheet17.xml.rels><Relationships xmlns="http://schemas.openxmlformats.org/package/2006/relationships"><Relationship Type="http://schemas.openxmlformats.org/officeDocument/2006/relationships/drawing" Target="/xl/drawings/drawing8.xml" Id="rId1" /></Relationships>
</file>

<file path=xl/worksheets/_rels/sheet18.xml.rels><Relationships xmlns="http://schemas.openxmlformats.org/package/2006/relationships"><Relationship Type="http://schemas.openxmlformats.org/officeDocument/2006/relationships/drawing" Target="/xl/drawings/drawing9.xml" Id="rId1" /></Relationships>
</file>

<file path=xl/worksheets/_rels/sheet19.xml.rels><Relationships xmlns="http://schemas.openxmlformats.org/package/2006/relationships"><Relationship Type="http://schemas.openxmlformats.org/officeDocument/2006/relationships/drawing" Target="/xl/drawings/drawing10.xml" Id="rId1" /></Relationships>
</file>

<file path=xl/worksheets/_rels/sheet20.xml.rels><Relationships xmlns="http://schemas.openxmlformats.org/package/2006/relationships"><Relationship Type="http://schemas.openxmlformats.org/officeDocument/2006/relationships/drawing" Target="/xl/drawings/drawing11.xml" Id="rId1" /></Relationships>
</file>

<file path=xl/worksheets/_rels/sheet21.xml.rels><Relationships xmlns="http://schemas.openxmlformats.org/package/2006/relationships"><Relationship Type="http://schemas.openxmlformats.org/officeDocument/2006/relationships/drawing" Target="/xl/drawings/drawing12.xml" Id="rId1" /></Relationships>
</file>

<file path=xl/worksheets/_rels/sheet22.xml.rels><Relationships xmlns="http://schemas.openxmlformats.org/package/2006/relationships"><Relationship Type="http://schemas.openxmlformats.org/officeDocument/2006/relationships/drawing" Target="/xl/drawings/drawing13.xml" Id="rId1" /></Relationships>
</file>

<file path=xl/worksheets/_rels/sheet23.xml.rels><Relationships xmlns="http://schemas.openxmlformats.org/package/2006/relationships"><Relationship Type="http://schemas.openxmlformats.org/officeDocument/2006/relationships/drawing" Target="/xl/drawings/drawing14.xml" Id="rId1" /></Relationships>
</file>

<file path=xl/worksheets/_rels/sheet24.xml.rels><Relationships xmlns="http://schemas.openxmlformats.org/package/2006/relationships"><Relationship Type="http://schemas.openxmlformats.org/officeDocument/2006/relationships/drawing" Target="/xl/drawings/drawing15.xml" Id="rId1" /></Relationships>
</file>

<file path=xl/worksheets/_rels/sheet25.xml.rels><Relationships xmlns="http://schemas.openxmlformats.org/package/2006/relationships"><Relationship Type="http://schemas.openxmlformats.org/officeDocument/2006/relationships/drawing" Target="/xl/drawings/drawing16.xml" Id="rId1" /></Relationships>
</file>

<file path=xl/worksheets/_rels/sheet26.xml.rels><Relationships xmlns="http://schemas.openxmlformats.org/package/2006/relationships"><Relationship Type="http://schemas.openxmlformats.org/officeDocument/2006/relationships/drawing" Target="/xl/drawings/drawing17.xml" Id="rId1" /><Relationship Type="http://schemas.openxmlformats.org/officeDocument/2006/relationships/table" Target="/xl/tables/table4.xml" Id="rId2" /></Relationships>
</file>

<file path=xl/worksheets/_rels/sheet27.xml.rels><Relationships xmlns="http://schemas.openxmlformats.org/package/2006/relationships"><Relationship Type="http://schemas.openxmlformats.org/officeDocument/2006/relationships/drawing" Target="/xl/drawings/drawing18.xml" Id="rId1" /></Relationships>
</file>

<file path=xl/worksheets/_rels/sheet28.xml.rels><Relationships xmlns="http://schemas.openxmlformats.org/package/2006/relationships"><Relationship Type="http://schemas.openxmlformats.org/officeDocument/2006/relationships/drawing" Target="/xl/drawings/drawing19.xml" Id="rId1" /><Relationship Type="http://schemas.openxmlformats.org/officeDocument/2006/relationships/table" Target="/xl/tables/table5.xml" Id="rId2" /></Relationships>
</file>

<file path=xl/worksheets/_rels/sheet29.xml.rels><Relationships xmlns="http://schemas.openxmlformats.org/package/2006/relationships"><Relationship Type="http://schemas.openxmlformats.org/officeDocument/2006/relationships/drawing" Target="/xl/drawings/drawing20.xml" Id="rId1" /></Relationships>
</file>

<file path=xl/worksheets/_rels/sheet31.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codeName="Sheet1">
    <tabColor rgb="FF002060"/>
    <outlinePr summaryBelow="1" summaryRight="1"/>
    <pageSetUpPr/>
  </sheetPr>
  <dimension ref="A1:Y1014"/>
  <sheetViews>
    <sheetView showGridLines="0" tabSelected="1" zoomScaleNormal="100" workbookViewId="0">
      <selection activeCell="A3" sqref="A3"/>
    </sheetView>
  </sheetViews>
  <sheetFormatPr baseColWidth="8" defaultRowHeight="14.4"/>
  <cols>
    <col width="33.33203125" customWidth="1" style="690" min="1" max="1"/>
    <col width="37.88671875" customWidth="1" style="690" min="2" max="2"/>
    <col width="8.88671875" customWidth="1" style="690" min="3" max="3"/>
    <col width="22.21875" customWidth="1" style="690" min="4" max="4"/>
    <col width="22.5546875" customWidth="1" style="690" min="5" max="5"/>
    <col width="8.88671875" customWidth="1" style="690" min="6" max="6"/>
    <col width="19.5546875" customWidth="1" style="690" min="7" max="7"/>
    <col width="25.77734375" customWidth="1" style="690" min="8" max="8"/>
    <col width="8.88671875" customWidth="1" style="690" min="9" max="9"/>
    <col width="14.6640625" customWidth="1" style="690" min="10" max="10"/>
    <col width="8.88671875" customWidth="1" style="690" min="11" max="16384"/>
  </cols>
  <sheetData>
    <row r="1" ht="25.8" customHeight="1" s="632">
      <c r="A1" s="365" t="inlineStr">
        <is>
          <t>INDUSTRY FINANCIAL MODEL</t>
        </is>
      </c>
      <c r="K1" s="683" t="n"/>
      <c r="L1" s="683" t="n"/>
      <c r="M1" s="683" t="n"/>
      <c r="N1" s="683" t="n"/>
      <c r="O1" s="683" t="n"/>
      <c r="P1" s="683" t="n"/>
      <c r="Q1" s="683" t="n"/>
      <c r="R1" s="683" t="n"/>
      <c r="S1" s="683" t="n"/>
      <c r="T1" s="683" t="n"/>
      <c r="U1" s="683" t="n"/>
      <c r="V1" s="683" t="n"/>
      <c r="W1" s="683" t="n"/>
      <c r="X1" s="683" t="n"/>
      <c r="Y1" s="683" t="n"/>
    </row>
    <row r="2">
      <c r="A2" s="200" t="inlineStr">
        <is>
          <t>INDIAN STEEL INDUSTRY</t>
        </is>
      </c>
      <c r="B2" s="683" t="n"/>
      <c r="C2" s="683" t="n"/>
      <c r="D2" s="683" t="n"/>
      <c r="E2" s="683" t="n"/>
      <c r="F2" s="683" t="n"/>
      <c r="G2" s="683" t="n"/>
      <c r="H2" s="683" t="n"/>
      <c r="I2" s="683" t="n"/>
      <c r="J2" s="683" t="n"/>
      <c r="K2" s="683" t="n"/>
      <c r="L2" s="683" t="n"/>
      <c r="M2" s="683" t="n"/>
      <c r="N2" s="683" t="n"/>
      <c r="O2" s="683" t="n"/>
      <c r="P2" s="683" t="n"/>
      <c r="Q2" s="683" t="n"/>
      <c r="R2" s="683" t="n"/>
      <c r="S2" s="683" t="n"/>
      <c r="T2" s="683" t="n"/>
      <c r="U2" s="683" t="n"/>
      <c r="V2" s="683" t="n"/>
      <c r="W2" s="683" t="n"/>
      <c r="X2" s="683" t="n"/>
      <c r="Y2" s="683" t="n"/>
    </row>
    <row r="3">
      <c r="A3" s="415" t="n"/>
      <c r="B3" s="683" t="n"/>
      <c r="C3" s="683" t="n"/>
      <c r="D3" s="683" t="n"/>
      <c r="E3" s="683" t="n"/>
      <c r="F3" s="683" t="n"/>
      <c r="G3" s="683" t="n"/>
      <c r="H3" s="683" t="n"/>
      <c r="I3" s="683" t="n"/>
      <c r="J3" s="683" t="n"/>
      <c r="K3" s="683" t="n"/>
      <c r="L3" s="683" t="n"/>
      <c r="M3" s="683" t="n"/>
      <c r="N3" s="683" t="n"/>
      <c r="O3" s="683" t="n"/>
      <c r="P3" s="683" t="n"/>
      <c r="Q3" s="683" t="n"/>
      <c r="R3" s="683" t="n"/>
      <c r="S3" s="683" t="n"/>
      <c r="T3" s="683" t="n"/>
      <c r="U3" s="683" t="n"/>
      <c r="V3" s="683" t="n"/>
      <c r="W3" s="683" t="n"/>
      <c r="X3" s="683" t="n"/>
      <c r="Y3" s="683" t="n"/>
    </row>
    <row r="4">
      <c r="A4" s="411" t="inlineStr">
        <is>
          <t>Global Metals &amp; Mining Research</t>
        </is>
      </c>
      <c r="B4" s="683" t="n"/>
      <c r="C4" s="683" t="n"/>
      <c r="D4" s="683" t="n"/>
      <c r="E4" s="683" t="n"/>
      <c r="F4" s="683" t="n"/>
      <c r="G4" s="683" t="n"/>
      <c r="H4" s="683" t="n"/>
      <c r="I4" s="683" t="n"/>
      <c r="J4" s="683" t="n"/>
      <c r="K4" s="683" t="n"/>
      <c r="L4" s="683" t="n"/>
      <c r="M4" s="683" t="n"/>
      <c r="N4" s="683" t="n"/>
      <c r="O4" s="683" t="n"/>
      <c r="P4" s="683" t="n"/>
      <c r="Q4" s="683" t="n"/>
      <c r="R4" s="683" t="n"/>
      <c r="S4" s="683" t="n"/>
      <c r="T4" s="683" t="n"/>
      <c r="U4" s="683" t="n"/>
      <c r="V4" s="683" t="n"/>
      <c r="W4" s="683" t="n"/>
      <c r="X4" s="683" t="n"/>
      <c r="Y4" s="683" t="n"/>
    </row>
    <row r="5">
      <c r="A5" s="369" t="inlineStr">
        <is>
          <t>Forecast horizon FY2027E-FY2033E (7 years)  |  Base year FY2026A</t>
        </is>
      </c>
      <c r="K5" s="683" t="n"/>
      <c r="L5" s="683" t="n"/>
      <c r="M5" s="683" t="n"/>
      <c r="N5" s="683" t="n"/>
      <c r="O5" s="683" t="n"/>
      <c r="P5" s="683" t="n"/>
      <c r="Q5" s="683" t="n"/>
      <c r="R5" s="683" t="n"/>
      <c r="S5" s="683" t="n"/>
      <c r="T5" s="683" t="n"/>
      <c r="U5" s="683" t="n"/>
      <c r="V5" s="683" t="n"/>
      <c r="W5" s="683" t="n"/>
      <c r="X5" s="683" t="n"/>
      <c r="Y5" s="683" t="n"/>
    </row>
    <row r="6">
      <c r="A6" s="415" t="n"/>
      <c r="B6" s="683" t="n"/>
      <c r="C6" s="683" t="n"/>
      <c r="D6" s="683" t="n"/>
      <c r="E6" s="683" t="n"/>
      <c r="F6" s="683" t="n"/>
      <c r="G6" s="683" t="n"/>
      <c r="H6" s="683" t="n"/>
      <c r="I6" s="683" t="n"/>
      <c r="J6" s="683" t="n"/>
      <c r="K6" s="683" t="n"/>
      <c r="L6" s="683" t="n"/>
      <c r="M6" s="683" t="n"/>
      <c r="N6" s="683" t="n"/>
      <c r="O6" s="683" t="n"/>
      <c r="P6" s="683" t="n"/>
      <c r="Q6" s="683" t="n"/>
      <c r="R6" s="683" t="n"/>
      <c r="S6" s="683" t="n"/>
      <c r="T6" s="683" t="n"/>
      <c r="U6" s="683" t="n"/>
      <c r="V6" s="683" t="n"/>
      <c r="W6" s="683" t="n"/>
      <c r="X6" s="683" t="n"/>
      <c r="Y6" s="683" t="n"/>
    </row>
    <row r="7">
      <c r="A7" s="366" t="inlineStr">
        <is>
          <t>An integrated financial modelling platform for analysing the Indian steel industry.</t>
        </is>
      </c>
      <c r="K7" s="683" t="n"/>
      <c r="L7" s="683" t="n"/>
      <c r="M7" s="683" t="n"/>
      <c r="N7" s="683" t="n"/>
      <c r="O7" s="683" t="n"/>
      <c r="P7" s="683" t="n"/>
      <c r="Q7" s="683" t="n"/>
      <c r="R7" s="683" t="n"/>
      <c r="S7" s="683" t="n"/>
      <c r="T7" s="683" t="n"/>
      <c r="U7" s="683" t="n"/>
      <c r="V7" s="683" t="n"/>
      <c r="W7" s="683" t="n"/>
      <c r="X7" s="683" t="n"/>
      <c r="Y7" s="683" t="n"/>
    </row>
    <row r="8">
      <c r="A8" s="367" t="inlineStr">
        <is>
          <t>The model combines macroeconomic assumptions, industry demand and supply forecasting, capacity expansion, pricing, raw material costs, profitability, cash flow, scenario analysis and sector valuation into a single analytical framework.</t>
        </is>
      </c>
      <c r="K8" s="683" t="n"/>
      <c r="L8" s="683" t="n"/>
      <c r="M8" s="683" t="n"/>
      <c r="N8" s="683" t="n"/>
      <c r="O8" s="683" t="n"/>
      <c r="P8" s="683" t="n"/>
      <c r="Q8" s="683" t="n"/>
      <c r="R8" s="683" t="n"/>
      <c r="S8" s="683" t="n"/>
      <c r="T8" s="683" t="n"/>
      <c r="U8" s="683" t="n"/>
      <c r="V8" s="683" t="n"/>
      <c r="W8" s="683" t="n"/>
      <c r="X8" s="683" t="n"/>
      <c r="Y8" s="683" t="n"/>
    </row>
    <row r="9">
      <c r="A9" s="368" t="inlineStr">
        <is>
          <t>Designed to support equity research, investment banking, corporate finance, private equity and individual company valuation.</t>
        </is>
      </c>
      <c r="K9" s="683" t="n"/>
      <c r="L9" s="683" t="n"/>
      <c r="M9" s="683" t="n"/>
      <c r="N9" s="683" t="n"/>
      <c r="O9" s="683" t="n"/>
      <c r="P9" s="683" t="n"/>
      <c r="Q9" s="683" t="n"/>
      <c r="R9" s="683" t="n"/>
      <c r="S9" s="683" t="n"/>
      <c r="T9" s="683" t="n"/>
      <c r="U9" s="683" t="n"/>
      <c r="V9" s="683" t="n"/>
      <c r="W9" s="683" t="n"/>
      <c r="X9" s="683" t="n"/>
      <c r="Y9" s="683" t="n"/>
    </row>
    <row r="10" ht="15" customHeight="1" s="632" thickBot="1">
      <c r="A10" s="214" t="n"/>
      <c r="B10" s="683" t="n"/>
      <c r="C10" s="683" t="n"/>
      <c r="D10" s="683" t="n"/>
      <c r="E10" s="683" t="n"/>
      <c r="F10" s="683" t="n"/>
      <c r="G10" s="683" t="n"/>
      <c r="H10" s="683" t="n"/>
      <c r="I10" s="683" t="n"/>
      <c r="J10" s="683" t="n"/>
      <c r="K10" s="683" t="n"/>
      <c r="L10" s="683" t="n"/>
      <c r="M10" s="683" t="n"/>
      <c r="N10" s="683" t="n"/>
      <c r="O10" s="683" t="n"/>
      <c r="P10" s="683" t="n"/>
      <c r="Q10" s="683" t="n"/>
      <c r="R10" s="683" t="n"/>
      <c r="S10" s="683" t="n"/>
      <c r="T10" s="683" t="n"/>
      <c r="U10" s="683" t="n"/>
      <c r="V10" s="683" t="n"/>
      <c r="W10" s="683" t="n"/>
      <c r="X10" s="683" t="n"/>
      <c r="Y10" s="683" t="n"/>
    </row>
    <row r="11" ht="16.2" customHeight="1" s="632" thickBot="1">
      <c r="A11" s="623" t="inlineStr">
        <is>
          <t>Coverage Universe</t>
        </is>
      </c>
      <c r="B11" s="697" t="n"/>
      <c r="C11" s="683" t="n"/>
      <c r="D11" s="623" t="inlineStr">
        <is>
          <t>Model Information</t>
        </is>
      </c>
      <c r="E11" s="697" t="n"/>
      <c r="F11" s="683" t="n"/>
      <c r="G11" s="623" t="inlineStr">
        <is>
          <t>Data Sources</t>
        </is>
      </c>
      <c r="H11" s="697" t="n"/>
      <c r="I11" s="683" t="n"/>
      <c r="J11" s="683" t="n"/>
      <c r="K11" s="683" t="n"/>
      <c r="L11" s="683" t="n"/>
      <c r="M11" s="683" t="n"/>
      <c r="N11" s="683" t="n"/>
      <c r="O11" s="683" t="n"/>
      <c r="P11" s="683" t="n"/>
      <c r="Q11" s="683" t="n"/>
      <c r="R11" s="683" t="n"/>
      <c r="S11" s="683" t="n"/>
      <c r="T11" s="683" t="n"/>
      <c r="U11" s="683" t="n"/>
      <c r="V11" s="683" t="n"/>
      <c r="W11" s="683" t="n"/>
      <c r="X11" s="683" t="n"/>
      <c r="Y11" s="683" t="n"/>
    </row>
    <row r="12" ht="15" customFormat="1" customHeight="1" s="216" thickBot="1" thickTop="1">
      <c r="A12" s="622" t="inlineStr">
        <is>
          <t>Core Coverage</t>
        </is>
      </c>
      <c r="B12" s="622" t="inlineStr">
        <is>
          <t>Supporting Coverage</t>
        </is>
      </c>
      <c r="C12" s="678" t="n"/>
      <c r="D12" s="622" t="inlineStr">
        <is>
          <t>Field</t>
        </is>
      </c>
      <c r="E12" s="622" t="inlineStr">
        <is>
          <t>Value</t>
        </is>
      </c>
      <c r="F12" s="678" t="n"/>
      <c r="G12" s="622" t="inlineStr">
        <is>
          <t>Primary Sources</t>
        </is>
      </c>
      <c r="H12" s="622" t="inlineStr">
        <is>
          <t>Industry Sources</t>
        </is>
      </c>
      <c r="I12" s="678" t="n"/>
      <c r="J12" s="678" t="n"/>
      <c r="K12" s="678" t="n"/>
      <c r="L12" s="678" t="n"/>
      <c r="M12" s="678" t="n"/>
      <c r="N12" s="678" t="n"/>
      <c r="O12" s="678" t="n"/>
      <c r="P12" s="678" t="n"/>
      <c r="Q12" s="678" t="n"/>
      <c r="R12" s="678" t="n"/>
      <c r="S12" s="678" t="n"/>
      <c r="T12" s="678" t="n"/>
      <c r="U12" s="678" t="n"/>
      <c r="V12" s="678" t="n"/>
      <c r="W12" s="678" t="n"/>
      <c r="X12" s="678" t="n"/>
      <c r="Y12" s="678" t="n"/>
    </row>
    <row r="13" ht="15" customHeight="1" s="632" thickTop="1">
      <c r="A13" s="224" t="inlineStr">
        <is>
          <t>Tata Steel</t>
        </is>
      </c>
      <c r="B13" s="225" t="inlineStr">
        <is>
          <t>Rashtriya Ispat Nigam Limited</t>
        </is>
      </c>
      <c r="C13" s="683" t="n"/>
      <c r="D13" s="223" t="inlineStr">
        <is>
          <t>Version</t>
        </is>
      </c>
      <c r="E13" s="226" t="n">
        <v>1</v>
      </c>
      <c r="F13" s="683" t="n"/>
      <c r="G13" s="235" t="inlineStr">
        <is>
          <t>Annual Reports</t>
        </is>
      </c>
      <c r="H13" s="225" t="inlineStr">
        <is>
          <t>World Steel Association</t>
        </is>
      </c>
      <c r="I13" s="683" t="n"/>
      <c r="J13" s="683" t="n"/>
      <c r="K13" s="683" t="n"/>
      <c r="L13" s="683" t="n"/>
      <c r="M13" s="683" t="n"/>
      <c r="N13" s="683" t="n"/>
      <c r="O13" s="683" t="n"/>
      <c r="P13" s="683" t="n"/>
      <c r="Q13" s="683" t="n"/>
      <c r="R13" s="683" t="n"/>
      <c r="S13" s="683" t="n"/>
      <c r="T13" s="683" t="n"/>
      <c r="U13" s="683" t="n"/>
      <c r="V13" s="683" t="n"/>
      <c r="W13" s="683" t="n"/>
      <c r="X13" s="683" t="n"/>
      <c r="Y13" s="683" t="n"/>
    </row>
    <row r="14">
      <c r="A14" s="217" t="inlineStr">
        <is>
          <t>JSW Steel</t>
        </is>
      </c>
      <c r="B14" s="218" t="inlineStr">
        <is>
          <t>Shyam Metalics and Energy Limited</t>
        </is>
      </c>
      <c r="C14" s="683" t="n"/>
      <c r="D14" s="221" t="inlineStr">
        <is>
          <t>Base Year</t>
        </is>
      </c>
      <c r="E14" s="227" t="inlineStr">
        <is>
          <t>FY2026A</t>
        </is>
      </c>
      <c r="F14" s="683" t="n"/>
      <c r="G14" s="230" t="inlineStr">
        <is>
          <t>Quarterly Results</t>
        </is>
      </c>
      <c r="H14" s="218" t="inlineStr">
        <is>
          <t>Joint Plant Committee</t>
        </is>
      </c>
      <c r="I14" s="683" t="n"/>
      <c r="J14" s="683" t="n"/>
      <c r="K14" s="683" t="n"/>
      <c r="L14" s="683" t="n"/>
      <c r="M14" s="683" t="n"/>
      <c r="N14" s="683" t="n"/>
      <c r="O14" s="683" t="n"/>
      <c r="P14" s="683" t="n"/>
      <c r="Q14" s="683" t="n"/>
      <c r="R14" s="683" t="n"/>
      <c r="S14" s="683" t="n"/>
      <c r="T14" s="683" t="n"/>
      <c r="U14" s="683" t="n"/>
      <c r="V14" s="683" t="n"/>
      <c r="W14" s="683" t="n"/>
      <c r="X14" s="683" t="n"/>
      <c r="Y14" s="683" t="n"/>
    </row>
    <row r="15">
      <c r="A15" s="217" t="inlineStr">
        <is>
          <t>SAIL</t>
        </is>
      </c>
      <c r="B15" s="218" t="inlineStr">
        <is>
          <t>Godawari Power &amp; Ispat Limited</t>
        </is>
      </c>
      <c r="C15" s="683" t="n"/>
      <c r="D15" s="221" t="inlineStr">
        <is>
          <t>Forecast</t>
        </is>
      </c>
      <c r="E15" s="228" t="inlineStr">
        <is>
          <t>FY2027E–FY2033E</t>
        </is>
      </c>
      <c r="F15" s="683" t="n"/>
      <c r="G15" s="230" t="inlineStr">
        <is>
          <t>Investor Presentations</t>
        </is>
      </c>
      <c r="H15" s="218" t="inlineStr">
        <is>
          <t>Ministry of Steel</t>
        </is>
      </c>
      <c r="I15" s="683" t="n"/>
      <c r="J15" s="683" t="n"/>
      <c r="K15" s="683" t="n"/>
      <c r="L15" s="683" t="n"/>
      <c r="M15" s="683" t="n"/>
      <c r="N15" s="683" t="n"/>
      <c r="O15" s="683" t="n"/>
      <c r="P15" s="683" t="n"/>
      <c r="Q15" s="683" t="n"/>
      <c r="R15" s="683" t="n"/>
      <c r="S15" s="683" t="n"/>
      <c r="T15" s="683" t="n"/>
      <c r="U15" s="683" t="n"/>
      <c r="V15" s="683" t="n"/>
      <c r="W15" s="683" t="n"/>
      <c r="X15" s="683" t="n"/>
      <c r="Y15" s="683" t="n"/>
    </row>
    <row r="16" ht="15" customHeight="1" s="632" thickBot="1">
      <c r="A16" s="217" t="inlineStr">
        <is>
          <t>Jindal Steel</t>
        </is>
      </c>
      <c r="B16" s="218" t="inlineStr">
        <is>
          <t>APL Apollo Tubes Limited</t>
        </is>
      </c>
      <c r="C16" s="683" t="n"/>
      <c r="D16" s="221" t="inlineStr">
        <is>
          <t>Forecast Horizon</t>
        </is>
      </c>
      <c r="E16" s="228" t="inlineStr">
        <is>
          <t>7 Years</t>
        </is>
      </c>
      <c r="F16" s="683" t="n"/>
      <c r="G16" s="231" t="inlineStr">
        <is>
          <t>Exchange Filings</t>
        </is>
      </c>
      <c r="H16" s="218" t="inlineStr">
        <is>
          <t>OECD</t>
        </is>
      </c>
      <c r="I16" s="683" t="n"/>
      <c r="J16" s="683" t="n"/>
      <c r="K16" s="683" t="n"/>
      <c r="L16" s="683" t="n"/>
      <c r="M16" s="683" t="n"/>
      <c r="N16" s="683" t="n"/>
      <c r="O16" s="683" t="n"/>
      <c r="P16" s="683" t="n"/>
      <c r="Q16" s="683" t="n"/>
      <c r="R16" s="683" t="n"/>
      <c r="S16" s="683" t="n"/>
      <c r="T16" s="683" t="n"/>
      <c r="U16" s="683" t="n"/>
      <c r="V16" s="683" t="n"/>
      <c r="W16" s="683" t="n"/>
      <c r="X16" s="683" t="n"/>
      <c r="Y16" s="683" t="n"/>
    </row>
    <row r="17">
      <c r="A17" s="217" t="inlineStr">
        <is>
          <t>Jindal Stainless</t>
        </is>
      </c>
      <c r="B17" s="218" t="inlineStr">
        <is>
          <t>Mukand Limited</t>
        </is>
      </c>
      <c r="C17" s="683" t="n"/>
      <c r="D17" s="221" t="inlineStr">
        <is>
          <t>Currency</t>
        </is>
      </c>
      <c r="E17" s="228" t="inlineStr">
        <is>
          <t>INR</t>
        </is>
      </c>
      <c r="F17" s="683" t="n"/>
      <c r="H17" s="234" t="inlineStr">
        <is>
          <t>DGFT</t>
        </is>
      </c>
      <c r="I17" s="683" t="n"/>
      <c r="J17" s="683" t="n"/>
      <c r="K17" s="683" t="n"/>
      <c r="L17" s="683" t="n"/>
      <c r="M17" s="683" t="n"/>
      <c r="N17" s="683" t="n"/>
      <c r="O17" s="683" t="n"/>
      <c r="P17" s="683" t="n"/>
      <c r="Q17" s="683" t="n"/>
      <c r="R17" s="683" t="n"/>
      <c r="S17" s="683" t="n"/>
      <c r="T17" s="683" t="n"/>
      <c r="U17" s="683" t="n"/>
      <c r="V17" s="683" t="n"/>
      <c r="W17" s="683" t="n"/>
      <c r="X17" s="683" t="n"/>
      <c r="Y17" s="683" t="n"/>
    </row>
    <row r="18" ht="15" customHeight="1" s="632" thickBot="1">
      <c r="A18" s="222" t="inlineStr">
        <is>
          <t>AM/NS India</t>
        </is>
      </c>
      <c r="B18" s="218" t="inlineStr">
        <is>
          <t>Gallantt Ispat Limited</t>
        </is>
      </c>
      <c r="C18" s="683" t="n"/>
      <c r="D18" s="221" t="inlineStr">
        <is>
          <t>Reporting Basis</t>
        </is>
      </c>
      <c r="E18" s="228" t="inlineStr">
        <is>
          <t>Consolidated</t>
        </is>
      </c>
      <c r="F18" s="683" t="n"/>
      <c r="H18" s="232" t="inlineStr">
        <is>
          <t>RBI</t>
        </is>
      </c>
      <c r="I18" s="683" t="n"/>
      <c r="J18" s="683" t="n"/>
      <c r="K18" s="683" t="n"/>
      <c r="L18" s="683" t="n"/>
      <c r="M18" s="683" t="n"/>
      <c r="N18" s="683" t="n"/>
      <c r="O18" s="683" t="n"/>
      <c r="P18" s="683" t="n"/>
      <c r="Q18" s="683" t="n"/>
      <c r="R18" s="683" t="n"/>
      <c r="S18" s="683" t="n"/>
      <c r="T18" s="683" t="n"/>
      <c r="U18" s="683" t="n"/>
      <c r="V18" s="683" t="n"/>
      <c r="W18" s="683" t="n"/>
      <c r="X18" s="683" t="n"/>
      <c r="Y18" s="683" t="n"/>
    </row>
    <row r="19" ht="15" customHeight="1" s="632" thickBot="1">
      <c r="A19" s="214" t="n"/>
      <c r="B19" s="234" t="inlineStr">
        <is>
          <t>Uttam Galva Steels Limited</t>
        </is>
      </c>
      <c r="C19" s="683" t="n"/>
      <c r="D19" s="222" t="inlineStr">
        <is>
          <t>Last Upload</t>
        </is>
      </c>
      <c r="E19" s="229" t="n">
        <v>46237</v>
      </c>
      <c r="F19" s="683" t="n"/>
      <c r="H19" s="232" t="inlineStr">
        <is>
          <t>IMF</t>
        </is>
      </c>
      <c r="I19" s="683" t="n"/>
      <c r="J19" s="683" t="n"/>
      <c r="K19" s="683" t="n"/>
      <c r="L19" s="683" t="n"/>
      <c r="M19" s="683" t="n"/>
      <c r="N19" s="683" t="n"/>
      <c r="O19" s="683" t="n"/>
      <c r="P19" s="683" t="n"/>
      <c r="Q19" s="683" t="n"/>
      <c r="R19" s="683" t="n"/>
      <c r="S19" s="683" t="n"/>
      <c r="T19" s="683" t="n"/>
      <c r="U19" s="683" t="n"/>
      <c r="V19" s="683" t="n"/>
      <c r="W19" s="683" t="n"/>
      <c r="X19" s="683" t="n"/>
      <c r="Y19" s="683" t="n"/>
    </row>
    <row r="20" ht="15" customHeight="1" s="632" thickBot="1">
      <c r="B20" s="234" t="inlineStr">
        <is>
          <t>Kirloskar Ferrous Industries Limited</t>
        </is>
      </c>
      <c r="C20" s="683" t="n"/>
      <c r="D20" s="683" t="n"/>
      <c r="E20" s="683" t="n"/>
      <c r="F20" s="683" t="n"/>
      <c r="H20" s="233" t="inlineStr">
        <is>
          <t>World Bank</t>
        </is>
      </c>
      <c r="I20" s="683" t="n"/>
      <c r="J20" s="683" t="n"/>
      <c r="K20" s="683" t="n"/>
      <c r="L20" s="683" t="n"/>
      <c r="M20" s="683" t="n"/>
      <c r="N20" s="683" t="n"/>
      <c r="O20" s="683" t="n"/>
      <c r="P20" s="683" t="n"/>
      <c r="Q20" s="683" t="n"/>
      <c r="R20" s="683" t="n"/>
      <c r="S20" s="683" t="n"/>
      <c r="T20" s="683" t="n"/>
      <c r="U20" s="683" t="n"/>
      <c r="V20" s="683" t="n"/>
      <c r="W20" s="683" t="n"/>
      <c r="X20" s="683" t="n"/>
      <c r="Y20" s="683" t="n"/>
    </row>
    <row r="21" ht="15" customHeight="1" s="632" thickBot="1">
      <c r="B21" s="233" t="inlineStr">
        <is>
          <t>Electrosteel Steels Limited (ESL Steel Limited)</t>
        </is>
      </c>
      <c r="C21" s="683" t="n"/>
      <c r="D21" s="683" t="n"/>
      <c r="E21" s="683" t="n"/>
      <c r="F21" s="683" t="n"/>
      <c r="G21" s="683" t="n"/>
      <c r="H21" s="683" t="n"/>
      <c r="I21" s="683" t="n"/>
      <c r="J21" s="683" t="n"/>
      <c r="K21" s="683" t="n"/>
      <c r="L21" s="683" t="n"/>
      <c r="M21" s="683" t="n"/>
      <c r="N21" s="683" t="n"/>
      <c r="O21" s="683" t="n"/>
      <c r="P21" s="683" t="n"/>
      <c r="Q21" s="683" t="n"/>
      <c r="R21" s="683" t="n"/>
      <c r="S21" s="683" t="n"/>
      <c r="T21" s="683" t="n"/>
      <c r="U21" s="683" t="n"/>
      <c r="V21" s="683" t="n"/>
      <c r="W21" s="683" t="n"/>
      <c r="X21" s="683" t="n"/>
      <c r="Y21" s="683" t="n"/>
    </row>
    <row r="22">
      <c r="C22" s="683" t="n"/>
      <c r="D22" s="683" t="n"/>
      <c r="E22" s="683" t="n"/>
      <c r="F22" s="683" t="n"/>
      <c r="G22" s="683" t="n"/>
      <c r="H22" s="683" t="n"/>
      <c r="I22" s="683" t="n"/>
      <c r="J22" s="683" t="n"/>
      <c r="K22" s="683" t="n"/>
      <c r="L22" s="683" t="n"/>
      <c r="M22" s="683" t="n"/>
      <c r="N22" s="683" t="n"/>
      <c r="O22" s="683" t="n"/>
      <c r="P22" s="683" t="n"/>
      <c r="Q22" s="683" t="n"/>
      <c r="R22" s="683" t="n"/>
      <c r="S22" s="683" t="n"/>
      <c r="T22" s="683" t="n"/>
      <c r="U22" s="683" t="n"/>
      <c r="V22" s="683" t="n"/>
      <c r="W22" s="683" t="n"/>
      <c r="X22" s="683" t="n"/>
      <c r="Y22" s="683" t="n"/>
    </row>
    <row r="23">
      <c r="C23" s="683" t="n"/>
      <c r="D23" s="683" t="n"/>
      <c r="E23" s="683" t="n"/>
      <c r="F23" s="683" t="n"/>
      <c r="G23" s="683" t="n"/>
      <c r="H23" s="683" t="n"/>
      <c r="I23" s="683" t="n"/>
      <c r="J23" s="683" t="n"/>
      <c r="K23" s="683" t="n"/>
      <c r="L23" s="683" t="n"/>
      <c r="M23" s="683" t="n"/>
      <c r="N23" s="683" t="n"/>
      <c r="O23" s="683" t="n"/>
      <c r="P23" s="683" t="n"/>
      <c r="Q23" s="683" t="n"/>
      <c r="R23" s="683" t="n"/>
      <c r="S23" s="683" t="n"/>
      <c r="T23" s="683" t="n"/>
      <c r="U23" s="683" t="n"/>
      <c r="V23" s="683" t="n"/>
      <c r="W23" s="683" t="n"/>
      <c r="X23" s="683" t="n"/>
      <c r="Y23" s="683" t="n"/>
    </row>
    <row r="24">
      <c r="B24" s="683" t="n"/>
      <c r="C24" s="683" t="n"/>
      <c r="D24" s="683" t="n"/>
      <c r="E24" s="683" t="n"/>
      <c r="F24" s="683" t="n"/>
      <c r="G24" s="683" t="n"/>
      <c r="H24" s="683" t="n"/>
      <c r="I24" s="683" t="n"/>
      <c r="J24" s="683" t="n"/>
      <c r="K24" s="683" t="n"/>
      <c r="L24" s="683" t="n"/>
      <c r="M24" s="683" t="n"/>
      <c r="N24" s="683" t="n"/>
      <c r="O24" s="683" t="n"/>
      <c r="P24" s="683" t="n"/>
      <c r="Q24" s="683" t="n"/>
      <c r="R24" s="683" t="n"/>
      <c r="S24" s="683" t="n"/>
      <c r="T24" s="683" t="n"/>
      <c r="U24" s="683" t="n"/>
      <c r="V24" s="683" t="n"/>
      <c r="W24" s="683" t="n"/>
      <c r="X24" s="683" t="n"/>
      <c r="Y24" s="683" t="n"/>
    </row>
    <row r="25">
      <c r="A25" s="364" t="inlineStr">
        <is>
          <t>Prepared By : Om Prakash Panda</t>
        </is>
      </c>
      <c r="C25" s="683" t="n"/>
      <c r="D25" s="683" t="n"/>
      <c r="E25" s="683" t="n"/>
      <c r="F25" s="683" t="n"/>
      <c r="G25" s="683" t="n"/>
      <c r="H25" s="683" t="n"/>
      <c r="I25" s="683" t="n"/>
      <c r="J25" s="683" t="n"/>
      <c r="K25" s="683" t="n"/>
      <c r="L25" s="683" t="n"/>
      <c r="M25" s="683" t="n"/>
      <c r="N25" s="683" t="n"/>
      <c r="O25" s="683" t="n"/>
      <c r="P25" s="683" t="n"/>
      <c r="Q25" s="683" t="n"/>
      <c r="R25" s="683" t="n"/>
      <c r="S25" s="683" t="n"/>
      <c r="T25" s="683" t="n"/>
      <c r="U25" s="683" t="n"/>
      <c r="V25" s="683" t="n"/>
      <c r="W25" s="683" t="n"/>
      <c r="X25" s="683" t="n"/>
      <c r="Y25" s="683" t="n"/>
    </row>
    <row r="26">
      <c r="A26" s="364" t="inlineStr">
        <is>
          <t>Confidential For Educational &amp; Research Purposes</t>
        </is>
      </c>
      <c r="C26" s="683" t="n"/>
      <c r="D26" s="683" t="n"/>
      <c r="E26" s="683" t="n"/>
      <c r="F26" s="683" t="n"/>
      <c r="G26" s="683" t="n"/>
      <c r="H26" s="683" t="n"/>
      <c r="I26" s="683" t="n"/>
      <c r="J26" s="683" t="n"/>
      <c r="K26" s="683" t="n"/>
      <c r="L26" s="683" t="n"/>
      <c r="M26" s="683" t="n"/>
      <c r="N26" s="683" t="n"/>
      <c r="O26" s="683" t="n"/>
      <c r="P26" s="683" t="n"/>
      <c r="Q26" s="683" t="n"/>
      <c r="R26" s="683" t="n"/>
      <c r="S26" s="683" t="n"/>
      <c r="T26" s="683" t="n"/>
      <c r="U26" s="683" t="n"/>
      <c r="V26" s="683" t="n"/>
      <c r="W26" s="683" t="n"/>
      <c r="X26" s="683" t="n"/>
      <c r="Y26" s="683" t="n"/>
    </row>
    <row r="27">
      <c r="A27" s="214" t="n"/>
      <c r="B27" s="683" t="n"/>
      <c r="C27" s="683" t="n"/>
      <c r="D27" s="683" t="n"/>
      <c r="E27" s="683" t="n"/>
      <c r="F27" s="683" t="n"/>
      <c r="G27" s="683" t="n"/>
      <c r="H27" s="683" t="n"/>
      <c r="I27" s="683" t="n"/>
      <c r="J27" s="683" t="n"/>
      <c r="K27" s="683" t="n"/>
      <c r="L27" s="683" t="n"/>
      <c r="M27" s="683" t="n"/>
      <c r="N27" s="683" t="n"/>
      <c r="O27" s="683" t="n"/>
      <c r="P27" s="683" t="n"/>
      <c r="Q27" s="683" t="n"/>
      <c r="R27" s="683" t="n"/>
      <c r="S27" s="683" t="n"/>
      <c r="T27" s="683" t="n"/>
      <c r="U27" s="683" t="n"/>
      <c r="V27" s="683" t="n"/>
      <c r="W27" s="683" t="n"/>
      <c r="X27" s="683" t="n"/>
      <c r="Y27" s="683" t="n"/>
    </row>
    <row r="28">
      <c r="A28" s="214" t="n"/>
      <c r="B28" s="683" t="n"/>
      <c r="C28" s="683" t="n"/>
      <c r="D28" s="683" t="n"/>
      <c r="E28" s="683" t="n"/>
      <c r="F28" s="683" t="n"/>
      <c r="G28" s="683" t="n"/>
      <c r="H28" s="683" t="n"/>
      <c r="I28" s="683" t="n"/>
      <c r="J28" s="683" t="n"/>
      <c r="K28" s="683" t="n"/>
      <c r="L28" s="683" t="n"/>
      <c r="M28" s="683" t="n"/>
      <c r="N28" s="683" t="n"/>
      <c r="O28" s="683" t="n"/>
      <c r="P28" s="683" t="n"/>
      <c r="Q28" s="683" t="n"/>
      <c r="R28" s="683" t="n"/>
      <c r="S28" s="683" t="n"/>
      <c r="T28" s="683" t="n"/>
      <c r="U28" s="683" t="n"/>
      <c r="V28" s="683" t="n"/>
      <c r="W28" s="683" t="n"/>
      <c r="X28" s="683" t="n"/>
      <c r="Y28" s="683" t="n"/>
    </row>
    <row r="29">
      <c r="A29" s="214" t="n"/>
      <c r="B29" s="683" t="n"/>
      <c r="C29" s="683" t="n"/>
      <c r="D29" s="683" t="n"/>
      <c r="E29" s="683" t="n"/>
      <c r="F29" s="683" t="n"/>
      <c r="G29" s="683" t="n"/>
      <c r="H29" s="683" t="n"/>
      <c r="I29" s="683" t="n"/>
      <c r="J29" s="683" t="n"/>
      <c r="K29" s="683" t="n"/>
      <c r="L29" s="683" t="n"/>
      <c r="M29" s="683" t="n"/>
      <c r="N29" s="683" t="n"/>
      <c r="O29" s="683" t="n"/>
      <c r="P29" s="683" t="n"/>
      <c r="Q29" s="683" t="n"/>
      <c r="R29" s="683" t="n"/>
      <c r="S29" s="683" t="n"/>
      <c r="T29" s="683" t="n"/>
      <c r="U29" s="683" t="n"/>
      <c r="V29" s="683" t="n"/>
      <c r="W29" s="683" t="n"/>
      <c r="X29" s="683" t="n"/>
      <c r="Y29" s="683" t="n"/>
    </row>
    <row r="30">
      <c r="A30" s="214" t="n"/>
      <c r="B30" s="683" t="n"/>
      <c r="C30" s="683" t="n"/>
      <c r="D30" s="683" t="n"/>
      <c r="E30" s="683" t="n"/>
      <c r="F30" s="683" t="n"/>
      <c r="G30" s="683" t="n"/>
      <c r="H30" s="683" t="n"/>
      <c r="I30" s="683" t="n"/>
      <c r="J30" s="683" t="n"/>
      <c r="K30" s="683" t="n"/>
      <c r="L30" s="683" t="n"/>
      <c r="M30" s="683" t="n"/>
      <c r="N30" s="683" t="n"/>
      <c r="O30" s="683" t="n"/>
      <c r="P30" s="683" t="n"/>
      <c r="Q30" s="683" t="n"/>
      <c r="R30" s="683" t="n"/>
      <c r="S30" s="683" t="n"/>
      <c r="T30" s="683" t="n"/>
      <c r="U30" s="683" t="n"/>
      <c r="V30" s="683" t="n"/>
      <c r="W30" s="683" t="n"/>
      <c r="X30" s="683" t="n"/>
      <c r="Y30" s="683" t="n"/>
    </row>
    <row r="31">
      <c r="A31" s="214" t="n"/>
      <c r="B31" s="683" t="n"/>
      <c r="C31" s="683" t="n"/>
      <c r="D31" s="683" t="n"/>
      <c r="E31" s="683" t="n"/>
      <c r="F31" s="683" t="n"/>
      <c r="G31" s="683" t="n"/>
      <c r="H31" s="683" t="n"/>
      <c r="I31" s="683" t="n"/>
      <c r="J31" s="683" t="n"/>
      <c r="K31" s="683" t="n"/>
      <c r="L31" s="683" t="n"/>
      <c r="M31" s="683" t="n"/>
      <c r="N31" s="683" t="n"/>
      <c r="O31" s="683" t="n"/>
      <c r="P31" s="683" t="n"/>
      <c r="Q31" s="683" t="n"/>
      <c r="R31" s="683" t="n"/>
      <c r="S31" s="683" t="n"/>
      <c r="T31" s="683" t="n"/>
      <c r="U31" s="683" t="n"/>
      <c r="V31" s="683" t="n"/>
      <c r="W31" s="683" t="n"/>
      <c r="X31" s="683" t="n"/>
      <c r="Y31" s="683" t="n"/>
    </row>
    <row r="32">
      <c r="A32" s="214" t="n"/>
      <c r="B32" s="683" t="n"/>
      <c r="C32" s="683" t="n"/>
      <c r="D32" s="683" t="n"/>
      <c r="E32" s="683" t="n"/>
      <c r="F32" s="683" t="n"/>
      <c r="G32" s="683" t="n"/>
      <c r="H32" s="683" t="n"/>
      <c r="I32" s="683" t="n"/>
      <c r="J32" s="683" t="n"/>
      <c r="K32" s="683" t="n"/>
      <c r="L32" s="683" t="n"/>
      <c r="M32" s="683" t="n"/>
      <c r="N32" s="683" t="n"/>
      <c r="O32" s="683" t="n"/>
      <c r="P32" s="683" t="n"/>
      <c r="Q32" s="683" t="n"/>
      <c r="R32" s="683" t="n"/>
      <c r="S32" s="683" t="n"/>
      <c r="T32" s="683" t="n"/>
      <c r="U32" s="683" t="n"/>
      <c r="V32" s="683" t="n"/>
      <c r="W32" s="683" t="n"/>
      <c r="X32" s="683" t="n"/>
      <c r="Y32" s="683" t="n"/>
    </row>
    <row r="33">
      <c r="A33" s="214" t="n"/>
      <c r="B33" s="683" t="n"/>
      <c r="C33" s="683" t="n"/>
      <c r="D33" s="683" t="n"/>
      <c r="E33" s="683" t="n"/>
      <c r="F33" s="683" t="n"/>
      <c r="G33" s="683" t="n"/>
      <c r="H33" s="683" t="n"/>
      <c r="I33" s="683" t="n"/>
      <c r="J33" s="683" t="n"/>
      <c r="K33" s="683" t="n"/>
      <c r="L33" s="683" t="n"/>
      <c r="M33" s="683" t="n"/>
      <c r="N33" s="683" t="n"/>
      <c r="O33" s="683" t="n"/>
      <c r="P33" s="683" t="n"/>
      <c r="Q33" s="683" t="n"/>
      <c r="R33" s="683" t="n"/>
      <c r="S33" s="683" t="n"/>
      <c r="T33" s="683" t="n"/>
      <c r="U33" s="683" t="n"/>
      <c r="V33" s="683" t="n"/>
      <c r="W33" s="683" t="n"/>
      <c r="X33" s="683" t="n"/>
      <c r="Y33" s="683" t="n"/>
    </row>
    <row r="34">
      <c r="A34" s="214" t="n"/>
      <c r="B34" s="683" t="n"/>
      <c r="C34" s="683" t="n"/>
      <c r="D34" s="683" t="n"/>
      <c r="E34" s="683" t="n"/>
      <c r="F34" s="683" t="n"/>
      <c r="G34" s="683" t="n"/>
      <c r="H34" s="683" t="n"/>
      <c r="I34" s="683" t="n"/>
      <c r="J34" s="683" t="n"/>
      <c r="K34" s="683" t="n"/>
      <c r="L34" s="683" t="n"/>
      <c r="M34" s="683" t="n"/>
      <c r="N34" s="683" t="n"/>
      <c r="O34" s="683" t="n"/>
      <c r="P34" s="683" t="n"/>
      <c r="Q34" s="683" t="n"/>
      <c r="R34" s="683" t="n"/>
      <c r="S34" s="683" t="n"/>
      <c r="T34" s="683" t="n"/>
      <c r="U34" s="683" t="n"/>
      <c r="V34" s="683" t="n"/>
      <c r="W34" s="683" t="n"/>
      <c r="X34" s="683" t="n"/>
      <c r="Y34" s="683" t="n"/>
    </row>
    <row r="35">
      <c r="A35" s="214" t="n"/>
      <c r="B35" s="683" t="n"/>
      <c r="C35" s="683" t="n"/>
      <c r="D35" s="683" t="n"/>
      <c r="E35" s="683" t="n"/>
      <c r="F35" s="683" t="n"/>
      <c r="G35" s="683" t="n"/>
      <c r="H35" s="683" t="n"/>
      <c r="I35" s="683" t="n"/>
      <c r="J35" s="683" t="n"/>
      <c r="K35" s="683" t="n"/>
      <c r="L35" s="683" t="n"/>
      <c r="M35" s="683" t="n"/>
      <c r="N35" s="683" t="n"/>
      <c r="O35" s="683" t="n"/>
      <c r="P35" s="683" t="n"/>
      <c r="Q35" s="683" t="n"/>
      <c r="R35" s="683" t="n"/>
      <c r="S35" s="683" t="n"/>
      <c r="T35" s="683" t="n"/>
      <c r="U35" s="683" t="n"/>
      <c r="V35" s="683" t="n"/>
      <c r="W35" s="683" t="n"/>
      <c r="X35" s="683" t="n"/>
      <c r="Y35" s="683" t="n"/>
    </row>
    <row r="36">
      <c r="A36" s="214" t="n"/>
      <c r="B36" s="683" t="n"/>
      <c r="C36" s="683" t="n"/>
      <c r="D36" s="683" t="n"/>
      <c r="E36" s="683" t="n"/>
      <c r="F36" s="683" t="n"/>
      <c r="G36" s="683" t="n"/>
      <c r="H36" s="683" t="n"/>
      <c r="I36" s="683" t="n"/>
      <c r="J36" s="683" t="n"/>
      <c r="K36" s="683" t="n"/>
      <c r="L36" s="683" t="n"/>
      <c r="M36" s="683" t="n"/>
      <c r="N36" s="683" t="n"/>
      <c r="O36" s="683" t="n"/>
      <c r="P36" s="683" t="n"/>
      <c r="Q36" s="683" t="n"/>
      <c r="R36" s="683" t="n"/>
      <c r="S36" s="683" t="n"/>
      <c r="T36" s="683" t="n"/>
      <c r="U36" s="683" t="n"/>
      <c r="V36" s="683" t="n"/>
      <c r="W36" s="683" t="n"/>
      <c r="X36" s="683" t="n"/>
      <c r="Y36" s="683" t="n"/>
    </row>
    <row r="37">
      <c r="A37" s="402" t="n"/>
      <c r="B37" s="683" t="n"/>
      <c r="C37" s="683" t="n"/>
      <c r="D37" s="683" t="n"/>
      <c r="E37" s="683" t="n"/>
      <c r="F37" s="683" t="n"/>
      <c r="G37" s="683" t="n"/>
      <c r="H37" s="683" t="n"/>
      <c r="I37" s="683" t="n"/>
      <c r="J37" s="683" t="n"/>
      <c r="K37" s="683" t="n"/>
      <c r="L37" s="683" t="n"/>
      <c r="M37" s="683" t="n"/>
      <c r="N37" s="683" t="n"/>
      <c r="O37" s="683" t="n"/>
      <c r="P37" s="683" t="n"/>
      <c r="Q37" s="683" t="n"/>
      <c r="R37" s="683" t="n"/>
      <c r="S37" s="683" t="n"/>
      <c r="T37" s="683" t="n"/>
      <c r="U37" s="683" t="n"/>
      <c r="V37" s="683" t="n"/>
      <c r="W37" s="683" t="n"/>
      <c r="X37" s="683" t="n"/>
      <c r="Y37" s="683" t="n"/>
    </row>
    <row r="38">
      <c r="A38" s="394" t="n"/>
      <c r="B38" s="683" t="n"/>
      <c r="C38" s="683" t="n"/>
      <c r="D38" s="683" t="n"/>
      <c r="E38" s="683" t="n"/>
      <c r="F38" s="683" t="n"/>
      <c r="G38" s="683" t="n"/>
      <c r="H38" s="683" t="n"/>
      <c r="I38" s="683" t="n"/>
      <c r="J38" s="683" t="n"/>
      <c r="K38" s="683" t="n"/>
      <c r="L38" s="683" t="n"/>
      <c r="M38" s="683" t="n"/>
      <c r="N38" s="683" t="n"/>
      <c r="O38" s="683" t="n"/>
      <c r="P38" s="683" t="n"/>
      <c r="Q38" s="683" t="n"/>
      <c r="R38" s="683" t="n"/>
      <c r="S38" s="683" t="n"/>
      <c r="T38" s="683" t="n"/>
      <c r="U38" s="683" t="n"/>
      <c r="V38" s="683" t="n"/>
      <c r="W38" s="683" t="n"/>
      <c r="X38" s="683" t="n"/>
      <c r="Y38" s="683" t="n"/>
    </row>
    <row r="39">
      <c r="A39" s="214" t="n"/>
      <c r="B39" s="683" t="n"/>
      <c r="C39" s="683" t="n"/>
      <c r="D39" s="683" t="n"/>
      <c r="E39" s="683" t="n"/>
      <c r="F39" s="683" t="n"/>
      <c r="G39" s="683" t="n"/>
      <c r="H39" s="683" t="n"/>
      <c r="I39" s="683" t="n"/>
      <c r="J39" s="683" t="n"/>
      <c r="K39" s="683" t="n"/>
      <c r="L39" s="683" t="n"/>
      <c r="M39" s="683" t="n"/>
      <c r="N39" s="683" t="n"/>
      <c r="O39" s="683" t="n"/>
      <c r="P39" s="683" t="n"/>
      <c r="Q39" s="683" t="n"/>
      <c r="R39" s="683" t="n"/>
      <c r="S39" s="683" t="n"/>
      <c r="T39" s="683" t="n"/>
      <c r="U39" s="683" t="n"/>
      <c r="V39" s="683" t="n"/>
      <c r="W39" s="683" t="n"/>
      <c r="X39" s="683" t="n"/>
      <c r="Y39" s="683" t="n"/>
    </row>
    <row r="40">
      <c r="A40" s="402" t="n"/>
      <c r="B40" s="683" t="n"/>
      <c r="C40" s="683" t="n"/>
      <c r="D40" s="683" t="n"/>
      <c r="E40" s="683" t="n"/>
      <c r="F40" s="683" t="n"/>
      <c r="G40" s="683" t="n"/>
      <c r="H40" s="683" t="n"/>
      <c r="I40" s="683" t="n"/>
      <c r="J40" s="683" t="n"/>
      <c r="K40" s="683" t="n"/>
      <c r="L40" s="683" t="n"/>
      <c r="M40" s="683" t="n"/>
      <c r="N40" s="683" t="n"/>
      <c r="O40" s="683" t="n"/>
      <c r="P40" s="683" t="n"/>
      <c r="Q40" s="683" t="n"/>
      <c r="R40" s="683" t="n"/>
      <c r="S40" s="683" t="n"/>
      <c r="T40" s="683" t="n"/>
      <c r="U40" s="683" t="n"/>
      <c r="V40" s="683" t="n"/>
      <c r="W40" s="683" t="n"/>
      <c r="X40" s="683" t="n"/>
      <c r="Y40" s="683" t="n"/>
    </row>
    <row r="41">
      <c r="A41" s="394" t="n"/>
      <c r="B41" s="683" t="n"/>
      <c r="C41" s="683" t="n"/>
      <c r="D41" s="683" t="n"/>
      <c r="E41" s="683" t="n"/>
      <c r="F41" s="683" t="n"/>
      <c r="G41" s="683" t="n"/>
      <c r="H41" s="683" t="n"/>
      <c r="I41" s="683" t="n"/>
      <c r="J41" s="683" t="n"/>
      <c r="K41" s="683" t="n"/>
      <c r="L41" s="683" t="n"/>
      <c r="M41" s="683" t="n"/>
      <c r="N41" s="683" t="n"/>
      <c r="O41" s="683" t="n"/>
      <c r="P41" s="683" t="n"/>
      <c r="Q41" s="683" t="n"/>
      <c r="R41" s="683" t="n"/>
      <c r="S41" s="683" t="n"/>
      <c r="T41" s="683" t="n"/>
      <c r="U41" s="683" t="n"/>
      <c r="V41" s="683" t="n"/>
      <c r="W41" s="683" t="n"/>
      <c r="X41" s="683" t="n"/>
      <c r="Y41" s="683" t="n"/>
    </row>
    <row r="42">
      <c r="A42" s="683" t="n"/>
      <c r="B42" s="683" t="n"/>
      <c r="C42" s="683" t="n"/>
      <c r="D42" s="683" t="n"/>
      <c r="E42" s="683" t="n"/>
      <c r="F42" s="683" t="n"/>
      <c r="G42" s="683" t="n"/>
      <c r="H42" s="683" t="n"/>
      <c r="I42" s="683" t="n"/>
      <c r="J42" s="683" t="n"/>
      <c r="K42" s="683" t="n"/>
      <c r="L42" s="683" t="n"/>
      <c r="M42" s="683" t="n"/>
      <c r="N42" s="683" t="n"/>
      <c r="O42" s="683" t="n"/>
      <c r="P42" s="683" t="n"/>
      <c r="Q42" s="683" t="n"/>
      <c r="R42" s="683" t="n"/>
      <c r="S42" s="683" t="n"/>
      <c r="T42" s="683" t="n"/>
      <c r="U42" s="683" t="n"/>
      <c r="V42" s="683" t="n"/>
      <c r="W42" s="683" t="n"/>
      <c r="X42" s="683" t="n"/>
      <c r="Y42" s="683" t="n"/>
    </row>
    <row r="43">
      <c r="A43" s="393" t="n"/>
      <c r="B43" s="683" t="n"/>
      <c r="C43" s="683" t="n"/>
      <c r="D43" s="683" t="n"/>
      <c r="E43" s="683" t="n"/>
      <c r="F43" s="683" t="n"/>
      <c r="G43" s="683" t="n"/>
      <c r="H43" s="683" t="n"/>
      <c r="I43" s="683" t="n"/>
      <c r="J43" s="683" t="n"/>
      <c r="K43" s="683" t="n"/>
      <c r="L43" s="683" t="n"/>
      <c r="M43" s="683" t="n"/>
      <c r="N43" s="683" t="n"/>
      <c r="O43" s="683" t="n"/>
      <c r="P43" s="683" t="n"/>
      <c r="Q43" s="683" t="n"/>
      <c r="R43" s="683" t="n"/>
      <c r="S43" s="683" t="n"/>
      <c r="T43" s="683" t="n"/>
      <c r="U43" s="683" t="n"/>
      <c r="V43" s="683" t="n"/>
      <c r="W43" s="683" t="n"/>
      <c r="X43" s="683" t="n"/>
      <c r="Y43" s="683" t="n"/>
    </row>
    <row r="44">
      <c r="A44" s="683" t="n"/>
      <c r="B44" s="683" t="n"/>
      <c r="C44" s="683" t="n"/>
      <c r="D44" s="683" t="n"/>
      <c r="E44" s="683" t="n"/>
      <c r="F44" s="683" t="n"/>
      <c r="G44" s="683" t="n"/>
      <c r="H44" s="683" t="n"/>
      <c r="I44" s="683" t="n"/>
      <c r="J44" s="683" t="n"/>
      <c r="K44" s="683" t="n"/>
      <c r="L44" s="683" t="n"/>
      <c r="M44" s="683" t="n"/>
      <c r="N44" s="683" t="n"/>
      <c r="O44" s="683" t="n"/>
      <c r="P44" s="683" t="n"/>
      <c r="Q44" s="683" t="n"/>
      <c r="R44" s="683" t="n"/>
      <c r="S44" s="683" t="n"/>
      <c r="T44" s="683" t="n"/>
      <c r="U44" s="683" t="n"/>
      <c r="V44" s="683" t="n"/>
      <c r="W44" s="683" t="n"/>
      <c r="X44" s="683" t="n"/>
      <c r="Y44" s="683" t="n"/>
    </row>
    <row r="45">
      <c r="A45" s="683" t="n"/>
      <c r="B45" s="683" t="n"/>
      <c r="C45" s="683" t="n"/>
      <c r="D45" s="683" t="n"/>
      <c r="E45" s="683" t="n"/>
      <c r="F45" s="683" t="n"/>
      <c r="G45" s="683" t="n"/>
      <c r="H45" s="683" t="n"/>
      <c r="I45" s="683" t="n"/>
      <c r="J45" s="683" t="n"/>
      <c r="K45" s="683" t="n"/>
      <c r="L45" s="683" t="n"/>
      <c r="M45" s="683" t="n"/>
      <c r="N45" s="683" t="n"/>
      <c r="O45" s="683" t="n"/>
      <c r="P45" s="683" t="n"/>
      <c r="Q45" s="683" t="n"/>
      <c r="R45" s="683" t="n"/>
      <c r="S45" s="683" t="n"/>
      <c r="T45" s="683" t="n"/>
      <c r="U45" s="683" t="n"/>
      <c r="V45" s="683" t="n"/>
      <c r="W45" s="683" t="n"/>
      <c r="X45" s="683" t="n"/>
      <c r="Y45" s="683" t="n"/>
    </row>
    <row r="46">
      <c r="A46" s="683" t="n"/>
      <c r="B46" s="683" t="n"/>
      <c r="C46" s="683" t="n"/>
      <c r="D46" s="683" t="n"/>
      <c r="E46" s="683" t="n"/>
      <c r="F46" s="683" t="n"/>
      <c r="G46" s="683" t="n"/>
      <c r="H46" s="683" t="n"/>
      <c r="I46" s="683" t="n"/>
      <c r="J46" s="683" t="n"/>
      <c r="K46" s="683" t="n"/>
      <c r="L46" s="683" t="n"/>
      <c r="M46" s="683" t="n"/>
      <c r="N46" s="683" t="n"/>
      <c r="O46" s="683" t="n"/>
      <c r="P46" s="683" t="n"/>
      <c r="Q46" s="683" t="n"/>
      <c r="R46" s="683" t="n"/>
      <c r="S46" s="683" t="n"/>
      <c r="T46" s="683" t="n"/>
      <c r="U46" s="683" t="n"/>
      <c r="V46" s="683" t="n"/>
      <c r="W46" s="683" t="n"/>
      <c r="X46" s="683" t="n"/>
      <c r="Y46" s="683" t="n"/>
    </row>
    <row r="47">
      <c r="A47" s="683" t="n"/>
      <c r="B47" s="683" t="n"/>
      <c r="C47" s="683" t="n"/>
      <c r="D47" s="683" t="n"/>
      <c r="E47" s="683" t="n"/>
      <c r="F47" s="683" t="n"/>
      <c r="G47" s="683" t="n"/>
      <c r="H47" s="683" t="n"/>
      <c r="I47" s="683" t="n"/>
      <c r="J47" s="683" t="n"/>
      <c r="K47" s="683" t="n"/>
      <c r="L47" s="683" t="n"/>
      <c r="M47" s="683" t="n"/>
      <c r="N47" s="683" t="n"/>
      <c r="O47" s="683" t="n"/>
      <c r="P47" s="683" t="n"/>
      <c r="Q47" s="683" t="n"/>
      <c r="R47" s="683" t="n"/>
      <c r="S47" s="683" t="n"/>
      <c r="T47" s="683" t="n"/>
      <c r="U47" s="683" t="n"/>
      <c r="V47" s="683" t="n"/>
      <c r="W47" s="683" t="n"/>
      <c r="X47" s="683" t="n"/>
      <c r="Y47" s="683" t="n"/>
    </row>
    <row r="48">
      <c r="A48" s="683" t="n"/>
      <c r="B48" s="683" t="n"/>
      <c r="C48" s="683" t="n"/>
      <c r="D48" s="683" t="n"/>
      <c r="E48" s="683" t="n"/>
      <c r="F48" s="683" t="n"/>
      <c r="G48" s="683" t="n"/>
      <c r="H48" s="683" t="n"/>
      <c r="I48" s="683" t="n"/>
      <c r="J48" s="683" t="n"/>
      <c r="K48" s="683" t="n"/>
      <c r="L48" s="683" t="n"/>
      <c r="M48" s="683" t="n"/>
      <c r="N48" s="683" t="n"/>
      <c r="O48" s="683" t="n"/>
      <c r="P48" s="683" t="n"/>
      <c r="Q48" s="683" t="n"/>
      <c r="R48" s="683" t="n"/>
      <c r="S48" s="683" t="n"/>
      <c r="T48" s="683" t="n"/>
      <c r="U48" s="683" t="n"/>
      <c r="V48" s="683" t="n"/>
      <c r="W48" s="683" t="n"/>
      <c r="X48" s="683" t="n"/>
      <c r="Y48" s="683" t="n"/>
    </row>
    <row r="49">
      <c r="A49" s="683" t="n"/>
      <c r="B49" s="683" t="n"/>
      <c r="C49" s="683" t="n"/>
      <c r="D49" s="683" t="n"/>
      <c r="E49" s="683" t="n"/>
      <c r="F49" s="683" t="n"/>
      <c r="G49" s="683" t="n"/>
      <c r="H49" s="683" t="n"/>
      <c r="I49" s="683" t="n"/>
      <c r="J49" s="683" t="n"/>
      <c r="K49" s="683" t="n"/>
      <c r="L49" s="683" t="n"/>
      <c r="M49" s="683" t="n"/>
      <c r="N49" s="683" t="n"/>
      <c r="O49" s="683" t="n"/>
      <c r="P49" s="683" t="n"/>
      <c r="Q49" s="683" t="n"/>
      <c r="R49" s="683" t="n"/>
      <c r="S49" s="683" t="n"/>
      <c r="T49" s="683" t="n"/>
      <c r="U49" s="683" t="n"/>
      <c r="V49" s="683" t="n"/>
      <c r="W49" s="683" t="n"/>
      <c r="X49" s="683" t="n"/>
      <c r="Y49" s="683" t="n"/>
    </row>
    <row r="50">
      <c r="A50" s="683" t="n"/>
      <c r="B50" s="683" t="n"/>
      <c r="C50" s="683" t="n"/>
      <c r="D50" s="683" t="n"/>
      <c r="E50" s="683" t="n"/>
      <c r="F50" s="683" t="n"/>
      <c r="G50" s="683" t="n"/>
      <c r="H50" s="683" t="n"/>
      <c r="I50" s="683" t="n"/>
      <c r="J50" s="683" t="n"/>
      <c r="K50" s="683" t="n"/>
      <c r="L50" s="683" t="n"/>
      <c r="M50" s="683" t="n"/>
      <c r="N50" s="683" t="n"/>
      <c r="O50" s="683" t="n"/>
      <c r="P50" s="683" t="n"/>
      <c r="Q50" s="683" t="n"/>
      <c r="R50" s="683" t="n"/>
      <c r="S50" s="683" t="n"/>
      <c r="T50" s="683" t="n"/>
      <c r="U50" s="683" t="n"/>
      <c r="V50" s="683" t="n"/>
      <c r="W50" s="683" t="n"/>
      <c r="X50" s="683" t="n"/>
      <c r="Y50" s="683" t="n"/>
    </row>
    <row r="51">
      <c r="A51" s="683" t="n"/>
      <c r="B51" s="683" t="n"/>
      <c r="C51" s="683" t="n"/>
      <c r="D51" s="683" t="n"/>
      <c r="E51" s="683" t="n"/>
      <c r="F51" s="683" t="n"/>
      <c r="G51" s="683" t="n"/>
      <c r="H51" s="683" t="n"/>
      <c r="I51" s="683" t="n"/>
      <c r="J51" s="683" t="n"/>
      <c r="K51" s="683" t="n"/>
      <c r="L51" s="683" t="n"/>
      <c r="M51" s="683" t="n"/>
      <c r="N51" s="683" t="n"/>
      <c r="O51" s="683" t="n"/>
      <c r="P51" s="683" t="n"/>
      <c r="Q51" s="683" t="n"/>
      <c r="R51" s="683" t="n"/>
      <c r="S51" s="683" t="n"/>
      <c r="T51" s="683" t="n"/>
      <c r="U51" s="683" t="n"/>
      <c r="V51" s="683" t="n"/>
      <c r="W51" s="683" t="n"/>
      <c r="X51" s="683" t="n"/>
      <c r="Y51" s="683" t="n"/>
    </row>
    <row r="52">
      <c r="A52" s="683" t="n"/>
      <c r="B52" s="683" t="n"/>
      <c r="C52" s="683" t="n"/>
      <c r="D52" s="683" t="n"/>
      <c r="E52" s="683" t="n"/>
      <c r="F52" s="683" t="n"/>
      <c r="G52" s="683" t="n"/>
      <c r="H52" s="683" t="n"/>
      <c r="I52" s="683" t="n"/>
      <c r="J52" s="683" t="n"/>
      <c r="K52" s="683" t="n"/>
      <c r="L52" s="683" t="n"/>
      <c r="M52" s="683" t="n"/>
      <c r="N52" s="683" t="n"/>
      <c r="O52" s="683" t="n"/>
      <c r="P52" s="683" t="n"/>
      <c r="Q52" s="683" t="n"/>
      <c r="R52" s="683" t="n"/>
      <c r="S52" s="683" t="n"/>
      <c r="T52" s="683" t="n"/>
      <c r="U52" s="683" t="n"/>
      <c r="V52" s="683" t="n"/>
      <c r="W52" s="683" t="n"/>
      <c r="X52" s="683" t="n"/>
      <c r="Y52" s="683" t="n"/>
    </row>
    <row r="53">
      <c r="A53" s="683" t="n"/>
      <c r="B53" s="683" t="n"/>
      <c r="C53" s="683" t="n"/>
      <c r="D53" s="683" t="n"/>
      <c r="E53" s="683" t="n"/>
      <c r="F53" s="683" t="n"/>
      <c r="G53" s="683" t="n"/>
      <c r="H53" s="683" t="n"/>
      <c r="I53" s="683" t="n"/>
      <c r="J53" s="683" t="n"/>
      <c r="K53" s="683" t="n"/>
      <c r="L53" s="683" t="n"/>
      <c r="M53" s="683" t="n"/>
      <c r="N53" s="683" t="n"/>
      <c r="O53" s="683" t="n"/>
      <c r="P53" s="683" t="n"/>
      <c r="Q53" s="683" t="n"/>
      <c r="R53" s="683" t="n"/>
      <c r="S53" s="683" t="n"/>
      <c r="T53" s="683" t="n"/>
      <c r="U53" s="683" t="n"/>
      <c r="V53" s="683" t="n"/>
      <c r="W53" s="683" t="n"/>
      <c r="X53" s="683" t="n"/>
      <c r="Y53" s="683" t="n"/>
    </row>
    <row r="54">
      <c r="A54" s="683" t="n"/>
      <c r="B54" s="683" t="n"/>
      <c r="C54" s="683" t="n"/>
      <c r="D54" s="683" t="n"/>
      <c r="E54" s="683" t="n"/>
      <c r="F54" s="683" t="n"/>
      <c r="G54" s="683" t="n"/>
      <c r="H54" s="683" t="n"/>
      <c r="I54" s="683" t="n"/>
      <c r="J54" s="683" t="n"/>
      <c r="K54" s="683" t="n"/>
      <c r="L54" s="683" t="n"/>
      <c r="M54" s="683" t="n"/>
      <c r="N54" s="683" t="n"/>
      <c r="O54" s="683" t="n"/>
      <c r="P54" s="683" t="n"/>
      <c r="Q54" s="683" t="n"/>
      <c r="R54" s="683" t="n"/>
      <c r="S54" s="683" t="n"/>
      <c r="T54" s="683" t="n"/>
      <c r="U54" s="683" t="n"/>
      <c r="V54" s="683" t="n"/>
      <c r="W54" s="683" t="n"/>
      <c r="X54" s="683" t="n"/>
      <c r="Y54" s="683" t="n"/>
    </row>
    <row r="55">
      <c r="A55" s="683" t="n"/>
      <c r="B55" s="683" t="n"/>
      <c r="C55" s="683" t="n"/>
      <c r="D55" s="683" t="n"/>
      <c r="E55" s="683" t="n"/>
      <c r="F55" s="683" t="n"/>
      <c r="G55" s="683" t="n"/>
      <c r="H55" s="683" t="n"/>
      <c r="I55" s="683" t="n"/>
      <c r="J55" s="683" t="n"/>
      <c r="K55" s="683" t="n"/>
      <c r="L55" s="683" t="n"/>
      <c r="M55" s="683" t="n"/>
      <c r="N55" s="683" t="n"/>
      <c r="O55" s="683" t="n"/>
      <c r="P55" s="683" t="n"/>
      <c r="Q55" s="683" t="n"/>
      <c r="R55" s="683" t="n"/>
      <c r="S55" s="683" t="n"/>
      <c r="T55" s="683" t="n"/>
      <c r="U55" s="683" t="n"/>
      <c r="V55" s="683" t="n"/>
      <c r="W55" s="683" t="n"/>
      <c r="X55" s="683" t="n"/>
      <c r="Y55" s="683" t="n"/>
    </row>
    <row r="56">
      <c r="A56" s="683" t="n"/>
      <c r="B56" s="683" t="n"/>
      <c r="C56" s="683" t="n"/>
      <c r="D56" s="683" t="n"/>
      <c r="E56" s="683" t="n"/>
      <c r="F56" s="683" t="n"/>
      <c r="G56" s="683" t="n"/>
      <c r="H56" s="683" t="n"/>
      <c r="I56" s="683" t="n"/>
      <c r="J56" s="683" t="n"/>
      <c r="K56" s="683" t="n"/>
      <c r="L56" s="683" t="n"/>
      <c r="M56" s="683" t="n"/>
      <c r="N56" s="683" t="n"/>
      <c r="O56" s="683" t="n"/>
      <c r="P56" s="683" t="n"/>
      <c r="Q56" s="683" t="n"/>
      <c r="R56" s="683" t="n"/>
      <c r="S56" s="683" t="n"/>
      <c r="T56" s="683" t="n"/>
      <c r="U56" s="683" t="n"/>
      <c r="V56" s="683" t="n"/>
      <c r="W56" s="683" t="n"/>
      <c r="X56" s="683" t="n"/>
      <c r="Y56" s="683" t="n"/>
    </row>
    <row r="57">
      <c r="A57" s="683" t="n"/>
      <c r="B57" s="683" t="n"/>
      <c r="C57" s="683" t="n"/>
      <c r="D57" s="683" t="n"/>
      <c r="E57" s="683" t="n"/>
      <c r="F57" s="683" t="n"/>
      <c r="G57" s="683" t="n"/>
      <c r="H57" s="683" t="n"/>
      <c r="I57" s="683" t="n"/>
      <c r="J57" s="683" t="n"/>
      <c r="K57" s="683" t="n"/>
      <c r="L57" s="683" t="n"/>
      <c r="M57" s="683" t="n"/>
      <c r="N57" s="683" t="n"/>
      <c r="O57" s="683" t="n"/>
      <c r="P57" s="683" t="n"/>
      <c r="Q57" s="683" t="n"/>
      <c r="R57" s="683" t="n"/>
      <c r="S57" s="683" t="n"/>
      <c r="T57" s="683" t="n"/>
      <c r="U57" s="683" t="n"/>
      <c r="V57" s="683" t="n"/>
      <c r="W57" s="683" t="n"/>
      <c r="X57" s="683" t="n"/>
      <c r="Y57" s="683" t="n"/>
    </row>
    <row r="58">
      <c r="A58" s="683" t="n"/>
      <c r="B58" s="683" t="n"/>
      <c r="C58" s="683" t="n"/>
      <c r="D58" s="683" t="n"/>
      <c r="E58" s="683" t="n"/>
      <c r="F58" s="683" t="n"/>
      <c r="G58" s="683" t="n"/>
      <c r="H58" s="683" t="n"/>
      <c r="I58" s="683" t="n"/>
      <c r="J58" s="683" t="n"/>
      <c r="K58" s="683" t="n"/>
      <c r="L58" s="683" t="n"/>
      <c r="M58" s="683" t="n"/>
      <c r="N58" s="683" t="n"/>
      <c r="O58" s="683" t="n"/>
      <c r="P58" s="683" t="n"/>
      <c r="Q58" s="683" t="n"/>
      <c r="R58" s="683" t="n"/>
      <c r="S58" s="683" t="n"/>
      <c r="T58" s="683" t="n"/>
      <c r="U58" s="683" t="n"/>
      <c r="V58" s="683" t="n"/>
      <c r="W58" s="683" t="n"/>
      <c r="X58" s="683" t="n"/>
      <c r="Y58" s="683" t="n"/>
    </row>
    <row r="59">
      <c r="A59" s="683" t="n"/>
      <c r="B59" s="683" t="n"/>
      <c r="C59" s="683" t="n"/>
      <c r="D59" s="683" t="n"/>
      <c r="E59" s="683" t="n"/>
      <c r="F59" s="683" t="n"/>
      <c r="G59" s="683" t="n"/>
      <c r="H59" s="683" t="n"/>
      <c r="I59" s="683" t="n"/>
      <c r="J59" s="683" t="n"/>
      <c r="K59" s="683" t="n"/>
      <c r="L59" s="683" t="n"/>
      <c r="M59" s="683" t="n"/>
      <c r="N59" s="683" t="n"/>
      <c r="O59" s="683" t="n"/>
      <c r="P59" s="683" t="n"/>
      <c r="Q59" s="683" t="n"/>
      <c r="R59" s="683" t="n"/>
      <c r="S59" s="683" t="n"/>
      <c r="T59" s="683" t="n"/>
      <c r="U59" s="683" t="n"/>
      <c r="V59" s="683" t="n"/>
      <c r="W59" s="683" t="n"/>
      <c r="X59" s="683" t="n"/>
      <c r="Y59" s="683" t="n"/>
    </row>
    <row r="60">
      <c r="A60" s="683" t="n"/>
      <c r="B60" s="683" t="n"/>
      <c r="C60" s="683" t="n"/>
      <c r="D60" s="683" t="n"/>
      <c r="E60" s="683" t="n"/>
      <c r="F60" s="683" t="n"/>
      <c r="G60" s="683" t="n"/>
      <c r="H60" s="683" t="n"/>
      <c r="I60" s="683" t="n"/>
      <c r="J60" s="683" t="n"/>
      <c r="K60" s="683" t="n"/>
      <c r="L60" s="683" t="n"/>
      <c r="M60" s="683" t="n"/>
      <c r="N60" s="683" t="n"/>
      <c r="O60" s="683" t="n"/>
      <c r="P60" s="683" t="n"/>
      <c r="Q60" s="683" t="n"/>
      <c r="R60" s="683" t="n"/>
      <c r="S60" s="683" t="n"/>
      <c r="T60" s="683" t="n"/>
      <c r="U60" s="683" t="n"/>
      <c r="V60" s="683" t="n"/>
      <c r="W60" s="683" t="n"/>
      <c r="X60" s="683" t="n"/>
      <c r="Y60" s="683" t="n"/>
    </row>
    <row r="61">
      <c r="A61" s="683" t="n"/>
      <c r="B61" s="683" t="n"/>
      <c r="C61" s="683" t="n"/>
      <c r="D61" s="683" t="n"/>
      <c r="E61" s="683" t="n"/>
      <c r="F61" s="683" t="n"/>
      <c r="G61" s="683" t="n"/>
      <c r="H61" s="683" t="n"/>
      <c r="I61" s="683" t="n"/>
      <c r="J61" s="683" t="n"/>
      <c r="K61" s="683" t="n"/>
      <c r="L61" s="683" t="n"/>
      <c r="M61" s="683" t="n"/>
      <c r="N61" s="683" t="n"/>
      <c r="O61" s="683" t="n"/>
      <c r="P61" s="683" t="n"/>
      <c r="Q61" s="683" t="n"/>
      <c r="R61" s="683" t="n"/>
      <c r="S61" s="683" t="n"/>
      <c r="T61" s="683" t="n"/>
      <c r="U61" s="683" t="n"/>
      <c r="V61" s="683" t="n"/>
      <c r="W61" s="683" t="n"/>
      <c r="X61" s="683" t="n"/>
      <c r="Y61" s="683" t="n"/>
    </row>
    <row r="62">
      <c r="A62" s="683" t="n"/>
      <c r="B62" s="683" t="n"/>
      <c r="C62" s="683" t="n"/>
      <c r="D62" s="683" t="n"/>
      <c r="E62" s="683" t="n"/>
      <c r="F62" s="683" t="n"/>
      <c r="G62" s="683" t="n"/>
      <c r="H62" s="683" t="n"/>
      <c r="I62" s="683" t="n"/>
      <c r="J62" s="683" t="n"/>
      <c r="K62" s="683" t="n"/>
      <c r="L62" s="683" t="n"/>
      <c r="M62" s="683" t="n"/>
      <c r="N62" s="683" t="n"/>
      <c r="O62" s="683" t="n"/>
      <c r="P62" s="683" t="n"/>
      <c r="Q62" s="683" t="n"/>
      <c r="R62" s="683" t="n"/>
      <c r="S62" s="683" t="n"/>
      <c r="T62" s="683" t="n"/>
      <c r="U62" s="683" t="n"/>
      <c r="V62" s="683" t="n"/>
      <c r="W62" s="683" t="n"/>
      <c r="X62" s="683" t="n"/>
      <c r="Y62" s="683" t="n"/>
    </row>
    <row r="63">
      <c r="A63" s="683" t="n"/>
      <c r="B63" s="683" t="n"/>
      <c r="C63" s="683" t="n"/>
      <c r="D63" s="683" t="n"/>
      <c r="E63" s="683" t="n"/>
      <c r="F63" s="683" t="n"/>
      <c r="G63" s="683" t="n"/>
      <c r="H63" s="683" t="n"/>
      <c r="I63" s="683" t="n"/>
      <c r="J63" s="683" t="n"/>
      <c r="K63" s="683" t="n"/>
      <c r="L63" s="683" t="n"/>
      <c r="M63" s="683" t="n"/>
      <c r="N63" s="683" t="n"/>
      <c r="O63" s="683" t="n"/>
      <c r="P63" s="683" t="n"/>
      <c r="Q63" s="683" t="n"/>
      <c r="R63" s="683" t="n"/>
      <c r="S63" s="683" t="n"/>
      <c r="T63" s="683" t="n"/>
      <c r="U63" s="683" t="n"/>
      <c r="V63" s="683" t="n"/>
      <c r="W63" s="683" t="n"/>
      <c r="X63" s="683" t="n"/>
      <c r="Y63" s="683" t="n"/>
    </row>
    <row r="64">
      <c r="A64" s="683" t="n"/>
      <c r="B64" s="683" t="n"/>
      <c r="C64" s="683" t="n"/>
      <c r="D64" s="683" t="n"/>
      <c r="E64" s="683" t="n"/>
      <c r="F64" s="683" t="n"/>
      <c r="G64" s="683" t="n"/>
      <c r="H64" s="683" t="n"/>
      <c r="I64" s="683" t="n"/>
      <c r="J64" s="683" t="n"/>
      <c r="K64" s="683" t="n"/>
      <c r="L64" s="683" t="n"/>
      <c r="M64" s="683" t="n"/>
      <c r="N64" s="683" t="n"/>
      <c r="O64" s="683" t="n"/>
      <c r="P64" s="683" t="n"/>
      <c r="Q64" s="683" t="n"/>
      <c r="R64" s="683" t="n"/>
      <c r="S64" s="683" t="n"/>
      <c r="T64" s="683" t="n"/>
      <c r="U64" s="683" t="n"/>
      <c r="V64" s="683" t="n"/>
      <c r="W64" s="683" t="n"/>
      <c r="X64" s="683" t="n"/>
      <c r="Y64" s="683" t="n"/>
    </row>
    <row r="65">
      <c r="A65" s="683" t="n"/>
      <c r="B65" s="683" t="n"/>
      <c r="C65" s="683" t="n"/>
      <c r="D65" s="683" t="n"/>
      <c r="E65" s="683" t="n"/>
      <c r="F65" s="683" t="n"/>
      <c r="G65" s="683" t="n"/>
      <c r="H65" s="683" t="n"/>
      <c r="I65" s="683" t="n"/>
      <c r="J65" s="683" t="n"/>
      <c r="K65" s="683" t="n"/>
      <c r="L65" s="683" t="n"/>
      <c r="M65" s="683" t="n"/>
      <c r="N65" s="683" t="n"/>
      <c r="O65" s="683" t="n"/>
      <c r="P65" s="683" t="n"/>
      <c r="Q65" s="683" t="n"/>
      <c r="R65" s="683" t="n"/>
      <c r="S65" s="683" t="n"/>
      <c r="T65" s="683" t="n"/>
      <c r="U65" s="683" t="n"/>
      <c r="V65" s="683" t="n"/>
      <c r="W65" s="683" t="n"/>
      <c r="X65" s="683" t="n"/>
      <c r="Y65" s="683" t="n"/>
    </row>
    <row r="66">
      <c r="A66" s="683" t="n"/>
      <c r="B66" s="683" t="n"/>
      <c r="C66" s="683" t="n"/>
      <c r="D66" s="683" t="n"/>
      <c r="E66" s="683" t="n"/>
      <c r="F66" s="683" t="n"/>
      <c r="G66" s="683" t="n"/>
      <c r="H66" s="683" t="n"/>
      <c r="I66" s="683" t="n"/>
      <c r="J66" s="683" t="n"/>
      <c r="K66" s="683" t="n"/>
      <c r="L66" s="683" t="n"/>
      <c r="M66" s="683" t="n"/>
      <c r="N66" s="683" t="n"/>
      <c r="O66" s="683" t="n"/>
      <c r="P66" s="683" t="n"/>
      <c r="Q66" s="683" t="n"/>
      <c r="R66" s="683" t="n"/>
      <c r="S66" s="683" t="n"/>
      <c r="T66" s="683" t="n"/>
      <c r="U66" s="683" t="n"/>
      <c r="V66" s="683" t="n"/>
      <c r="W66" s="683" t="n"/>
      <c r="X66" s="683" t="n"/>
      <c r="Y66" s="683" t="n"/>
    </row>
    <row r="67">
      <c r="A67" s="683" t="n"/>
      <c r="B67" s="683" t="n"/>
      <c r="C67" s="683" t="n"/>
      <c r="D67" s="683" t="n"/>
      <c r="E67" s="683" t="n"/>
      <c r="F67" s="683" t="n"/>
      <c r="G67" s="683" t="n"/>
      <c r="H67" s="683" t="n"/>
      <c r="I67" s="683" t="n"/>
      <c r="J67" s="683" t="n"/>
      <c r="K67" s="683" t="n"/>
      <c r="L67" s="683" t="n"/>
      <c r="M67" s="683" t="n"/>
      <c r="N67" s="683" t="n"/>
      <c r="O67" s="683" t="n"/>
      <c r="P67" s="683" t="n"/>
      <c r="Q67" s="683" t="n"/>
      <c r="R67" s="683" t="n"/>
      <c r="S67" s="683" t="n"/>
      <c r="T67" s="683" t="n"/>
      <c r="U67" s="683" t="n"/>
      <c r="V67" s="683" t="n"/>
      <c r="W67" s="683" t="n"/>
      <c r="X67" s="683" t="n"/>
      <c r="Y67" s="683" t="n"/>
    </row>
    <row r="68">
      <c r="A68" s="683" t="n"/>
      <c r="B68" s="683" t="n"/>
      <c r="C68" s="683" t="n"/>
      <c r="D68" s="683" t="n"/>
      <c r="E68" s="683" t="n"/>
      <c r="F68" s="683" t="n"/>
      <c r="G68" s="683" t="n"/>
      <c r="H68" s="683" t="n"/>
      <c r="I68" s="683" t="n"/>
      <c r="J68" s="683" t="n"/>
      <c r="K68" s="683" t="n"/>
      <c r="L68" s="683" t="n"/>
      <c r="M68" s="683" t="n"/>
      <c r="N68" s="683" t="n"/>
      <c r="O68" s="683" t="n"/>
      <c r="P68" s="683" t="n"/>
      <c r="Q68" s="683" t="n"/>
      <c r="R68" s="683" t="n"/>
      <c r="S68" s="683" t="n"/>
      <c r="T68" s="683" t="n"/>
      <c r="U68" s="683" t="n"/>
      <c r="V68" s="683" t="n"/>
      <c r="W68" s="683" t="n"/>
      <c r="X68" s="683" t="n"/>
      <c r="Y68" s="683" t="n"/>
    </row>
    <row r="69">
      <c r="A69" s="683" t="n"/>
      <c r="B69" s="683" t="n"/>
      <c r="C69" s="683" t="n"/>
      <c r="D69" s="683" t="n"/>
      <c r="E69" s="683" t="n"/>
      <c r="F69" s="683" t="n"/>
      <c r="G69" s="683" t="n"/>
      <c r="H69" s="683" t="n"/>
      <c r="I69" s="683" t="n"/>
      <c r="J69" s="683" t="n"/>
      <c r="K69" s="683" t="n"/>
      <c r="L69" s="683" t="n"/>
      <c r="M69" s="683" t="n"/>
      <c r="N69" s="683" t="n"/>
      <c r="O69" s="683" t="n"/>
      <c r="P69" s="683" t="n"/>
      <c r="Q69" s="683" t="n"/>
      <c r="R69" s="683" t="n"/>
      <c r="S69" s="683" t="n"/>
      <c r="T69" s="683" t="n"/>
      <c r="U69" s="683" t="n"/>
      <c r="V69" s="683" t="n"/>
      <c r="W69" s="683" t="n"/>
      <c r="X69" s="683" t="n"/>
      <c r="Y69" s="683" t="n"/>
    </row>
    <row r="70">
      <c r="A70" s="683" t="n"/>
      <c r="B70" s="683" t="n"/>
      <c r="C70" s="683" t="n"/>
      <c r="D70" s="683" t="n"/>
      <c r="E70" s="683" t="n"/>
      <c r="F70" s="683" t="n"/>
      <c r="G70" s="683" t="n"/>
      <c r="H70" s="683" t="n"/>
      <c r="I70" s="683" t="n"/>
      <c r="J70" s="683" t="n"/>
      <c r="K70" s="683" t="n"/>
      <c r="L70" s="683" t="n"/>
      <c r="M70" s="683" t="n"/>
      <c r="N70" s="683" t="n"/>
      <c r="O70" s="683" t="n"/>
      <c r="P70" s="683" t="n"/>
      <c r="Q70" s="683" t="n"/>
      <c r="R70" s="683" t="n"/>
      <c r="S70" s="683" t="n"/>
      <c r="T70" s="683" t="n"/>
      <c r="U70" s="683" t="n"/>
      <c r="V70" s="683" t="n"/>
      <c r="W70" s="683" t="n"/>
      <c r="X70" s="683" t="n"/>
      <c r="Y70" s="683" t="n"/>
    </row>
    <row r="71">
      <c r="A71" s="683" t="n"/>
      <c r="B71" s="683" t="n"/>
      <c r="C71" s="683" t="n"/>
      <c r="D71" s="683" t="n"/>
      <c r="E71" s="683" t="n"/>
      <c r="F71" s="683" t="n"/>
      <c r="G71" s="683" t="n"/>
      <c r="H71" s="683" t="n"/>
      <c r="I71" s="683" t="n"/>
      <c r="J71" s="683" t="n"/>
      <c r="K71" s="683" t="n"/>
      <c r="L71" s="683" t="n"/>
      <c r="M71" s="683" t="n"/>
      <c r="N71" s="683" t="n"/>
      <c r="O71" s="683" t="n"/>
      <c r="P71" s="683" t="n"/>
      <c r="Q71" s="683" t="n"/>
      <c r="R71" s="683" t="n"/>
      <c r="S71" s="683" t="n"/>
      <c r="T71" s="683" t="n"/>
      <c r="U71" s="683" t="n"/>
      <c r="V71" s="683" t="n"/>
      <c r="W71" s="683" t="n"/>
      <c r="X71" s="683" t="n"/>
      <c r="Y71" s="683" t="n"/>
    </row>
    <row r="72">
      <c r="A72" s="683" t="n"/>
      <c r="B72" s="683" t="n"/>
      <c r="C72" s="683" t="n"/>
      <c r="D72" s="683" t="n"/>
      <c r="E72" s="683" t="n"/>
      <c r="F72" s="683" t="n"/>
      <c r="G72" s="683" t="n"/>
      <c r="H72" s="683" t="n"/>
      <c r="I72" s="683" t="n"/>
      <c r="J72" s="683" t="n"/>
      <c r="K72" s="683" t="n"/>
      <c r="L72" s="683" t="n"/>
      <c r="M72" s="683" t="n"/>
      <c r="N72" s="683" t="n"/>
      <c r="O72" s="683" t="n"/>
      <c r="P72" s="683" t="n"/>
      <c r="Q72" s="683" t="n"/>
      <c r="R72" s="683" t="n"/>
      <c r="S72" s="683" t="n"/>
      <c r="T72" s="683" t="n"/>
      <c r="U72" s="683" t="n"/>
      <c r="V72" s="683" t="n"/>
      <c r="W72" s="683" t="n"/>
      <c r="X72" s="683" t="n"/>
      <c r="Y72" s="683" t="n"/>
    </row>
    <row r="73">
      <c r="A73" s="683" t="n"/>
      <c r="B73" s="683" t="n"/>
      <c r="C73" s="683" t="n"/>
      <c r="D73" s="683" t="n"/>
      <c r="E73" s="683" t="n"/>
      <c r="F73" s="683" t="n"/>
      <c r="G73" s="683" t="n"/>
      <c r="H73" s="683" t="n"/>
      <c r="I73" s="683" t="n"/>
      <c r="J73" s="683" t="n"/>
      <c r="K73" s="683" t="n"/>
      <c r="L73" s="683" t="n"/>
      <c r="M73" s="683" t="n"/>
      <c r="N73" s="683" t="n"/>
      <c r="O73" s="683" t="n"/>
      <c r="P73" s="683" t="n"/>
      <c r="Q73" s="683" t="n"/>
      <c r="R73" s="683" t="n"/>
      <c r="S73" s="683" t="n"/>
      <c r="T73" s="683" t="n"/>
      <c r="U73" s="683" t="n"/>
      <c r="V73" s="683" t="n"/>
      <c r="W73" s="683" t="n"/>
      <c r="X73" s="683" t="n"/>
      <c r="Y73" s="683" t="n"/>
    </row>
    <row r="74">
      <c r="A74" s="683" t="n"/>
      <c r="B74" s="683" t="n"/>
      <c r="C74" s="683" t="n"/>
      <c r="D74" s="683" t="n"/>
      <c r="E74" s="683" t="n"/>
      <c r="F74" s="683" t="n"/>
      <c r="G74" s="683" t="n"/>
      <c r="H74" s="683" t="n"/>
      <c r="I74" s="683" t="n"/>
      <c r="J74" s="683" t="n"/>
      <c r="K74" s="683" t="n"/>
      <c r="L74" s="683" t="n"/>
      <c r="M74" s="683" t="n"/>
      <c r="N74" s="683" t="n"/>
      <c r="O74" s="683" t="n"/>
      <c r="P74" s="683" t="n"/>
      <c r="Q74" s="683" t="n"/>
      <c r="R74" s="683" t="n"/>
      <c r="S74" s="683" t="n"/>
      <c r="T74" s="683" t="n"/>
      <c r="U74" s="683" t="n"/>
      <c r="V74" s="683" t="n"/>
      <c r="W74" s="683" t="n"/>
      <c r="X74" s="683" t="n"/>
      <c r="Y74" s="683" t="n"/>
    </row>
    <row r="75">
      <c r="A75" s="683" t="n"/>
      <c r="B75" s="683" t="n"/>
      <c r="C75" s="683" t="n"/>
      <c r="D75" s="683" t="n"/>
      <c r="E75" s="683" t="n"/>
      <c r="F75" s="683" t="n"/>
      <c r="G75" s="683" t="n"/>
      <c r="H75" s="683" t="n"/>
      <c r="I75" s="683" t="n"/>
      <c r="J75" s="683" t="n"/>
      <c r="K75" s="683" t="n"/>
      <c r="L75" s="683" t="n"/>
      <c r="M75" s="683" t="n"/>
      <c r="N75" s="683" t="n"/>
      <c r="O75" s="683" t="n"/>
      <c r="P75" s="683" t="n"/>
      <c r="Q75" s="683" t="n"/>
      <c r="R75" s="683" t="n"/>
      <c r="S75" s="683" t="n"/>
      <c r="T75" s="683" t="n"/>
      <c r="U75" s="683" t="n"/>
      <c r="V75" s="683" t="n"/>
      <c r="W75" s="683" t="n"/>
      <c r="X75" s="683" t="n"/>
      <c r="Y75" s="683" t="n"/>
    </row>
    <row r="76">
      <c r="A76" s="683" t="n"/>
      <c r="B76" s="683" t="n"/>
      <c r="C76" s="683" t="n"/>
      <c r="D76" s="683" t="n"/>
      <c r="E76" s="683" t="n"/>
      <c r="F76" s="683" t="n"/>
      <c r="G76" s="683" t="n"/>
      <c r="H76" s="683" t="n"/>
      <c r="I76" s="683" t="n"/>
      <c r="J76" s="683" t="n"/>
      <c r="K76" s="683" t="n"/>
      <c r="L76" s="683" t="n"/>
      <c r="M76" s="683" t="n"/>
      <c r="N76" s="683" t="n"/>
      <c r="O76" s="683" t="n"/>
      <c r="P76" s="683" t="n"/>
      <c r="Q76" s="683" t="n"/>
      <c r="R76" s="683" t="n"/>
      <c r="S76" s="683" t="n"/>
      <c r="T76" s="683" t="n"/>
      <c r="U76" s="683" t="n"/>
      <c r="V76" s="683" t="n"/>
      <c r="W76" s="683" t="n"/>
      <c r="X76" s="683" t="n"/>
      <c r="Y76" s="683" t="n"/>
    </row>
    <row r="77">
      <c r="A77" s="683" t="n"/>
      <c r="B77" s="683" t="n"/>
      <c r="C77" s="683" t="n"/>
      <c r="D77" s="683" t="n"/>
      <c r="E77" s="683" t="n"/>
      <c r="F77" s="683" t="n"/>
      <c r="G77" s="683" t="n"/>
      <c r="H77" s="683" t="n"/>
      <c r="I77" s="683" t="n"/>
      <c r="J77" s="683" t="n"/>
      <c r="K77" s="683" t="n"/>
      <c r="L77" s="683" t="n"/>
      <c r="M77" s="683" t="n"/>
      <c r="N77" s="683" t="n"/>
      <c r="O77" s="683" t="n"/>
      <c r="P77" s="683" t="n"/>
      <c r="Q77" s="683" t="n"/>
      <c r="R77" s="683" t="n"/>
      <c r="S77" s="683" t="n"/>
      <c r="T77" s="683" t="n"/>
      <c r="U77" s="683" t="n"/>
      <c r="V77" s="683" t="n"/>
      <c r="W77" s="683" t="n"/>
      <c r="X77" s="683" t="n"/>
      <c r="Y77" s="683" t="n"/>
    </row>
    <row r="78">
      <c r="A78" s="683" t="n"/>
      <c r="B78" s="683" t="n"/>
      <c r="C78" s="683" t="n"/>
      <c r="D78" s="683" t="n"/>
      <c r="E78" s="683" t="n"/>
      <c r="F78" s="683" t="n"/>
      <c r="G78" s="683" t="n"/>
      <c r="H78" s="683" t="n"/>
      <c r="I78" s="683" t="n"/>
      <c r="J78" s="683" t="n"/>
      <c r="K78" s="683" t="n"/>
      <c r="L78" s="683" t="n"/>
      <c r="M78" s="683" t="n"/>
      <c r="N78" s="683" t="n"/>
      <c r="O78" s="683" t="n"/>
      <c r="P78" s="683" t="n"/>
      <c r="Q78" s="683" t="n"/>
      <c r="R78" s="683" t="n"/>
      <c r="S78" s="683" t="n"/>
      <c r="T78" s="683" t="n"/>
      <c r="U78" s="683" t="n"/>
      <c r="V78" s="683" t="n"/>
      <c r="W78" s="683" t="n"/>
      <c r="X78" s="683" t="n"/>
      <c r="Y78" s="683" t="n"/>
    </row>
    <row r="79">
      <c r="A79" s="683" t="n"/>
      <c r="B79" s="683" t="n"/>
      <c r="C79" s="683" t="n"/>
      <c r="D79" s="683" t="n"/>
      <c r="E79" s="683" t="n"/>
      <c r="F79" s="683" t="n"/>
      <c r="G79" s="683" t="n"/>
      <c r="H79" s="683" t="n"/>
      <c r="I79" s="683" t="n"/>
      <c r="J79" s="683" t="n"/>
      <c r="K79" s="683" t="n"/>
      <c r="L79" s="683" t="n"/>
      <c r="M79" s="683" t="n"/>
      <c r="N79" s="683" t="n"/>
      <c r="O79" s="683" t="n"/>
      <c r="P79" s="683" t="n"/>
      <c r="Q79" s="683" t="n"/>
      <c r="R79" s="683" t="n"/>
      <c r="S79" s="683" t="n"/>
      <c r="T79" s="683" t="n"/>
      <c r="U79" s="683" t="n"/>
      <c r="V79" s="683" t="n"/>
      <c r="W79" s="683" t="n"/>
      <c r="X79" s="683" t="n"/>
      <c r="Y79" s="683" t="n"/>
    </row>
    <row r="80">
      <c r="A80" s="683" t="n"/>
      <c r="B80" s="683" t="n"/>
      <c r="C80" s="683" t="n"/>
      <c r="D80" s="683" t="n"/>
      <c r="E80" s="683" t="n"/>
      <c r="F80" s="683" t="n"/>
      <c r="G80" s="683" t="n"/>
      <c r="H80" s="683" t="n"/>
      <c r="I80" s="683" t="n"/>
      <c r="J80" s="683" t="n"/>
      <c r="K80" s="683" t="n"/>
      <c r="L80" s="683" t="n"/>
      <c r="M80" s="683" t="n"/>
      <c r="N80" s="683" t="n"/>
      <c r="O80" s="683" t="n"/>
      <c r="P80" s="683" t="n"/>
      <c r="Q80" s="683" t="n"/>
      <c r="R80" s="683" t="n"/>
      <c r="S80" s="683" t="n"/>
      <c r="T80" s="683" t="n"/>
      <c r="U80" s="683" t="n"/>
      <c r="V80" s="683" t="n"/>
      <c r="W80" s="683" t="n"/>
      <c r="X80" s="683" t="n"/>
      <c r="Y80" s="683" t="n"/>
    </row>
    <row r="81">
      <c r="A81" s="683" t="n"/>
      <c r="B81" s="683" t="n"/>
      <c r="C81" s="683" t="n"/>
      <c r="D81" s="683" t="n"/>
      <c r="E81" s="683" t="n"/>
      <c r="F81" s="683" t="n"/>
      <c r="G81" s="683" t="n"/>
      <c r="H81" s="683" t="n"/>
      <c r="I81" s="683" t="n"/>
      <c r="J81" s="683" t="n"/>
      <c r="K81" s="683" t="n"/>
      <c r="L81" s="683" t="n"/>
      <c r="M81" s="683" t="n"/>
      <c r="N81" s="683" t="n"/>
      <c r="O81" s="683" t="n"/>
      <c r="P81" s="683" t="n"/>
      <c r="Q81" s="683" t="n"/>
      <c r="R81" s="683" t="n"/>
      <c r="S81" s="683" t="n"/>
      <c r="T81" s="683" t="n"/>
      <c r="U81" s="683" t="n"/>
      <c r="V81" s="683" t="n"/>
      <c r="W81" s="683" t="n"/>
      <c r="X81" s="683" t="n"/>
      <c r="Y81" s="683" t="n"/>
    </row>
    <row r="82">
      <c r="A82" s="683" t="n"/>
      <c r="B82" s="683" t="n"/>
      <c r="C82" s="683" t="n"/>
      <c r="D82" s="683" t="n"/>
      <c r="E82" s="683" t="n"/>
      <c r="F82" s="683" t="n"/>
      <c r="G82" s="683" t="n"/>
      <c r="H82" s="683" t="n"/>
      <c r="I82" s="683" t="n"/>
      <c r="J82" s="683" t="n"/>
      <c r="K82" s="683" t="n"/>
      <c r="L82" s="683" t="n"/>
      <c r="M82" s="683" t="n"/>
      <c r="N82" s="683" t="n"/>
      <c r="O82" s="683" t="n"/>
      <c r="P82" s="683" t="n"/>
      <c r="Q82" s="683" t="n"/>
      <c r="R82" s="683" t="n"/>
      <c r="S82" s="683" t="n"/>
      <c r="T82" s="683" t="n"/>
      <c r="U82" s="683" t="n"/>
      <c r="V82" s="683" t="n"/>
      <c r="W82" s="683" t="n"/>
      <c r="X82" s="683" t="n"/>
      <c r="Y82" s="683" t="n"/>
    </row>
    <row r="83">
      <c r="A83" s="683" t="n"/>
      <c r="B83" s="683" t="n"/>
      <c r="C83" s="683" t="n"/>
      <c r="D83" s="683" t="n"/>
      <c r="E83" s="683" t="n"/>
      <c r="F83" s="683" t="n"/>
      <c r="G83" s="683" t="n"/>
      <c r="H83" s="683" t="n"/>
      <c r="I83" s="683" t="n"/>
      <c r="J83" s="683" t="n"/>
      <c r="K83" s="683" t="n"/>
      <c r="L83" s="683" t="n"/>
      <c r="M83" s="683" t="n"/>
      <c r="N83" s="683" t="n"/>
      <c r="O83" s="683" t="n"/>
      <c r="P83" s="683" t="n"/>
      <c r="Q83" s="683" t="n"/>
      <c r="R83" s="683" t="n"/>
      <c r="S83" s="683" t="n"/>
      <c r="T83" s="683" t="n"/>
      <c r="U83" s="683" t="n"/>
      <c r="V83" s="683" t="n"/>
      <c r="W83" s="683" t="n"/>
      <c r="X83" s="683" t="n"/>
      <c r="Y83" s="683" t="n"/>
    </row>
    <row r="84">
      <c r="A84" s="683" t="n"/>
      <c r="B84" s="683" t="n"/>
      <c r="C84" s="683" t="n"/>
      <c r="D84" s="683" t="n"/>
      <c r="E84" s="683" t="n"/>
      <c r="F84" s="683" t="n"/>
      <c r="G84" s="683" t="n"/>
      <c r="H84" s="683" t="n"/>
      <c r="I84" s="683" t="n"/>
      <c r="J84" s="683" t="n"/>
      <c r="K84" s="683" t="n"/>
      <c r="L84" s="683" t="n"/>
      <c r="M84" s="683" t="n"/>
      <c r="N84" s="683" t="n"/>
      <c r="O84" s="683" t="n"/>
      <c r="P84" s="683" t="n"/>
      <c r="Q84" s="683" t="n"/>
      <c r="R84" s="683" t="n"/>
      <c r="S84" s="683" t="n"/>
      <c r="T84" s="683" t="n"/>
      <c r="U84" s="683" t="n"/>
      <c r="V84" s="683" t="n"/>
      <c r="W84" s="683" t="n"/>
      <c r="X84" s="683" t="n"/>
      <c r="Y84" s="683" t="n"/>
    </row>
    <row r="85">
      <c r="A85" s="683" t="n"/>
      <c r="B85" s="683" t="n"/>
      <c r="C85" s="683" t="n"/>
      <c r="D85" s="683" t="n"/>
      <c r="E85" s="683" t="n"/>
      <c r="F85" s="683" t="n"/>
      <c r="G85" s="683" t="n"/>
      <c r="H85" s="683" t="n"/>
      <c r="I85" s="683" t="n"/>
      <c r="J85" s="683" t="n"/>
      <c r="K85" s="683" t="n"/>
      <c r="L85" s="683" t="n"/>
      <c r="M85" s="683" t="n"/>
      <c r="N85" s="683" t="n"/>
      <c r="O85" s="683" t="n"/>
      <c r="P85" s="683" t="n"/>
      <c r="Q85" s="683" t="n"/>
      <c r="R85" s="683" t="n"/>
      <c r="S85" s="683" t="n"/>
      <c r="T85" s="683" t="n"/>
      <c r="U85" s="683" t="n"/>
      <c r="V85" s="683" t="n"/>
      <c r="W85" s="683" t="n"/>
      <c r="X85" s="683" t="n"/>
      <c r="Y85" s="683" t="n"/>
    </row>
    <row r="86">
      <c r="A86" s="683" t="n"/>
      <c r="B86" s="683" t="n"/>
      <c r="C86" s="683" t="n"/>
      <c r="D86" s="683" t="n"/>
      <c r="E86" s="683" t="n"/>
      <c r="F86" s="683" t="n"/>
      <c r="G86" s="683" t="n"/>
      <c r="H86" s="683" t="n"/>
      <c r="I86" s="683" t="n"/>
      <c r="J86" s="683" t="n"/>
      <c r="K86" s="683" t="n"/>
      <c r="L86" s="683" t="n"/>
      <c r="M86" s="683" t="n"/>
      <c r="N86" s="683" t="n"/>
      <c r="O86" s="683" t="n"/>
      <c r="P86" s="683" t="n"/>
      <c r="Q86" s="683" t="n"/>
      <c r="R86" s="683" t="n"/>
      <c r="S86" s="683" t="n"/>
      <c r="T86" s="683" t="n"/>
      <c r="U86" s="683" t="n"/>
      <c r="V86" s="683" t="n"/>
      <c r="W86" s="683" t="n"/>
      <c r="X86" s="683" t="n"/>
      <c r="Y86" s="683" t="n"/>
    </row>
    <row r="87">
      <c r="A87" s="683" t="n"/>
      <c r="B87" s="683" t="n"/>
      <c r="C87" s="683" t="n"/>
      <c r="D87" s="683" t="n"/>
      <c r="E87" s="683" t="n"/>
      <c r="F87" s="683" t="n"/>
      <c r="G87" s="683" t="n"/>
      <c r="H87" s="683" t="n"/>
      <c r="I87" s="683" t="n"/>
      <c r="J87" s="683" t="n"/>
      <c r="K87" s="683" t="n"/>
      <c r="L87" s="683" t="n"/>
      <c r="M87" s="683" t="n"/>
      <c r="N87" s="683" t="n"/>
      <c r="O87" s="683" t="n"/>
      <c r="P87" s="683" t="n"/>
      <c r="Q87" s="683" t="n"/>
      <c r="R87" s="683" t="n"/>
      <c r="S87" s="683" t="n"/>
      <c r="T87" s="683" t="n"/>
      <c r="U87" s="683" t="n"/>
      <c r="V87" s="683" t="n"/>
      <c r="W87" s="683" t="n"/>
      <c r="X87" s="683" t="n"/>
      <c r="Y87" s="683" t="n"/>
    </row>
    <row r="88">
      <c r="A88" s="683" t="n"/>
      <c r="B88" s="683" t="n"/>
      <c r="C88" s="683" t="n"/>
      <c r="D88" s="683" t="n"/>
      <c r="E88" s="683" t="n"/>
      <c r="F88" s="683" t="n"/>
      <c r="G88" s="683" t="n"/>
      <c r="H88" s="683" t="n"/>
      <c r="I88" s="683" t="n"/>
      <c r="J88" s="683" t="n"/>
      <c r="K88" s="683" t="n"/>
      <c r="L88" s="683" t="n"/>
      <c r="M88" s="683" t="n"/>
      <c r="N88" s="683" t="n"/>
      <c r="O88" s="683" t="n"/>
      <c r="P88" s="683" t="n"/>
      <c r="Q88" s="683" t="n"/>
      <c r="R88" s="683" t="n"/>
      <c r="S88" s="683" t="n"/>
      <c r="T88" s="683" t="n"/>
      <c r="U88" s="683" t="n"/>
      <c r="V88" s="683" t="n"/>
      <c r="W88" s="683" t="n"/>
      <c r="X88" s="683" t="n"/>
      <c r="Y88" s="683" t="n"/>
    </row>
    <row r="89">
      <c r="A89" s="683" t="n"/>
      <c r="B89" s="683" t="n"/>
      <c r="C89" s="683" t="n"/>
      <c r="D89" s="683" t="n"/>
      <c r="E89" s="683" t="n"/>
      <c r="F89" s="683" t="n"/>
      <c r="G89" s="683" t="n"/>
      <c r="H89" s="683" t="n"/>
      <c r="I89" s="683" t="n"/>
      <c r="J89" s="683" t="n"/>
      <c r="K89" s="683" t="n"/>
      <c r="L89" s="683" t="n"/>
      <c r="M89" s="683" t="n"/>
      <c r="N89" s="683" t="n"/>
      <c r="O89" s="683" t="n"/>
      <c r="P89" s="683" t="n"/>
      <c r="Q89" s="683" t="n"/>
      <c r="R89" s="683" t="n"/>
      <c r="S89" s="683" t="n"/>
      <c r="T89" s="683" t="n"/>
      <c r="U89" s="683" t="n"/>
      <c r="V89" s="683" t="n"/>
      <c r="W89" s="683" t="n"/>
      <c r="X89" s="683" t="n"/>
      <c r="Y89" s="683" t="n"/>
    </row>
    <row r="90">
      <c r="A90" s="683" t="n"/>
      <c r="B90" s="683" t="n"/>
      <c r="C90" s="683" t="n"/>
      <c r="D90" s="683" t="n"/>
      <c r="E90" s="683" t="n"/>
      <c r="F90" s="683" t="n"/>
      <c r="G90" s="683" t="n"/>
      <c r="H90" s="683" t="n"/>
      <c r="I90" s="683" t="n"/>
      <c r="J90" s="683" t="n"/>
      <c r="K90" s="683" t="n"/>
      <c r="L90" s="683" t="n"/>
      <c r="M90" s="683" t="n"/>
      <c r="N90" s="683" t="n"/>
      <c r="O90" s="683" t="n"/>
      <c r="P90" s="683" t="n"/>
      <c r="Q90" s="683" t="n"/>
      <c r="R90" s="683" t="n"/>
      <c r="S90" s="683" t="n"/>
      <c r="T90" s="683" t="n"/>
      <c r="U90" s="683" t="n"/>
      <c r="V90" s="683" t="n"/>
      <c r="W90" s="683" t="n"/>
      <c r="X90" s="683" t="n"/>
      <c r="Y90" s="683" t="n"/>
    </row>
    <row r="91">
      <c r="A91" s="683" t="n"/>
      <c r="B91" s="683" t="n"/>
      <c r="C91" s="683" t="n"/>
      <c r="D91" s="683" t="n"/>
      <c r="E91" s="683" t="n"/>
      <c r="F91" s="683" t="n"/>
      <c r="G91" s="683" t="n"/>
      <c r="H91" s="683" t="n"/>
      <c r="I91" s="683" t="n"/>
      <c r="J91" s="683" t="n"/>
      <c r="K91" s="683" t="n"/>
      <c r="L91" s="683" t="n"/>
      <c r="M91" s="683" t="n"/>
      <c r="N91" s="683" t="n"/>
      <c r="O91" s="683" t="n"/>
      <c r="P91" s="683" t="n"/>
      <c r="Q91" s="683" t="n"/>
      <c r="R91" s="683" t="n"/>
      <c r="S91" s="683" t="n"/>
      <c r="T91" s="683" t="n"/>
      <c r="U91" s="683" t="n"/>
      <c r="V91" s="683" t="n"/>
      <c r="W91" s="683" t="n"/>
      <c r="X91" s="683" t="n"/>
      <c r="Y91" s="683" t="n"/>
    </row>
    <row r="92">
      <c r="A92" s="683" t="n"/>
      <c r="B92" s="683" t="n"/>
      <c r="C92" s="683" t="n"/>
      <c r="D92" s="683" t="n"/>
      <c r="E92" s="683" t="n"/>
      <c r="F92" s="683" t="n"/>
      <c r="G92" s="683" t="n"/>
      <c r="H92" s="683" t="n"/>
      <c r="I92" s="683" t="n"/>
      <c r="J92" s="683" t="n"/>
      <c r="K92" s="683" t="n"/>
      <c r="L92" s="683" t="n"/>
      <c r="M92" s="683" t="n"/>
      <c r="N92" s="683" t="n"/>
      <c r="O92" s="683" t="n"/>
      <c r="P92" s="683" t="n"/>
      <c r="Q92" s="683" t="n"/>
      <c r="R92" s="683" t="n"/>
      <c r="S92" s="683" t="n"/>
      <c r="T92" s="683" t="n"/>
      <c r="U92" s="683" t="n"/>
      <c r="V92" s="683" t="n"/>
      <c r="W92" s="683" t="n"/>
      <c r="X92" s="683" t="n"/>
      <c r="Y92" s="683" t="n"/>
    </row>
    <row r="93">
      <c r="A93" s="683" t="n"/>
      <c r="B93" s="683" t="n"/>
      <c r="C93" s="683" t="n"/>
      <c r="D93" s="683" t="n"/>
      <c r="E93" s="683" t="n"/>
      <c r="F93" s="683" t="n"/>
      <c r="G93" s="683" t="n"/>
      <c r="H93" s="683" t="n"/>
      <c r="I93" s="683" t="n"/>
      <c r="J93" s="683" t="n"/>
      <c r="K93" s="683" t="n"/>
      <c r="L93" s="683" t="n"/>
      <c r="M93" s="683" t="n"/>
      <c r="N93" s="683" t="n"/>
      <c r="O93" s="683" t="n"/>
      <c r="P93" s="683" t="n"/>
      <c r="Q93" s="683" t="n"/>
      <c r="R93" s="683" t="n"/>
      <c r="S93" s="683" t="n"/>
      <c r="T93" s="683" t="n"/>
      <c r="U93" s="683" t="n"/>
      <c r="V93" s="683" t="n"/>
      <c r="W93" s="683" t="n"/>
      <c r="X93" s="683" t="n"/>
      <c r="Y93" s="683" t="n"/>
    </row>
    <row r="94">
      <c r="A94" s="683" t="n"/>
      <c r="B94" s="683" t="n"/>
      <c r="C94" s="683" t="n"/>
      <c r="D94" s="683" t="n"/>
      <c r="E94" s="683" t="n"/>
      <c r="F94" s="683" t="n"/>
      <c r="G94" s="683" t="n"/>
      <c r="H94" s="683" t="n"/>
      <c r="I94" s="683" t="n"/>
      <c r="J94" s="683" t="n"/>
      <c r="K94" s="683" t="n"/>
      <c r="L94" s="683" t="n"/>
      <c r="M94" s="683" t="n"/>
      <c r="N94" s="683" t="n"/>
      <c r="O94" s="683" t="n"/>
      <c r="P94" s="683" t="n"/>
      <c r="Q94" s="683" t="n"/>
      <c r="R94" s="683" t="n"/>
      <c r="S94" s="683" t="n"/>
      <c r="T94" s="683" t="n"/>
      <c r="U94" s="683" t="n"/>
      <c r="V94" s="683" t="n"/>
      <c r="W94" s="683" t="n"/>
      <c r="X94" s="683" t="n"/>
      <c r="Y94" s="683" t="n"/>
    </row>
    <row r="95">
      <c r="A95" s="683" t="n"/>
      <c r="B95" s="683" t="n"/>
      <c r="C95" s="683" t="n"/>
      <c r="D95" s="683" t="n"/>
      <c r="E95" s="683" t="n"/>
      <c r="F95" s="683" t="n"/>
      <c r="G95" s="683" t="n"/>
      <c r="H95" s="683" t="n"/>
      <c r="I95" s="683" t="n"/>
      <c r="J95" s="683" t="n"/>
      <c r="K95" s="683" t="n"/>
      <c r="L95" s="683" t="n"/>
      <c r="M95" s="683" t="n"/>
      <c r="N95" s="683" t="n"/>
      <c r="O95" s="683" t="n"/>
      <c r="P95" s="683" t="n"/>
      <c r="Q95" s="683" t="n"/>
      <c r="R95" s="683" t="n"/>
      <c r="S95" s="683" t="n"/>
      <c r="T95" s="683" t="n"/>
      <c r="U95" s="683" t="n"/>
      <c r="V95" s="683" t="n"/>
      <c r="W95" s="683" t="n"/>
      <c r="X95" s="683" t="n"/>
      <c r="Y95" s="683" t="n"/>
    </row>
    <row r="96">
      <c r="A96" s="683" t="n"/>
      <c r="B96" s="683" t="n"/>
      <c r="C96" s="683" t="n"/>
      <c r="D96" s="683" t="n"/>
      <c r="E96" s="683" t="n"/>
      <c r="F96" s="683" t="n"/>
      <c r="G96" s="683" t="n"/>
      <c r="H96" s="683" t="n"/>
      <c r="I96" s="683" t="n"/>
      <c r="J96" s="683" t="n"/>
      <c r="K96" s="683" t="n"/>
      <c r="L96" s="683" t="n"/>
      <c r="M96" s="683" t="n"/>
      <c r="N96" s="683" t="n"/>
      <c r="O96" s="683" t="n"/>
      <c r="P96" s="683" t="n"/>
      <c r="Q96" s="683" t="n"/>
      <c r="R96" s="683" t="n"/>
      <c r="S96" s="683" t="n"/>
      <c r="T96" s="683" t="n"/>
      <c r="U96" s="683" t="n"/>
      <c r="V96" s="683" t="n"/>
      <c r="W96" s="683" t="n"/>
      <c r="X96" s="683" t="n"/>
      <c r="Y96" s="683" t="n"/>
    </row>
    <row r="97">
      <c r="A97" s="683" t="n"/>
      <c r="B97" s="683" t="n"/>
      <c r="C97" s="683" t="n"/>
      <c r="D97" s="683" t="n"/>
      <c r="E97" s="683" t="n"/>
      <c r="F97" s="683" t="n"/>
      <c r="G97" s="683" t="n"/>
      <c r="H97" s="683" t="n"/>
      <c r="I97" s="683" t="n"/>
      <c r="J97" s="683" t="n"/>
      <c r="K97" s="683" t="n"/>
      <c r="L97" s="683" t="n"/>
      <c r="M97" s="683" t="n"/>
      <c r="N97" s="683" t="n"/>
      <c r="O97" s="683" t="n"/>
      <c r="P97" s="683" t="n"/>
      <c r="Q97" s="683" t="n"/>
      <c r="R97" s="683" t="n"/>
      <c r="S97" s="683" t="n"/>
      <c r="T97" s="683" t="n"/>
      <c r="U97" s="683" t="n"/>
      <c r="V97" s="683" t="n"/>
      <c r="W97" s="683" t="n"/>
      <c r="X97" s="683" t="n"/>
      <c r="Y97" s="683" t="n"/>
    </row>
    <row r="98">
      <c r="A98" s="683" t="n"/>
      <c r="B98" s="683" t="n"/>
      <c r="C98" s="683" t="n"/>
      <c r="D98" s="683" t="n"/>
      <c r="E98" s="683" t="n"/>
      <c r="F98" s="683" t="n"/>
      <c r="G98" s="683" t="n"/>
      <c r="H98" s="683" t="n"/>
      <c r="I98" s="683" t="n"/>
      <c r="J98" s="683" t="n"/>
      <c r="K98" s="683" t="n"/>
      <c r="L98" s="683" t="n"/>
      <c r="M98" s="683" t="n"/>
      <c r="N98" s="683" t="n"/>
      <c r="O98" s="683" t="n"/>
      <c r="P98" s="683" t="n"/>
      <c r="Q98" s="683" t="n"/>
      <c r="R98" s="683" t="n"/>
      <c r="S98" s="683" t="n"/>
      <c r="T98" s="683" t="n"/>
      <c r="U98" s="683" t="n"/>
      <c r="V98" s="683" t="n"/>
      <c r="W98" s="683" t="n"/>
      <c r="X98" s="683" t="n"/>
      <c r="Y98" s="683" t="n"/>
    </row>
    <row r="99">
      <c r="A99" s="683" t="n"/>
      <c r="B99" s="683" t="n"/>
      <c r="C99" s="683" t="n"/>
      <c r="D99" s="683" t="n"/>
      <c r="E99" s="683" t="n"/>
      <c r="F99" s="683" t="n"/>
      <c r="G99" s="683" t="n"/>
      <c r="H99" s="683" t="n"/>
      <c r="I99" s="683" t="n"/>
      <c r="J99" s="683" t="n"/>
      <c r="K99" s="683" t="n"/>
      <c r="L99" s="683" t="n"/>
      <c r="M99" s="683" t="n"/>
      <c r="N99" s="683" t="n"/>
      <c r="O99" s="683" t="n"/>
      <c r="P99" s="683" t="n"/>
      <c r="Q99" s="683" t="n"/>
      <c r="R99" s="683" t="n"/>
      <c r="S99" s="683" t="n"/>
      <c r="T99" s="683" t="n"/>
      <c r="U99" s="683" t="n"/>
      <c r="V99" s="683" t="n"/>
      <c r="W99" s="683" t="n"/>
      <c r="X99" s="683" t="n"/>
      <c r="Y99" s="683" t="n"/>
    </row>
    <row r="100">
      <c r="A100" s="683" t="n"/>
      <c r="B100" s="683" t="n"/>
      <c r="C100" s="683" t="n"/>
      <c r="D100" s="683" t="n"/>
      <c r="E100" s="683" t="n"/>
      <c r="F100" s="683" t="n"/>
      <c r="G100" s="683" t="n"/>
      <c r="H100" s="683" t="n"/>
      <c r="I100" s="683" t="n"/>
      <c r="J100" s="683" t="n"/>
      <c r="K100" s="683" t="n"/>
      <c r="L100" s="683" t="n"/>
      <c r="M100" s="683" t="n"/>
      <c r="N100" s="683" t="n"/>
      <c r="O100" s="683" t="n"/>
      <c r="P100" s="683" t="n"/>
      <c r="Q100" s="683" t="n"/>
      <c r="R100" s="683" t="n"/>
      <c r="S100" s="683" t="n"/>
      <c r="T100" s="683" t="n"/>
      <c r="U100" s="683" t="n"/>
      <c r="V100" s="683" t="n"/>
      <c r="W100" s="683" t="n"/>
      <c r="X100" s="683" t="n"/>
      <c r="Y100" s="683" t="n"/>
    </row>
    <row r="101">
      <c r="A101" s="683" t="n"/>
      <c r="B101" s="683" t="n"/>
      <c r="C101" s="683" t="n"/>
      <c r="D101" s="683" t="n"/>
      <c r="E101" s="683" t="n"/>
      <c r="F101" s="683" t="n"/>
      <c r="G101" s="683" t="n"/>
      <c r="H101" s="683" t="n"/>
      <c r="I101" s="683" t="n"/>
      <c r="J101" s="683" t="n"/>
      <c r="K101" s="683" t="n"/>
      <c r="L101" s="683" t="n"/>
      <c r="M101" s="683" t="n"/>
      <c r="N101" s="683" t="n"/>
      <c r="O101" s="683" t="n"/>
      <c r="P101" s="683" t="n"/>
      <c r="Q101" s="683" t="n"/>
      <c r="R101" s="683" t="n"/>
      <c r="S101" s="683" t="n"/>
      <c r="T101" s="683" t="n"/>
      <c r="U101" s="683" t="n"/>
      <c r="V101" s="683" t="n"/>
      <c r="W101" s="683" t="n"/>
      <c r="X101" s="683" t="n"/>
      <c r="Y101" s="683" t="n"/>
    </row>
    <row r="102">
      <c r="A102" s="683" t="n"/>
      <c r="B102" s="683" t="n"/>
      <c r="C102" s="683" t="n"/>
      <c r="D102" s="683" t="n"/>
      <c r="E102" s="683" t="n"/>
      <c r="F102" s="683" t="n"/>
      <c r="G102" s="683" t="n"/>
      <c r="H102" s="683" t="n"/>
      <c r="I102" s="683" t="n"/>
      <c r="J102" s="683" t="n"/>
      <c r="K102" s="683" t="n"/>
      <c r="L102" s="683" t="n"/>
      <c r="M102" s="683" t="n"/>
      <c r="N102" s="683" t="n"/>
      <c r="O102" s="683" t="n"/>
      <c r="P102" s="683" t="n"/>
      <c r="Q102" s="683" t="n"/>
      <c r="R102" s="683" t="n"/>
      <c r="S102" s="683" t="n"/>
      <c r="T102" s="683" t="n"/>
      <c r="U102" s="683" t="n"/>
      <c r="V102" s="683" t="n"/>
      <c r="W102" s="683" t="n"/>
      <c r="X102" s="683" t="n"/>
      <c r="Y102" s="683" t="n"/>
    </row>
    <row r="103">
      <c r="A103" s="683" t="n"/>
      <c r="B103" s="683" t="n"/>
      <c r="C103" s="683" t="n"/>
      <c r="D103" s="683" t="n"/>
      <c r="E103" s="683" t="n"/>
      <c r="F103" s="683" t="n"/>
      <c r="G103" s="683" t="n"/>
      <c r="H103" s="683" t="n"/>
      <c r="I103" s="683" t="n"/>
      <c r="J103" s="683" t="n"/>
      <c r="K103" s="683" t="n"/>
      <c r="L103" s="683" t="n"/>
      <c r="M103" s="683" t="n"/>
      <c r="N103" s="683" t="n"/>
      <c r="O103" s="683" t="n"/>
      <c r="P103" s="683" t="n"/>
      <c r="Q103" s="683" t="n"/>
      <c r="R103" s="683" t="n"/>
      <c r="S103" s="683" t="n"/>
      <c r="T103" s="683" t="n"/>
      <c r="U103" s="683" t="n"/>
      <c r="V103" s="683" t="n"/>
      <c r="W103" s="683" t="n"/>
      <c r="X103" s="683" t="n"/>
      <c r="Y103" s="683" t="n"/>
    </row>
    <row r="104">
      <c r="A104" s="683" t="n"/>
      <c r="B104" s="683" t="n"/>
      <c r="C104" s="683" t="n"/>
      <c r="D104" s="683" t="n"/>
      <c r="E104" s="683" t="n"/>
      <c r="F104" s="683" t="n"/>
      <c r="G104" s="683" t="n"/>
      <c r="H104" s="683" t="n"/>
      <c r="I104" s="683" t="n"/>
      <c r="J104" s="683" t="n"/>
      <c r="K104" s="683" t="n"/>
      <c r="L104" s="683" t="n"/>
      <c r="M104" s="683" t="n"/>
      <c r="N104" s="683" t="n"/>
      <c r="O104" s="683" t="n"/>
      <c r="P104" s="683" t="n"/>
      <c r="Q104" s="683" t="n"/>
      <c r="R104" s="683" t="n"/>
      <c r="S104" s="683" t="n"/>
      <c r="T104" s="683" t="n"/>
      <c r="U104" s="683" t="n"/>
      <c r="V104" s="683" t="n"/>
      <c r="W104" s="683" t="n"/>
      <c r="X104" s="683" t="n"/>
      <c r="Y104" s="683" t="n"/>
    </row>
    <row r="105">
      <c r="A105" s="683" t="n"/>
      <c r="B105" s="683" t="n"/>
      <c r="C105" s="683" t="n"/>
      <c r="D105" s="683" t="n"/>
      <c r="E105" s="683" t="n"/>
      <c r="F105" s="683" t="n"/>
      <c r="G105" s="683" t="n"/>
      <c r="H105" s="683" t="n"/>
      <c r="I105" s="683" t="n"/>
      <c r="J105" s="683" t="n"/>
      <c r="K105" s="683" t="n"/>
      <c r="L105" s="683" t="n"/>
      <c r="M105" s="683" t="n"/>
      <c r="N105" s="683" t="n"/>
      <c r="O105" s="683" t="n"/>
      <c r="P105" s="683" t="n"/>
      <c r="Q105" s="683" t="n"/>
      <c r="R105" s="683" t="n"/>
      <c r="S105" s="683" t="n"/>
      <c r="T105" s="683" t="n"/>
      <c r="U105" s="683" t="n"/>
      <c r="V105" s="683" t="n"/>
      <c r="W105" s="683" t="n"/>
      <c r="X105" s="683" t="n"/>
      <c r="Y105" s="683" t="n"/>
    </row>
    <row r="106">
      <c r="A106" s="683" t="n"/>
      <c r="B106" s="683" t="n"/>
      <c r="C106" s="683" t="n"/>
      <c r="D106" s="683" t="n"/>
      <c r="E106" s="683" t="n"/>
      <c r="F106" s="683" t="n"/>
      <c r="G106" s="683" t="n"/>
      <c r="H106" s="683" t="n"/>
      <c r="I106" s="683" t="n"/>
      <c r="J106" s="683" t="n"/>
      <c r="K106" s="683" t="n"/>
      <c r="L106" s="683" t="n"/>
      <c r="M106" s="683" t="n"/>
      <c r="N106" s="683" t="n"/>
      <c r="O106" s="683" t="n"/>
      <c r="P106" s="683" t="n"/>
      <c r="Q106" s="683" t="n"/>
      <c r="R106" s="683" t="n"/>
      <c r="S106" s="683" t="n"/>
      <c r="T106" s="683" t="n"/>
      <c r="U106" s="683" t="n"/>
      <c r="V106" s="683" t="n"/>
      <c r="W106" s="683" t="n"/>
      <c r="X106" s="683" t="n"/>
      <c r="Y106" s="683" t="n"/>
    </row>
    <row r="107">
      <c r="A107" s="683" t="n"/>
      <c r="B107" s="683" t="n"/>
      <c r="C107" s="683" t="n"/>
      <c r="D107" s="683" t="n"/>
      <c r="E107" s="683" t="n"/>
      <c r="F107" s="683" t="n"/>
      <c r="G107" s="683" t="n"/>
      <c r="H107" s="683" t="n"/>
      <c r="I107" s="683" t="n"/>
      <c r="J107" s="683" t="n"/>
      <c r="K107" s="683" t="n"/>
      <c r="L107" s="683" t="n"/>
      <c r="M107" s="683" t="n"/>
      <c r="N107" s="683" t="n"/>
      <c r="O107" s="683" t="n"/>
      <c r="P107" s="683" t="n"/>
      <c r="Q107" s="683" t="n"/>
      <c r="R107" s="683" t="n"/>
      <c r="S107" s="683" t="n"/>
      <c r="T107" s="683" t="n"/>
      <c r="U107" s="683" t="n"/>
      <c r="V107" s="683" t="n"/>
      <c r="W107" s="683" t="n"/>
      <c r="X107" s="683" t="n"/>
      <c r="Y107" s="683" t="n"/>
    </row>
    <row r="108">
      <c r="A108" s="683" t="n"/>
      <c r="B108" s="683" t="n"/>
      <c r="C108" s="683" t="n"/>
      <c r="D108" s="683" t="n"/>
      <c r="E108" s="683" t="n"/>
      <c r="F108" s="683" t="n"/>
      <c r="G108" s="683" t="n"/>
      <c r="H108" s="683" t="n"/>
      <c r="I108" s="683" t="n"/>
      <c r="J108" s="683" t="n"/>
      <c r="K108" s="683" t="n"/>
      <c r="L108" s="683" t="n"/>
      <c r="M108" s="683" t="n"/>
      <c r="N108" s="683" t="n"/>
      <c r="O108" s="683" t="n"/>
      <c r="P108" s="683" t="n"/>
      <c r="Q108" s="683" t="n"/>
      <c r="R108" s="683" t="n"/>
      <c r="S108" s="683" t="n"/>
      <c r="T108" s="683" t="n"/>
      <c r="U108" s="683" t="n"/>
      <c r="V108" s="683" t="n"/>
      <c r="W108" s="683" t="n"/>
      <c r="X108" s="683" t="n"/>
      <c r="Y108" s="683" t="n"/>
    </row>
    <row r="109">
      <c r="A109" s="683" t="n"/>
      <c r="B109" s="683" t="n"/>
      <c r="C109" s="683" t="n"/>
      <c r="D109" s="683" t="n"/>
      <c r="E109" s="683" t="n"/>
      <c r="F109" s="683" t="n"/>
      <c r="G109" s="683" t="n"/>
      <c r="H109" s="683" t="n"/>
      <c r="I109" s="683" t="n"/>
      <c r="J109" s="683" t="n"/>
      <c r="K109" s="683" t="n"/>
      <c r="L109" s="683" t="n"/>
      <c r="M109" s="683" t="n"/>
      <c r="N109" s="683" t="n"/>
      <c r="O109" s="683" t="n"/>
      <c r="P109" s="683" t="n"/>
      <c r="Q109" s="683" t="n"/>
      <c r="R109" s="683" t="n"/>
      <c r="S109" s="683" t="n"/>
      <c r="T109" s="683" t="n"/>
      <c r="U109" s="683" t="n"/>
      <c r="V109" s="683" t="n"/>
      <c r="W109" s="683" t="n"/>
      <c r="X109" s="683" t="n"/>
      <c r="Y109" s="683" t="n"/>
    </row>
    <row r="110">
      <c r="A110" s="683" t="n"/>
      <c r="B110" s="683" t="n"/>
      <c r="C110" s="683" t="n"/>
      <c r="D110" s="683" t="n"/>
      <c r="E110" s="683" t="n"/>
      <c r="F110" s="683" t="n"/>
      <c r="G110" s="683" t="n"/>
      <c r="H110" s="683" t="n"/>
      <c r="I110" s="683" t="n"/>
      <c r="J110" s="683" t="n"/>
      <c r="K110" s="683" t="n"/>
      <c r="L110" s="683" t="n"/>
      <c r="M110" s="683" t="n"/>
      <c r="N110" s="683" t="n"/>
      <c r="O110" s="683" t="n"/>
      <c r="P110" s="683" t="n"/>
      <c r="Q110" s="683" t="n"/>
      <c r="R110" s="683" t="n"/>
      <c r="S110" s="683" t="n"/>
      <c r="T110" s="683" t="n"/>
      <c r="U110" s="683" t="n"/>
      <c r="V110" s="683" t="n"/>
      <c r="W110" s="683" t="n"/>
      <c r="X110" s="683" t="n"/>
      <c r="Y110" s="683" t="n"/>
    </row>
    <row r="111">
      <c r="A111" s="683" t="n"/>
      <c r="B111" s="683" t="n"/>
      <c r="C111" s="683" t="n"/>
      <c r="D111" s="683" t="n"/>
      <c r="E111" s="683" t="n"/>
      <c r="F111" s="683" t="n"/>
      <c r="G111" s="683" t="n"/>
      <c r="H111" s="683" t="n"/>
      <c r="I111" s="683" t="n"/>
      <c r="J111" s="683" t="n"/>
      <c r="K111" s="683" t="n"/>
      <c r="L111" s="683" t="n"/>
      <c r="M111" s="683" t="n"/>
      <c r="N111" s="683" t="n"/>
      <c r="O111" s="683" t="n"/>
      <c r="P111" s="683" t="n"/>
      <c r="Q111" s="683" t="n"/>
      <c r="R111" s="683" t="n"/>
      <c r="S111" s="683" t="n"/>
      <c r="T111" s="683" t="n"/>
      <c r="U111" s="683" t="n"/>
      <c r="V111" s="683" t="n"/>
      <c r="W111" s="683" t="n"/>
      <c r="X111" s="683" t="n"/>
      <c r="Y111" s="683" t="n"/>
    </row>
    <row r="112">
      <c r="A112" s="683" t="n"/>
      <c r="B112" s="683" t="n"/>
      <c r="C112" s="683" t="n"/>
      <c r="D112" s="683" t="n"/>
      <c r="E112" s="683" t="n"/>
      <c r="F112" s="683" t="n"/>
      <c r="G112" s="683" t="n"/>
      <c r="H112" s="683" t="n"/>
      <c r="I112" s="683" t="n"/>
      <c r="J112" s="683" t="n"/>
      <c r="K112" s="683" t="n"/>
      <c r="L112" s="683" t="n"/>
      <c r="M112" s="683" t="n"/>
      <c r="N112" s="683" t="n"/>
      <c r="O112" s="683" t="n"/>
      <c r="P112" s="683" t="n"/>
      <c r="Q112" s="683" t="n"/>
      <c r="R112" s="683" t="n"/>
      <c r="S112" s="683" t="n"/>
      <c r="T112" s="683" t="n"/>
      <c r="U112" s="683" t="n"/>
      <c r="V112" s="683" t="n"/>
      <c r="W112" s="683" t="n"/>
      <c r="X112" s="683" t="n"/>
      <c r="Y112" s="683" t="n"/>
    </row>
    <row r="113">
      <c r="A113" s="683" t="n"/>
      <c r="B113" s="683" t="n"/>
      <c r="C113" s="683" t="n"/>
      <c r="D113" s="683" t="n"/>
      <c r="E113" s="683" t="n"/>
      <c r="F113" s="683" t="n"/>
      <c r="G113" s="683" t="n"/>
      <c r="H113" s="683" t="n"/>
      <c r="I113" s="683" t="n"/>
      <c r="J113" s="683" t="n"/>
      <c r="K113" s="683" t="n"/>
      <c r="L113" s="683" t="n"/>
      <c r="M113" s="683" t="n"/>
      <c r="N113" s="683" t="n"/>
      <c r="O113" s="683" t="n"/>
      <c r="P113" s="683" t="n"/>
      <c r="Q113" s="683" t="n"/>
      <c r="R113" s="683" t="n"/>
      <c r="S113" s="683" t="n"/>
      <c r="T113" s="683" t="n"/>
      <c r="U113" s="683" t="n"/>
      <c r="V113" s="683" t="n"/>
      <c r="W113" s="683" t="n"/>
      <c r="X113" s="683" t="n"/>
      <c r="Y113" s="683" t="n"/>
    </row>
    <row r="114">
      <c r="A114" s="683" t="n"/>
      <c r="B114" s="683" t="n"/>
      <c r="C114" s="683" t="n"/>
      <c r="D114" s="683" t="n"/>
      <c r="E114" s="683" t="n"/>
      <c r="F114" s="683" t="n"/>
      <c r="G114" s="683" t="n"/>
      <c r="H114" s="683" t="n"/>
      <c r="I114" s="683" t="n"/>
      <c r="J114" s="683" t="n"/>
      <c r="K114" s="683" t="n"/>
      <c r="L114" s="683" t="n"/>
      <c r="M114" s="683" t="n"/>
      <c r="N114" s="683" t="n"/>
      <c r="O114" s="683" t="n"/>
      <c r="P114" s="683" t="n"/>
      <c r="Q114" s="683" t="n"/>
      <c r="R114" s="683" t="n"/>
      <c r="S114" s="683" t="n"/>
      <c r="T114" s="683" t="n"/>
      <c r="U114" s="683" t="n"/>
      <c r="V114" s="683" t="n"/>
      <c r="W114" s="683" t="n"/>
      <c r="X114" s="683" t="n"/>
      <c r="Y114" s="683" t="n"/>
    </row>
    <row r="115">
      <c r="A115" s="683" t="n"/>
      <c r="B115" s="683" t="n"/>
      <c r="C115" s="683" t="n"/>
      <c r="D115" s="683" t="n"/>
      <c r="E115" s="683" t="n"/>
      <c r="F115" s="683" t="n"/>
      <c r="G115" s="683" t="n"/>
      <c r="H115" s="683" t="n"/>
      <c r="I115" s="683" t="n"/>
      <c r="J115" s="683" t="n"/>
      <c r="K115" s="683" t="n"/>
      <c r="L115" s="683" t="n"/>
      <c r="M115" s="683" t="n"/>
      <c r="N115" s="683" t="n"/>
      <c r="O115" s="683" t="n"/>
      <c r="P115" s="683" t="n"/>
      <c r="Q115" s="683" t="n"/>
      <c r="R115" s="683" t="n"/>
      <c r="S115" s="683" t="n"/>
      <c r="T115" s="683" t="n"/>
      <c r="U115" s="683" t="n"/>
      <c r="V115" s="683" t="n"/>
      <c r="W115" s="683" t="n"/>
      <c r="X115" s="683" t="n"/>
      <c r="Y115" s="683" t="n"/>
    </row>
    <row r="116">
      <c r="A116" s="683" t="n"/>
      <c r="B116" s="683" t="n"/>
      <c r="C116" s="683" t="n"/>
      <c r="D116" s="683" t="n"/>
      <c r="E116" s="683" t="n"/>
      <c r="F116" s="683" t="n"/>
      <c r="G116" s="683" t="n"/>
      <c r="H116" s="683" t="n"/>
      <c r="I116" s="683" t="n"/>
      <c r="J116" s="683" t="n"/>
      <c r="K116" s="683" t="n"/>
      <c r="L116" s="683" t="n"/>
      <c r="M116" s="683" t="n"/>
      <c r="N116" s="683" t="n"/>
      <c r="O116" s="683" t="n"/>
      <c r="P116" s="683" t="n"/>
      <c r="Q116" s="683" t="n"/>
      <c r="R116" s="683" t="n"/>
      <c r="S116" s="683" t="n"/>
      <c r="T116" s="683" t="n"/>
      <c r="U116" s="683" t="n"/>
      <c r="V116" s="683" t="n"/>
      <c r="W116" s="683" t="n"/>
      <c r="X116" s="683" t="n"/>
      <c r="Y116" s="683" t="n"/>
    </row>
    <row r="117">
      <c r="A117" s="683" t="n"/>
      <c r="B117" s="683" t="n"/>
      <c r="C117" s="683" t="n"/>
      <c r="D117" s="683" t="n"/>
      <c r="E117" s="683" t="n"/>
      <c r="F117" s="683" t="n"/>
      <c r="G117" s="683" t="n"/>
      <c r="H117" s="683" t="n"/>
      <c r="I117" s="683" t="n"/>
      <c r="J117" s="683" t="n"/>
      <c r="K117" s="683" t="n"/>
      <c r="L117" s="683" t="n"/>
      <c r="M117" s="683" t="n"/>
      <c r="N117" s="683" t="n"/>
      <c r="O117" s="683" t="n"/>
      <c r="P117" s="683" t="n"/>
      <c r="Q117" s="683" t="n"/>
      <c r="R117" s="683" t="n"/>
      <c r="S117" s="683" t="n"/>
      <c r="T117" s="683" t="n"/>
      <c r="U117" s="683" t="n"/>
      <c r="V117" s="683" t="n"/>
      <c r="W117" s="683" t="n"/>
      <c r="X117" s="683" t="n"/>
      <c r="Y117" s="683" t="n"/>
    </row>
    <row r="118">
      <c r="A118" s="683" t="n"/>
      <c r="B118" s="683" t="n"/>
      <c r="C118" s="683" t="n"/>
      <c r="D118" s="683" t="n"/>
      <c r="E118" s="683" t="n"/>
      <c r="F118" s="683" t="n"/>
      <c r="G118" s="683" t="n"/>
      <c r="H118" s="683" t="n"/>
      <c r="I118" s="683" t="n"/>
      <c r="J118" s="683" t="n"/>
      <c r="K118" s="683" t="n"/>
      <c r="L118" s="683" t="n"/>
      <c r="M118" s="683" t="n"/>
      <c r="N118" s="683" t="n"/>
      <c r="O118" s="683" t="n"/>
      <c r="P118" s="683" t="n"/>
      <c r="Q118" s="683" t="n"/>
      <c r="R118" s="683" t="n"/>
      <c r="S118" s="683" t="n"/>
      <c r="T118" s="683" t="n"/>
      <c r="U118" s="683" t="n"/>
      <c r="V118" s="683" t="n"/>
      <c r="W118" s="683" t="n"/>
      <c r="X118" s="683" t="n"/>
      <c r="Y118" s="683" t="n"/>
    </row>
    <row r="119">
      <c r="A119" s="683" t="n"/>
      <c r="B119" s="683" t="n"/>
      <c r="C119" s="683" t="n"/>
      <c r="D119" s="683" t="n"/>
      <c r="E119" s="683" t="n"/>
      <c r="F119" s="683" t="n"/>
      <c r="G119" s="683" t="n"/>
      <c r="H119" s="683" t="n"/>
      <c r="I119" s="683" t="n"/>
      <c r="J119" s="683" t="n"/>
      <c r="K119" s="683" t="n"/>
      <c r="L119" s="683" t="n"/>
      <c r="M119" s="683" t="n"/>
      <c r="N119" s="683" t="n"/>
      <c r="O119" s="683" t="n"/>
      <c r="P119" s="683" t="n"/>
      <c r="Q119" s="683" t="n"/>
      <c r="R119" s="683" t="n"/>
      <c r="S119" s="683" t="n"/>
      <c r="T119" s="683" t="n"/>
      <c r="U119" s="683" t="n"/>
      <c r="V119" s="683" t="n"/>
      <c r="W119" s="683" t="n"/>
      <c r="X119" s="683" t="n"/>
      <c r="Y119" s="683" t="n"/>
    </row>
    <row r="120">
      <c r="A120" s="683" t="n"/>
      <c r="B120" s="683" t="n"/>
      <c r="C120" s="683" t="n"/>
      <c r="D120" s="683" t="n"/>
      <c r="E120" s="683" t="n"/>
      <c r="F120" s="683" t="n"/>
      <c r="G120" s="683" t="n"/>
      <c r="H120" s="683" t="n"/>
      <c r="I120" s="683" t="n"/>
      <c r="J120" s="683" t="n"/>
      <c r="K120" s="683" t="n"/>
      <c r="L120" s="683" t="n"/>
      <c r="M120" s="683" t="n"/>
      <c r="N120" s="683" t="n"/>
      <c r="O120" s="683" t="n"/>
      <c r="P120" s="683" t="n"/>
      <c r="Q120" s="683" t="n"/>
      <c r="R120" s="683" t="n"/>
      <c r="S120" s="683" t="n"/>
      <c r="T120" s="683" t="n"/>
      <c r="U120" s="683" t="n"/>
      <c r="V120" s="683" t="n"/>
      <c r="W120" s="683" t="n"/>
      <c r="X120" s="683" t="n"/>
      <c r="Y120" s="683" t="n"/>
    </row>
    <row r="121">
      <c r="A121" s="683" t="n"/>
      <c r="B121" s="683" t="n"/>
      <c r="C121" s="683" t="n"/>
      <c r="D121" s="683" t="n"/>
      <c r="E121" s="683" t="n"/>
      <c r="F121" s="683" t="n"/>
      <c r="G121" s="683" t="n"/>
      <c r="H121" s="683" t="n"/>
      <c r="I121" s="683" t="n"/>
      <c r="J121" s="683" t="n"/>
      <c r="K121" s="683" t="n"/>
      <c r="L121" s="683" t="n"/>
      <c r="M121" s="683" t="n"/>
      <c r="N121" s="683" t="n"/>
      <c r="O121" s="683" t="n"/>
      <c r="P121" s="683" t="n"/>
      <c r="Q121" s="683" t="n"/>
      <c r="R121" s="683" t="n"/>
      <c r="S121" s="683" t="n"/>
      <c r="T121" s="683" t="n"/>
      <c r="U121" s="683" t="n"/>
      <c r="V121" s="683" t="n"/>
      <c r="W121" s="683" t="n"/>
      <c r="X121" s="683" t="n"/>
      <c r="Y121" s="683" t="n"/>
    </row>
    <row r="122">
      <c r="A122" s="683" t="n"/>
      <c r="B122" s="683" t="n"/>
      <c r="C122" s="683" t="n"/>
      <c r="D122" s="683" t="n"/>
      <c r="E122" s="683" t="n"/>
      <c r="F122" s="683" t="n"/>
      <c r="G122" s="683" t="n"/>
      <c r="H122" s="683" t="n"/>
      <c r="I122" s="683" t="n"/>
      <c r="J122" s="683" t="n"/>
      <c r="K122" s="683" t="n"/>
      <c r="L122" s="683" t="n"/>
      <c r="M122" s="683" t="n"/>
      <c r="N122" s="683" t="n"/>
      <c r="O122" s="683" t="n"/>
      <c r="P122" s="683" t="n"/>
      <c r="Q122" s="683" t="n"/>
      <c r="R122" s="683" t="n"/>
      <c r="S122" s="683" t="n"/>
      <c r="T122" s="683" t="n"/>
      <c r="U122" s="683" t="n"/>
      <c r="V122" s="683" t="n"/>
      <c r="W122" s="683" t="n"/>
      <c r="X122" s="683" t="n"/>
      <c r="Y122" s="683" t="n"/>
    </row>
    <row r="123">
      <c r="A123" s="683" t="n"/>
      <c r="B123" s="683" t="n"/>
      <c r="C123" s="683" t="n"/>
      <c r="D123" s="683" t="n"/>
      <c r="E123" s="683" t="n"/>
      <c r="F123" s="683" t="n"/>
      <c r="G123" s="683" t="n"/>
      <c r="H123" s="683" t="n"/>
      <c r="I123" s="683" t="n"/>
      <c r="J123" s="683" t="n"/>
      <c r="K123" s="683" t="n"/>
      <c r="L123" s="683" t="n"/>
      <c r="M123" s="683" t="n"/>
      <c r="N123" s="683" t="n"/>
      <c r="O123" s="683" t="n"/>
      <c r="P123" s="683" t="n"/>
      <c r="Q123" s="683" t="n"/>
      <c r="R123" s="683" t="n"/>
      <c r="S123" s="683" t="n"/>
      <c r="T123" s="683" t="n"/>
      <c r="U123" s="683" t="n"/>
      <c r="V123" s="683" t="n"/>
      <c r="W123" s="683" t="n"/>
      <c r="X123" s="683" t="n"/>
      <c r="Y123" s="683" t="n"/>
    </row>
    <row r="124">
      <c r="A124" s="683" t="n"/>
      <c r="B124" s="683" t="n"/>
      <c r="C124" s="683" t="n"/>
      <c r="D124" s="683" t="n"/>
      <c r="E124" s="683" t="n"/>
      <c r="F124" s="683" t="n"/>
      <c r="G124" s="683" t="n"/>
      <c r="H124" s="683" t="n"/>
      <c r="I124" s="683" t="n"/>
      <c r="J124" s="683" t="n"/>
      <c r="K124" s="683" t="n"/>
      <c r="L124" s="683" t="n"/>
      <c r="M124" s="683" t="n"/>
      <c r="N124" s="683" t="n"/>
      <c r="O124" s="683" t="n"/>
      <c r="P124" s="683" t="n"/>
      <c r="Q124" s="683" t="n"/>
      <c r="R124" s="683" t="n"/>
      <c r="S124" s="683" t="n"/>
      <c r="T124" s="683" t="n"/>
      <c r="U124" s="683" t="n"/>
      <c r="V124" s="683" t="n"/>
      <c r="W124" s="683" t="n"/>
      <c r="X124" s="683" t="n"/>
      <c r="Y124" s="683" t="n"/>
    </row>
    <row r="125">
      <c r="A125" s="683" t="n"/>
      <c r="B125" s="683" t="n"/>
      <c r="C125" s="683" t="n"/>
      <c r="D125" s="683" t="n"/>
      <c r="E125" s="683" t="n"/>
      <c r="F125" s="683" t="n"/>
      <c r="G125" s="683" t="n"/>
      <c r="H125" s="683" t="n"/>
      <c r="I125" s="683" t="n"/>
      <c r="J125" s="683" t="n"/>
      <c r="K125" s="683" t="n"/>
      <c r="L125" s="683" t="n"/>
      <c r="M125" s="683" t="n"/>
      <c r="N125" s="683" t="n"/>
      <c r="O125" s="683" t="n"/>
      <c r="P125" s="683" t="n"/>
      <c r="Q125" s="683" t="n"/>
      <c r="R125" s="683" t="n"/>
      <c r="S125" s="683" t="n"/>
      <c r="T125" s="683" t="n"/>
      <c r="U125" s="683" t="n"/>
      <c r="V125" s="683" t="n"/>
      <c r="W125" s="683" t="n"/>
      <c r="X125" s="683" t="n"/>
      <c r="Y125" s="683" t="n"/>
    </row>
    <row r="126">
      <c r="A126" s="683" t="n"/>
      <c r="B126" s="683" t="n"/>
      <c r="C126" s="683" t="n"/>
      <c r="D126" s="683" t="n"/>
      <c r="E126" s="683" t="n"/>
      <c r="F126" s="683" t="n"/>
      <c r="G126" s="683" t="n"/>
      <c r="H126" s="683" t="n"/>
      <c r="I126" s="683" t="n"/>
      <c r="J126" s="683" t="n"/>
      <c r="K126" s="683" t="n"/>
      <c r="L126" s="683" t="n"/>
      <c r="M126" s="683" t="n"/>
      <c r="N126" s="683" t="n"/>
      <c r="O126" s="683" t="n"/>
      <c r="P126" s="683" t="n"/>
      <c r="Q126" s="683" t="n"/>
      <c r="R126" s="683" t="n"/>
      <c r="S126" s="683" t="n"/>
      <c r="T126" s="683" t="n"/>
      <c r="U126" s="683" t="n"/>
      <c r="V126" s="683" t="n"/>
      <c r="W126" s="683" t="n"/>
      <c r="X126" s="683" t="n"/>
      <c r="Y126" s="683" t="n"/>
    </row>
    <row r="127">
      <c r="A127" s="683" t="n"/>
      <c r="B127" s="683" t="n"/>
      <c r="C127" s="683" t="n"/>
      <c r="D127" s="683" t="n"/>
      <c r="E127" s="683" t="n"/>
      <c r="F127" s="683" t="n"/>
      <c r="G127" s="683" t="n"/>
      <c r="H127" s="683" t="n"/>
      <c r="I127" s="683" t="n"/>
      <c r="J127" s="683" t="n"/>
      <c r="K127" s="683" t="n"/>
      <c r="L127" s="683" t="n"/>
      <c r="M127" s="683" t="n"/>
      <c r="N127" s="683" t="n"/>
      <c r="O127" s="683" t="n"/>
      <c r="P127" s="683" t="n"/>
      <c r="Q127" s="683" t="n"/>
      <c r="R127" s="683" t="n"/>
      <c r="S127" s="683" t="n"/>
      <c r="T127" s="683" t="n"/>
      <c r="U127" s="683" t="n"/>
      <c r="V127" s="683" t="n"/>
      <c r="W127" s="683" t="n"/>
      <c r="X127" s="683" t="n"/>
      <c r="Y127" s="683" t="n"/>
    </row>
    <row r="128">
      <c r="A128" s="683" t="n"/>
      <c r="B128" s="683" t="n"/>
      <c r="C128" s="683" t="n"/>
      <c r="D128" s="683" t="n"/>
      <c r="E128" s="683" t="n"/>
      <c r="F128" s="683" t="n"/>
      <c r="G128" s="683" t="n"/>
      <c r="H128" s="683" t="n"/>
      <c r="I128" s="683" t="n"/>
      <c r="J128" s="683" t="n"/>
      <c r="K128" s="683" t="n"/>
      <c r="L128" s="683" t="n"/>
      <c r="M128" s="683" t="n"/>
      <c r="N128" s="683" t="n"/>
      <c r="O128" s="683" t="n"/>
      <c r="P128" s="683" t="n"/>
      <c r="Q128" s="683" t="n"/>
      <c r="R128" s="683" t="n"/>
      <c r="S128" s="683" t="n"/>
      <c r="T128" s="683" t="n"/>
      <c r="U128" s="683" t="n"/>
      <c r="V128" s="683" t="n"/>
      <c r="W128" s="683" t="n"/>
      <c r="X128" s="683" t="n"/>
      <c r="Y128" s="683" t="n"/>
    </row>
    <row r="129">
      <c r="A129" s="683" t="n"/>
      <c r="B129" s="683" t="n"/>
      <c r="C129" s="683" t="n"/>
      <c r="D129" s="683" t="n"/>
      <c r="E129" s="683" t="n"/>
      <c r="F129" s="683" t="n"/>
      <c r="G129" s="683" t="n"/>
      <c r="H129" s="683" t="n"/>
      <c r="I129" s="683" t="n"/>
      <c r="J129" s="683" t="n"/>
      <c r="K129" s="683" t="n"/>
      <c r="L129" s="683" t="n"/>
      <c r="M129" s="683" t="n"/>
      <c r="N129" s="683" t="n"/>
      <c r="O129" s="683" t="n"/>
      <c r="P129" s="683" t="n"/>
      <c r="Q129" s="683" t="n"/>
      <c r="R129" s="683" t="n"/>
      <c r="S129" s="683" t="n"/>
      <c r="T129" s="683" t="n"/>
      <c r="U129" s="683" t="n"/>
      <c r="V129" s="683" t="n"/>
      <c r="W129" s="683" t="n"/>
      <c r="X129" s="683" t="n"/>
      <c r="Y129" s="683" t="n"/>
    </row>
    <row r="130">
      <c r="A130" s="683" t="n"/>
      <c r="B130" s="683" t="n"/>
      <c r="C130" s="683" t="n"/>
      <c r="D130" s="683" t="n"/>
      <c r="E130" s="683" t="n"/>
      <c r="F130" s="683" t="n"/>
      <c r="G130" s="683" t="n"/>
      <c r="H130" s="683" t="n"/>
      <c r="I130" s="683" t="n"/>
      <c r="J130" s="683" t="n"/>
      <c r="K130" s="683" t="n"/>
      <c r="L130" s="683" t="n"/>
      <c r="M130" s="683" t="n"/>
      <c r="N130" s="683" t="n"/>
      <c r="O130" s="683" t="n"/>
      <c r="P130" s="683" t="n"/>
      <c r="Q130" s="683" t="n"/>
      <c r="R130" s="683" t="n"/>
      <c r="S130" s="683" t="n"/>
      <c r="T130" s="683" t="n"/>
      <c r="U130" s="683" t="n"/>
      <c r="V130" s="683" t="n"/>
      <c r="W130" s="683" t="n"/>
      <c r="X130" s="683" t="n"/>
      <c r="Y130" s="683" t="n"/>
    </row>
    <row r="131">
      <c r="A131" s="683" t="n"/>
      <c r="B131" s="683" t="n"/>
      <c r="C131" s="683" t="n"/>
      <c r="D131" s="683" t="n"/>
      <c r="E131" s="683" t="n"/>
      <c r="F131" s="683" t="n"/>
      <c r="G131" s="683" t="n"/>
      <c r="H131" s="683" t="n"/>
      <c r="I131" s="683" t="n"/>
      <c r="J131" s="683" t="n"/>
      <c r="K131" s="683" t="n"/>
      <c r="L131" s="683" t="n"/>
      <c r="M131" s="683" t="n"/>
      <c r="N131" s="683" t="n"/>
      <c r="O131" s="683" t="n"/>
      <c r="P131" s="683" t="n"/>
      <c r="Q131" s="683" t="n"/>
      <c r="R131" s="683" t="n"/>
      <c r="S131" s="683" t="n"/>
      <c r="T131" s="683" t="n"/>
      <c r="U131" s="683" t="n"/>
      <c r="V131" s="683" t="n"/>
      <c r="W131" s="683" t="n"/>
      <c r="X131" s="683" t="n"/>
      <c r="Y131" s="683" t="n"/>
    </row>
    <row r="132">
      <c r="A132" s="683" t="n"/>
      <c r="B132" s="683" t="n"/>
      <c r="C132" s="683" t="n"/>
      <c r="D132" s="683" t="n"/>
      <c r="E132" s="683" t="n"/>
      <c r="F132" s="683" t="n"/>
      <c r="G132" s="683" t="n"/>
      <c r="H132" s="683" t="n"/>
      <c r="I132" s="683" t="n"/>
      <c r="J132" s="683" t="n"/>
      <c r="K132" s="683" t="n"/>
      <c r="L132" s="683" t="n"/>
      <c r="M132" s="683" t="n"/>
      <c r="N132" s="683" t="n"/>
      <c r="O132" s="683" t="n"/>
      <c r="P132" s="683" t="n"/>
      <c r="Q132" s="683" t="n"/>
      <c r="R132" s="683" t="n"/>
      <c r="S132" s="683" t="n"/>
      <c r="T132" s="683" t="n"/>
      <c r="U132" s="683" t="n"/>
      <c r="V132" s="683" t="n"/>
      <c r="W132" s="683" t="n"/>
      <c r="X132" s="683" t="n"/>
      <c r="Y132" s="683" t="n"/>
    </row>
    <row r="133">
      <c r="A133" s="683" t="n"/>
      <c r="B133" s="683" t="n"/>
      <c r="C133" s="683" t="n"/>
      <c r="D133" s="683" t="n"/>
      <c r="E133" s="683" t="n"/>
      <c r="F133" s="683" t="n"/>
      <c r="G133" s="683" t="n"/>
      <c r="H133" s="683" t="n"/>
      <c r="I133" s="683" t="n"/>
      <c r="J133" s="683" t="n"/>
      <c r="K133" s="683" t="n"/>
      <c r="L133" s="683" t="n"/>
      <c r="M133" s="683" t="n"/>
      <c r="N133" s="683" t="n"/>
      <c r="O133" s="683" t="n"/>
      <c r="P133" s="683" t="n"/>
      <c r="Q133" s="683" t="n"/>
      <c r="R133" s="683" t="n"/>
      <c r="S133" s="683" t="n"/>
      <c r="T133" s="683" t="n"/>
      <c r="U133" s="683" t="n"/>
      <c r="V133" s="683" t="n"/>
      <c r="W133" s="683" t="n"/>
      <c r="X133" s="683" t="n"/>
      <c r="Y133" s="683" t="n"/>
    </row>
    <row r="134">
      <c r="A134" s="683" t="n"/>
      <c r="B134" s="683" t="n"/>
      <c r="C134" s="683" t="n"/>
      <c r="D134" s="683" t="n"/>
      <c r="E134" s="683" t="n"/>
      <c r="F134" s="683" t="n"/>
      <c r="G134" s="683" t="n"/>
      <c r="H134" s="683" t="n"/>
      <c r="I134" s="683" t="n"/>
      <c r="J134" s="683" t="n"/>
      <c r="K134" s="683" t="n"/>
      <c r="L134" s="683" t="n"/>
      <c r="M134" s="683" t="n"/>
      <c r="N134" s="683" t="n"/>
      <c r="O134" s="683" t="n"/>
      <c r="P134" s="683" t="n"/>
      <c r="Q134" s="683" t="n"/>
      <c r="R134" s="683" t="n"/>
      <c r="S134" s="683" t="n"/>
      <c r="T134" s="683" t="n"/>
      <c r="U134" s="683" t="n"/>
      <c r="V134" s="683" t="n"/>
      <c r="W134" s="683" t="n"/>
      <c r="X134" s="683" t="n"/>
      <c r="Y134" s="683" t="n"/>
    </row>
    <row r="135">
      <c r="A135" s="683" t="n"/>
      <c r="B135" s="683" t="n"/>
      <c r="C135" s="683" t="n"/>
      <c r="D135" s="683" t="n"/>
      <c r="E135" s="683" t="n"/>
      <c r="F135" s="683" t="n"/>
      <c r="G135" s="683" t="n"/>
      <c r="H135" s="683" t="n"/>
      <c r="I135" s="683" t="n"/>
      <c r="J135" s="683" t="n"/>
      <c r="K135" s="683" t="n"/>
      <c r="L135" s="683" t="n"/>
      <c r="M135" s="683" t="n"/>
      <c r="N135" s="683" t="n"/>
      <c r="O135" s="683" t="n"/>
      <c r="P135" s="683" t="n"/>
      <c r="Q135" s="683" t="n"/>
      <c r="R135" s="683" t="n"/>
      <c r="S135" s="683" t="n"/>
      <c r="T135" s="683" t="n"/>
      <c r="U135" s="683" t="n"/>
      <c r="V135" s="683" t="n"/>
      <c r="W135" s="683" t="n"/>
      <c r="X135" s="683" t="n"/>
      <c r="Y135" s="683" t="n"/>
    </row>
    <row r="136">
      <c r="A136" s="683" t="n"/>
      <c r="B136" s="683" t="n"/>
      <c r="C136" s="683" t="n"/>
      <c r="D136" s="683" t="n"/>
      <c r="E136" s="683" t="n"/>
      <c r="F136" s="683" t="n"/>
      <c r="G136" s="683" t="n"/>
      <c r="H136" s="683" t="n"/>
      <c r="I136" s="683" t="n"/>
      <c r="J136" s="683" t="n"/>
      <c r="K136" s="683" t="n"/>
      <c r="L136" s="683" t="n"/>
      <c r="M136" s="683" t="n"/>
      <c r="N136" s="683" t="n"/>
      <c r="O136" s="683" t="n"/>
      <c r="P136" s="683" t="n"/>
      <c r="Q136" s="683" t="n"/>
      <c r="R136" s="683" t="n"/>
      <c r="S136" s="683" t="n"/>
      <c r="T136" s="683" t="n"/>
      <c r="U136" s="683" t="n"/>
      <c r="V136" s="683" t="n"/>
      <c r="W136" s="683" t="n"/>
      <c r="X136" s="683" t="n"/>
      <c r="Y136" s="683" t="n"/>
    </row>
    <row r="137">
      <c r="A137" s="683" t="n"/>
      <c r="B137" s="683" t="n"/>
      <c r="C137" s="683" t="n"/>
      <c r="D137" s="683" t="n"/>
      <c r="E137" s="683" t="n"/>
      <c r="F137" s="683" t="n"/>
      <c r="G137" s="683" t="n"/>
      <c r="H137" s="683" t="n"/>
      <c r="I137" s="683" t="n"/>
      <c r="J137" s="683" t="n"/>
      <c r="K137" s="683" t="n"/>
      <c r="L137" s="683" t="n"/>
      <c r="M137" s="683" t="n"/>
      <c r="N137" s="683" t="n"/>
      <c r="O137" s="683" t="n"/>
      <c r="P137" s="683" t="n"/>
      <c r="Q137" s="683" t="n"/>
      <c r="R137" s="683" t="n"/>
      <c r="S137" s="683" t="n"/>
      <c r="T137" s="683" t="n"/>
      <c r="U137" s="683" t="n"/>
      <c r="V137" s="683" t="n"/>
      <c r="W137" s="683" t="n"/>
      <c r="X137" s="683" t="n"/>
      <c r="Y137" s="683" t="n"/>
    </row>
    <row r="138">
      <c r="A138" s="683" t="n"/>
      <c r="B138" s="683" t="n"/>
      <c r="C138" s="683" t="n"/>
      <c r="D138" s="683" t="n"/>
      <c r="E138" s="683" t="n"/>
      <c r="F138" s="683" t="n"/>
      <c r="G138" s="683" t="n"/>
      <c r="H138" s="683" t="n"/>
      <c r="I138" s="683" t="n"/>
      <c r="J138" s="683" t="n"/>
      <c r="K138" s="683" t="n"/>
      <c r="L138" s="683" t="n"/>
      <c r="M138" s="683" t="n"/>
      <c r="N138" s="683" t="n"/>
      <c r="O138" s="683" t="n"/>
      <c r="P138" s="683" t="n"/>
      <c r="Q138" s="683" t="n"/>
      <c r="R138" s="683" t="n"/>
      <c r="S138" s="683" t="n"/>
      <c r="T138" s="683" t="n"/>
      <c r="U138" s="683" t="n"/>
      <c r="V138" s="683" t="n"/>
      <c r="W138" s="683" t="n"/>
      <c r="X138" s="683" t="n"/>
      <c r="Y138" s="683" t="n"/>
    </row>
    <row r="139">
      <c r="A139" s="683" t="n"/>
      <c r="B139" s="683" t="n"/>
      <c r="C139" s="683" t="n"/>
      <c r="D139" s="683" t="n"/>
      <c r="E139" s="683" t="n"/>
      <c r="F139" s="683" t="n"/>
      <c r="G139" s="683" t="n"/>
      <c r="H139" s="683" t="n"/>
      <c r="I139" s="683" t="n"/>
      <c r="J139" s="683" t="n"/>
      <c r="K139" s="683" t="n"/>
      <c r="L139" s="683" t="n"/>
      <c r="M139" s="683" t="n"/>
      <c r="N139" s="683" t="n"/>
      <c r="O139" s="683" t="n"/>
      <c r="P139" s="683" t="n"/>
      <c r="Q139" s="683" t="n"/>
      <c r="R139" s="683" t="n"/>
      <c r="S139" s="683" t="n"/>
      <c r="T139" s="683" t="n"/>
      <c r="U139" s="683" t="n"/>
      <c r="V139" s="683" t="n"/>
      <c r="W139" s="683" t="n"/>
      <c r="X139" s="683" t="n"/>
      <c r="Y139" s="683" t="n"/>
    </row>
    <row r="140">
      <c r="A140" s="683" t="n"/>
      <c r="B140" s="683" t="n"/>
      <c r="C140" s="683" t="n"/>
      <c r="D140" s="683" t="n"/>
      <c r="E140" s="683" t="n"/>
      <c r="F140" s="683" t="n"/>
      <c r="G140" s="683" t="n"/>
      <c r="H140" s="683" t="n"/>
      <c r="I140" s="683" t="n"/>
      <c r="J140" s="683" t="n"/>
      <c r="K140" s="683" t="n"/>
      <c r="L140" s="683" t="n"/>
      <c r="M140" s="683" t="n"/>
      <c r="N140" s="683" t="n"/>
      <c r="O140" s="683" t="n"/>
      <c r="P140" s="683" t="n"/>
      <c r="Q140" s="683" t="n"/>
      <c r="R140" s="683" t="n"/>
      <c r="S140" s="683" t="n"/>
      <c r="T140" s="683" t="n"/>
      <c r="U140" s="683" t="n"/>
      <c r="V140" s="683" t="n"/>
      <c r="W140" s="683" t="n"/>
      <c r="X140" s="683" t="n"/>
      <c r="Y140" s="683" t="n"/>
    </row>
    <row r="141">
      <c r="A141" s="683" t="n"/>
      <c r="B141" s="683" t="n"/>
      <c r="C141" s="683" t="n"/>
      <c r="D141" s="683" t="n"/>
      <c r="E141" s="683" t="n"/>
      <c r="F141" s="683" t="n"/>
      <c r="G141" s="683" t="n"/>
      <c r="H141" s="683" t="n"/>
      <c r="I141" s="683" t="n"/>
      <c r="J141" s="683" t="n"/>
      <c r="K141" s="683" t="n"/>
      <c r="L141" s="683" t="n"/>
      <c r="M141" s="683" t="n"/>
      <c r="N141" s="683" t="n"/>
      <c r="O141" s="683" t="n"/>
      <c r="P141" s="683" t="n"/>
      <c r="Q141" s="683" t="n"/>
      <c r="R141" s="683" t="n"/>
      <c r="S141" s="683" t="n"/>
      <c r="T141" s="683" t="n"/>
      <c r="U141" s="683" t="n"/>
      <c r="V141" s="683" t="n"/>
      <c r="W141" s="683" t="n"/>
      <c r="X141" s="683" t="n"/>
      <c r="Y141" s="683" t="n"/>
    </row>
    <row r="142">
      <c r="A142" s="683" t="n"/>
      <c r="B142" s="683" t="n"/>
      <c r="C142" s="683" t="n"/>
      <c r="D142" s="683" t="n"/>
      <c r="E142" s="683" t="n"/>
      <c r="F142" s="683" t="n"/>
      <c r="G142" s="683" t="n"/>
      <c r="H142" s="683" t="n"/>
      <c r="I142" s="683" t="n"/>
      <c r="J142" s="683" t="n"/>
      <c r="K142" s="683" t="n"/>
      <c r="L142" s="683" t="n"/>
      <c r="M142" s="683" t="n"/>
      <c r="N142" s="683" t="n"/>
      <c r="O142" s="683" t="n"/>
      <c r="P142" s="683" t="n"/>
      <c r="Q142" s="683" t="n"/>
      <c r="R142" s="683" t="n"/>
      <c r="S142" s="683" t="n"/>
      <c r="T142" s="683" t="n"/>
      <c r="U142" s="683" t="n"/>
      <c r="V142" s="683" t="n"/>
      <c r="W142" s="683" t="n"/>
      <c r="X142" s="683" t="n"/>
      <c r="Y142" s="683" t="n"/>
    </row>
    <row r="143">
      <c r="A143" s="683" t="n"/>
      <c r="B143" s="683" t="n"/>
      <c r="C143" s="683" t="n"/>
      <c r="D143" s="683" t="n"/>
      <c r="E143" s="683" t="n"/>
      <c r="F143" s="683" t="n"/>
      <c r="G143" s="683" t="n"/>
      <c r="H143" s="683" t="n"/>
      <c r="I143" s="683" t="n"/>
      <c r="J143" s="683" t="n"/>
      <c r="K143" s="683" t="n"/>
      <c r="L143" s="683" t="n"/>
      <c r="M143" s="683" t="n"/>
      <c r="N143" s="683" t="n"/>
      <c r="O143" s="683" t="n"/>
      <c r="P143" s="683" t="n"/>
      <c r="Q143" s="683" t="n"/>
      <c r="R143" s="683" t="n"/>
      <c r="S143" s="683" t="n"/>
      <c r="T143" s="683" t="n"/>
      <c r="U143" s="683" t="n"/>
      <c r="V143" s="683" t="n"/>
      <c r="W143" s="683" t="n"/>
      <c r="X143" s="683" t="n"/>
      <c r="Y143" s="683" t="n"/>
    </row>
    <row r="144">
      <c r="A144" s="683" t="n"/>
      <c r="B144" s="683" t="n"/>
      <c r="C144" s="683" t="n"/>
      <c r="D144" s="683" t="n"/>
      <c r="E144" s="683" t="n"/>
      <c r="F144" s="683" t="n"/>
      <c r="G144" s="683" t="n"/>
      <c r="H144" s="683" t="n"/>
      <c r="I144" s="683" t="n"/>
      <c r="J144" s="683" t="n"/>
      <c r="K144" s="683" t="n"/>
      <c r="L144" s="683" t="n"/>
      <c r="M144" s="683" t="n"/>
      <c r="N144" s="683" t="n"/>
      <c r="O144" s="683" t="n"/>
      <c r="P144" s="683" t="n"/>
      <c r="Q144" s="683" t="n"/>
      <c r="R144" s="683" t="n"/>
      <c r="S144" s="683" t="n"/>
      <c r="T144" s="683" t="n"/>
      <c r="U144" s="683" t="n"/>
      <c r="V144" s="683" t="n"/>
      <c r="W144" s="683" t="n"/>
      <c r="X144" s="683" t="n"/>
      <c r="Y144" s="683" t="n"/>
    </row>
    <row r="145">
      <c r="A145" s="683" t="n"/>
      <c r="B145" s="683" t="n"/>
      <c r="C145" s="683" t="n"/>
      <c r="D145" s="683" t="n"/>
      <c r="E145" s="683" t="n"/>
      <c r="F145" s="683" t="n"/>
      <c r="G145" s="683" t="n"/>
      <c r="H145" s="683" t="n"/>
      <c r="I145" s="683" t="n"/>
      <c r="J145" s="683" t="n"/>
      <c r="K145" s="683" t="n"/>
      <c r="L145" s="683" t="n"/>
      <c r="M145" s="683" t="n"/>
      <c r="N145" s="683" t="n"/>
      <c r="O145" s="683" t="n"/>
      <c r="P145" s="683" t="n"/>
      <c r="Q145" s="683" t="n"/>
      <c r="R145" s="683" t="n"/>
      <c r="S145" s="683" t="n"/>
      <c r="T145" s="683" t="n"/>
      <c r="U145" s="683" t="n"/>
      <c r="V145" s="683" t="n"/>
      <c r="W145" s="683" t="n"/>
      <c r="X145" s="683" t="n"/>
      <c r="Y145" s="683" t="n"/>
    </row>
    <row r="146">
      <c r="A146" s="683" t="n"/>
      <c r="B146" s="683" t="n"/>
      <c r="C146" s="683" t="n"/>
      <c r="D146" s="683" t="n"/>
      <c r="E146" s="683" t="n"/>
      <c r="F146" s="683" t="n"/>
      <c r="G146" s="683" t="n"/>
      <c r="H146" s="683" t="n"/>
      <c r="I146" s="683" t="n"/>
      <c r="J146" s="683" t="n"/>
      <c r="K146" s="683" t="n"/>
      <c r="L146" s="683" t="n"/>
      <c r="M146" s="683" t="n"/>
      <c r="N146" s="683" t="n"/>
      <c r="O146" s="683" t="n"/>
      <c r="P146" s="683" t="n"/>
      <c r="Q146" s="683" t="n"/>
      <c r="R146" s="683" t="n"/>
      <c r="S146" s="683" t="n"/>
      <c r="T146" s="683" t="n"/>
      <c r="U146" s="683" t="n"/>
      <c r="V146" s="683" t="n"/>
      <c r="W146" s="683" t="n"/>
      <c r="X146" s="683" t="n"/>
      <c r="Y146" s="683" t="n"/>
    </row>
    <row r="147">
      <c r="A147" s="683" t="n"/>
      <c r="B147" s="683" t="n"/>
      <c r="C147" s="683" t="n"/>
      <c r="D147" s="683" t="n"/>
      <c r="E147" s="683" t="n"/>
      <c r="F147" s="683" t="n"/>
      <c r="G147" s="683" t="n"/>
      <c r="H147" s="683" t="n"/>
      <c r="I147" s="683" t="n"/>
      <c r="J147" s="683" t="n"/>
      <c r="K147" s="683" t="n"/>
      <c r="L147" s="683" t="n"/>
      <c r="M147" s="683" t="n"/>
      <c r="N147" s="683" t="n"/>
      <c r="O147" s="683" t="n"/>
      <c r="P147" s="683" t="n"/>
      <c r="Q147" s="683" t="n"/>
      <c r="R147" s="683" t="n"/>
      <c r="S147" s="683" t="n"/>
      <c r="T147" s="683" t="n"/>
      <c r="U147" s="683" t="n"/>
      <c r="V147" s="683" t="n"/>
      <c r="W147" s="683" t="n"/>
      <c r="X147" s="683" t="n"/>
      <c r="Y147" s="683" t="n"/>
    </row>
    <row r="148">
      <c r="A148" s="683" t="n"/>
      <c r="B148" s="683" t="n"/>
      <c r="C148" s="683" t="n"/>
      <c r="D148" s="683" t="n"/>
      <c r="E148" s="683" t="n"/>
      <c r="F148" s="683" t="n"/>
      <c r="G148" s="683" t="n"/>
      <c r="H148" s="683" t="n"/>
      <c r="I148" s="683" t="n"/>
      <c r="J148" s="683" t="n"/>
      <c r="K148" s="683" t="n"/>
      <c r="L148" s="683" t="n"/>
      <c r="M148" s="683" t="n"/>
      <c r="N148" s="683" t="n"/>
      <c r="O148" s="683" t="n"/>
      <c r="P148" s="683" t="n"/>
      <c r="Q148" s="683" t="n"/>
      <c r="R148" s="683" t="n"/>
      <c r="S148" s="683" t="n"/>
      <c r="T148" s="683" t="n"/>
      <c r="U148" s="683" t="n"/>
      <c r="V148" s="683" t="n"/>
      <c r="W148" s="683" t="n"/>
      <c r="X148" s="683" t="n"/>
      <c r="Y148" s="683" t="n"/>
    </row>
    <row r="149">
      <c r="A149" s="683" t="n"/>
      <c r="B149" s="683" t="n"/>
      <c r="C149" s="683" t="n"/>
      <c r="D149" s="683" t="n"/>
      <c r="E149" s="683" t="n"/>
      <c r="F149" s="683" t="n"/>
      <c r="G149" s="683" t="n"/>
      <c r="H149" s="683" t="n"/>
      <c r="I149" s="683" t="n"/>
      <c r="J149" s="683" t="n"/>
      <c r="K149" s="683" t="n"/>
      <c r="L149" s="683" t="n"/>
      <c r="M149" s="683" t="n"/>
      <c r="N149" s="683" t="n"/>
      <c r="O149" s="683" t="n"/>
      <c r="P149" s="683" t="n"/>
      <c r="Q149" s="683" t="n"/>
      <c r="R149" s="683" t="n"/>
      <c r="S149" s="683" t="n"/>
      <c r="T149" s="683" t="n"/>
      <c r="U149" s="683" t="n"/>
      <c r="V149" s="683" t="n"/>
      <c r="W149" s="683" t="n"/>
      <c r="X149" s="683" t="n"/>
      <c r="Y149" s="683" t="n"/>
    </row>
    <row r="150">
      <c r="A150" s="683" t="n"/>
      <c r="B150" s="683" t="n"/>
      <c r="C150" s="683" t="n"/>
      <c r="D150" s="683" t="n"/>
      <c r="E150" s="683" t="n"/>
      <c r="F150" s="683" t="n"/>
      <c r="G150" s="683" t="n"/>
      <c r="H150" s="683" t="n"/>
      <c r="I150" s="683" t="n"/>
      <c r="J150" s="683" t="n"/>
      <c r="K150" s="683" t="n"/>
      <c r="L150" s="683" t="n"/>
      <c r="M150" s="683" t="n"/>
      <c r="N150" s="683" t="n"/>
      <c r="O150" s="683" t="n"/>
      <c r="P150" s="683" t="n"/>
      <c r="Q150" s="683" t="n"/>
      <c r="R150" s="683" t="n"/>
      <c r="S150" s="683" t="n"/>
      <c r="T150" s="683" t="n"/>
      <c r="U150" s="683" t="n"/>
      <c r="V150" s="683" t="n"/>
      <c r="W150" s="683" t="n"/>
      <c r="X150" s="683" t="n"/>
      <c r="Y150" s="683" t="n"/>
    </row>
    <row r="151">
      <c r="A151" s="683" t="n"/>
      <c r="B151" s="683" t="n"/>
      <c r="C151" s="683" t="n"/>
      <c r="D151" s="683" t="n"/>
      <c r="E151" s="683" t="n"/>
      <c r="F151" s="683" t="n"/>
      <c r="G151" s="683" t="n"/>
      <c r="H151" s="683" t="n"/>
      <c r="I151" s="683" t="n"/>
      <c r="J151" s="683" t="n"/>
      <c r="K151" s="683" t="n"/>
      <c r="L151" s="683" t="n"/>
      <c r="M151" s="683" t="n"/>
      <c r="N151" s="683" t="n"/>
      <c r="O151" s="683" t="n"/>
      <c r="P151" s="683" t="n"/>
      <c r="Q151" s="683" t="n"/>
      <c r="R151" s="683" t="n"/>
      <c r="S151" s="683" t="n"/>
      <c r="T151" s="683" t="n"/>
      <c r="U151" s="683" t="n"/>
      <c r="V151" s="683" t="n"/>
      <c r="W151" s="683" t="n"/>
      <c r="X151" s="683" t="n"/>
      <c r="Y151" s="683" t="n"/>
    </row>
    <row r="152">
      <c r="A152" s="683" t="n"/>
      <c r="B152" s="683" t="n"/>
      <c r="C152" s="683" t="n"/>
      <c r="D152" s="683" t="n"/>
      <c r="E152" s="683" t="n"/>
      <c r="F152" s="683" t="n"/>
      <c r="G152" s="683" t="n"/>
      <c r="H152" s="683" t="n"/>
      <c r="I152" s="683" t="n"/>
      <c r="J152" s="683" t="n"/>
      <c r="K152" s="683" t="n"/>
      <c r="L152" s="683" t="n"/>
      <c r="M152" s="683" t="n"/>
      <c r="N152" s="683" t="n"/>
      <c r="O152" s="683" t="n"/>
      <c r="P152" s="683" t="n"/>
      <c r="Q152" s="683" t="n"/>
      <c r="R152" s="683" t="n"/>
      <c r="S152" s="683" t="n"/>
      <c r="T152" s="683" t="n"/>
      <c r="U152" s="683" t="n"/>
      <c r="V152" s="683" t="n"/>
      <c r="W152" s="683" t="n"/>
      <c r="X152" s="683" t="n"/>
      <c r="Y152" s="683" t="n"/>
    </row>
    <row r="153">
      <c r="A153" s="683" t="n"/>
      <c r="B153" s="683" t="n"/>
      <c r="C153" s="683" t="n"/>
      <c r="D153" s="683" t="n"/>
      <c r="E153" s="683" t="n"/>
      <c r="F153" s="683" t="n"/>
      <c r="G153" s="683" t="n"/>
      <c r="H153" s="683" t="n"/>
      <c r="I153" s="683" t="n"/>
      <c r="J153" s="683" t="n"/>
      <c r="K153" s="683" t="n"/>
      <c r="L153" s="683" t="n"/>
      <c r="M153" s="683" t="n"/>
      <c r="N153" s="683" t="n"/>
      <c r="O153" s="683" t="n"/>
      <c r="P153" s="683" t="n"/>
      <c r="Q153" s="683" t="n"/>
      <c r="R153" s="683" t="n"/>
      <c r="S153" s="683" t="n"/>
      <c r="T153" s="683" t="n"/>
      <c r="U153" s="683" t="n"/>
      <c r="V153" s="683" t="n"/>
      <c r="W153" s="683" t="n"/>
      <c r="X153" s="683" t="n"/>
      <c r="Y153" s="683" t="n"/>
    </row>
    <row r="154">
      <c r="A154" s="683" t="n"/>
      <c r="B154" s="683" t="n"/>
      <c r="C154" s="683" t="n"/>
      <c r="D154" s="683" t="n"/>
      <c r="E154" s="683" t="n"/>
      <c r="F154" s="683" t="n"/>
      <c r="G154" s="683" t="n"/>
      <c r="H154" s="683" t="n"/>
      <c r="I154" s="683" t="n"/>
      <c r="J154" s="683" t="n"/>
      <c r="K154" s="683" t="n"/>
      <c r="L154" s="683" t="n"/>
      <c r="M154" s="683" t="n"/>
      <c r="N154" s="683" t="n"/>
      <c r="O154" s="683" t="n"/>
      <c r="P154" s="683" t="n"/>
      <c r="Q154" s="683" t="n"/>
      <c r="R154" s="683" t="n"/>
      <c r="S154" s="683" t="n"/>
      <c r="T154" s="683" t="n"/>
      <c r="U154" s="683" t="n"/>
      <c r="V154" s="683" t="n"/>
      <c r="W154" s="683" t="n"/>
      <c r="X154" s="683" t="n"/>
      <c r="Y154" s="683" t="n"/>
    </row>
    <row r="155">
      <c r="A155" s="683" t="n"/>
      <c r="B155" s="683" t="n"/>
      <c r="C155" s="683" t="n"/>
      <c r="D155" s="683" t="n"/>
      <c r="E155" s="683" t="n"/>
      <c r="F155" s="683" t="n"/>
      <c r="G155" s="683" t="n"/>
      <c r="H155" s="683" t="n"/>
      <c r="I155" s="683" t="n"/>
      <c r="J155" s="683" t="n"/>
      <c r="K155" s="683" t="n"/>
      <c r="L155" s="683" t="n"/>
      <c r="M155" s="683" t="n"/>
      <c r="N155" s="683" t="n"/>
      <c r="O155" s="683" t="n"/>
      <c r="P155" s="683" t="n"/>
      <c r="Q155" s="683" t="n"/>
      <c r="R155" s="683" t="n"/>
      <c r="S155" s="683" t="n"/>
      <c r="T155" s="683" t="n"/>
      <c r="U155" s="683" t="n"/>
      <c r="V155" s="683" t="n"/>
      <c r="W155" s="683" t="n"/>
      <c r="X155" s="683" t="n"/>
      <c r="Y155" s="683" t="n"/>
    </row>
    <row r="156">
      <c r="A156" s="683" t="n"/>
      <c r="B156" s="683" t="n"/>
      <c r="C156" s="683" t="n"/>
      <c r="D156" s="683" t="n"/>
      <c r="E156" s="683" t="n"/>
      <c r="F156" s="683" t="n"/>
      <c r="G156" s="683" t="n"/>
      <c r="H156" s="683" t="n"/>
      <c r="I156" s="683" t="n"/>
      <c r="J156" s="683" t="n"/>
      <c r="K156" s="683" t="n"/>
      <c r="L156" s="683" t="n"/>
      <c r="M156" s="683" t="n"/>
      <c r="N156" s="683" t="n"/>
      <c r="O156" s="683" t="n"/>
      <c r="P156" s="683" t="n"/>
      <c r="Q156" s="683" t="n"/>
      <c r="R156" s="683" t="n"/>
      <c r="S156" s="683" t="n"/>
      <c r="T156" s="683" t="n"/>
      <c r="U156" s="683" t="n"/>
      <c r="V156" s="683" t="n"/>
      <c r="W156" s="683" t="n"/>
      <c r="X156" s="683" t="n"/>
      <c r="Y156" s="683" t="n"/>
    </row>
    <row r="157">
      <c r="A157" s="683" t="n"/>
      <c r="B157" s="683" t="n"/>
      <c r="C157" s="683" t="n"/>
      <c r="D157" s="683" t="n"/>
      <c r="E157" s="683" t="n"/>
      <c r="F157" s="683" t="n"/>
      <c r="G157" s="683" t="n"/>
      <c r="H157" s="683" t="n"/>
      <c r="I157" s="683" t="n"/>
      <c r="J157" s="683" t="n"/>
      <c r="K157" s="683" t="n"/>
      <c r="L157" s="683" t="n"/>
      <c r="M157" s="683" t="n"/>
      <c r="N157" s="683" t="n"/>
      <c r="O157" s="683" t="n"/>
      <c r="P157" s="683" t="n"/>
      <c r="Q157" s="683" t="n"/>
      <c r="R157" s="683" t="n"/>
      <c r="S157" s="683" t="n"/>
      <c r="T157" s="683" t="n"/>
      <c r="U157" s="683" t="n"/>
      <c r="V157" s="683" t="n"/>
      <c r="W157" s="683" t="n"/>
      <c r="X157" s="683" t="n"/>
      <c r="Y157" s="683" t="n"/>
    </row>
    <row r="158">
      <c r="A158" s="683" t="n"/>
      <c r="B158" s="683" t="n"/>
      <c r="C158" s="683" t="n"/>
      <c r="D158" s="683" t="n"/>
      <c r="E158" s="683" t="n"/>
      <c r="F158" s="683" t="n"/>
      <c r="G158" s="683" t="n"/>
      <c r="H158" s="683" t="n"/>
      <c r="I158" s="683" t="n"/>
      <c r="J158" s="683" t="n"/>
      <c r="K158" s="683" t="n"/>
      <c r="L158" s="683" t="n"/>
      <c r="M158" s="683" t="n"/>
      <c r="N158" s="683" t="n"/>
      <c r="O158" s="683" t="n"/>
      <c r="P158" s="683" t="n"/>
      <c r="Q158" s="683" t="n"/>
      <c r="R158" s="683" t="n"/>
      <c r="S158" s="683" t="n"/>
      <c r="T158" s="683" t="n"/>
      <c r="U158" s="683" t="n"/>
      <c r="V158" s="683" t="n"/>
      <c r="W158" s="683" t="n"/>
      <c r="X158" s="683" t="n"/>
      <c r="Y158" s="683" t="n"/>
    </row>
    <row r="159">
      <c r="A159" s="683" t="n"/>
      <c r="B159" s="683" t="n"/>
      <c r="C159" s="683" t="n"/>
      <c r="D159" s="683" t="n"/>
      <c r="E159" s="683" t="n"/>
      <c r="F159" s="683" t="n"/>
      <c r="G159" s="683" t="n"/>
      <c r="H159" s="683" t="n"/>
      <c r="I159" s="683" t="n"/>
      <c r="J159" s="683" t="n"/>
      <c r="K159" s="683" t="n"/>
      <c r="L159" s="683" t="n"/>
      <c r="M159" s="683" t="n"/>
      <c r="N159" s="683" t="n"/>
      <c r="O159" s="683" t="n"/>
      <c r="P159" s="683" t="n"/>
      <c r="Q159" s="683" t="n"/>
      <c r="R159" s="683" t="n"/>
      <c r="S159" s="683" t="n"/>
      <c r="T159" s="683" t="n"/>
      <c r="U159" s="683" t="n"/>
      <c r="V159" s="683" t="n"/>
      <c r="W159" s="683" t="n"/>
      <c r="X159" s="683" t="n"/>
      <c r="Y159" s="683" t="n"/>
    </row>
    <row r="160">
      <c r="A160" s="683" t="n"/>
      <c r="B160" s="683" t="n"/>
      <c r="C160" s="683" t="n"/>
      <c r="D160" s="683" t="n"/>
      <c r="E160" s="683" t="n"/>
      <c r="F160" s="683" t="n"/>
      <c r="G160" s="683" t="n"/>
      <c r="H160" s="683" t="n"/>
      <c r="I160" s="683" t="n"/>
      <c r="J160" s="683" t="n"/>
      <c r="K160" s="683" t="n"/>
      <c r="L160" s="683" t="n"/>
      <c r="M160" s="683" t="n"/>
      <c r="N160" s="683" t="n"/>
      <c r="O160" s="683" t="n"/>
      <c r="P160" s="683" t="n"/>
      <c r="Q160" s="683" t="n"/>
      <c r="R160" s="683" t="n"/>
      <c r="S160" s="683" t="n"/>
      <c r="T160" s="683" t="n"/>
      <c r="U160" s="683" t="n"/>
      <c r="V160" s="683" t="n"/>
      <c r="W160" s="683" t="n"/>
      <c r="X160" s="683" t="n"/>
      <c r="Y160" s="683" t="n"/>
    </row>
    <row r="161">
      <c r="A161" s="683" t="n"/>
      <c r="B161" s="683" t="n"/>
      <c r="C161" s="683" t="n"/>
      <c r="D161" s="683" t="n"/>
      <c r="E161" s="683" t="n"/>
      <c r="F161" s="683" t="n"/>
      <c r="G161" s="683" t="n"/>
      <c r="H161" s="683" t="n"/>
      <c r="I161" s="683" t="n"/>
      <c r="J161" s="683" t="n"/>
      <c r="K161" s="683" t="n"/>
      <c r="L161" s="683" t="n"/>
      <c r="M161" s="683" t="n"/>
      <c r="N161" s="683" t="n"/>
      <c r="O161" s="683" t="n"/>
      <c r="P161" s="683" t="n"/>
      <c r="Q161" s="683" t="n"/>
      <c r="R161" s="683" t="n"/>
      <c r="S161" s="683" t="n"/>
      <c r="T161" s="683" t="n"/>
      <c r="U161" s="683" t="n"/>
      <c r="V161" s="683" t="n"/>
      <c r="W161" s="683" t="n"/>
      <c r="X161" s="683" t="n"/>
      <c r="Y161" s="683" t="n"/>
    </row>
    <row r="162">
      <c r="A162" s="683" t="n"/>
      <c r="B162" s="683" t="n"/>
      <c r="C162" s="683" t="n"/>
      <c r="D162" s="683" t="n"/>
      <c r="E162" s="683" t="n"/>
      <c r="F162" s="683" t="n"/>
      <c r="G162" s="683" t="n"/>
      <c r="H162" s="683" t="n"/>
      <c r="I162" s="683" t="n"/>
      <c r="J162" s="683" t="n"/>
      <c r="K162" s="683" t="n"/>
      <c r="L162" s="683" t="n"/>
      <c r="M162" s="683" t="n"/>
      <c r="N162" s="683" t="n"/>
      <c r="O162" s="683" t="n"/>
      <c r="P162" s="683" t="n"/>
      <c r="Q162" s="683" t="n"/>
      <c r="R162" s="683" t="n"/>
      <c r="S162" s="683" t="n"/>
      <c r="T162" s="683" t="n"/>
      <c r="U162" s="683" t="n"/>
      <c r="V162" s="683" t="n"/>
      <c r="W162" s="683" t="n"/>
      <c r="X162" s="683" t="n"/>
      <c r="Y162" s="683" t="n"/>
    </row>
    <row r="163">
      <c r="A163" s="683" t="n"/>
      <c r="B163" s="683" t="n"/>
      <c r="C163" s="683" t="n"/>
      <c r="D163" s="683" t="n"/>
      <c r="E163" s="683" t="n"/>
      <c r="F163" s="683" t="n"/>
      <c r="G163" s="683" t="n"/>
      <c r="H163" s="683" t="n"/>
      <c r="I163" s="683" t="n"/>
      <c r="J163" s="683" t="n"/>
      <c r="K163" s="683" t="n"/>
      <c r="L163" s="683" t="n"/>
      <c r="M163" s="683" t="n"/>
      <c r="N163" s="683" t="n"/>
      <c r="O163" s="683" t="n"/>
      <c r="P163" s="683" t="n"/>
      <c r="Q163" s="683" t="n"/>
      <c r="R163" s="683" t="n"/>
      <c r="S163" s="683" t="n"/>
      <c r="T163" s="683" t="n"/>
      <c r="U163" s="683" t="n"/>
      <c r="V163" s="683" t="n"/>
      <c r="W163" s="683" t="n"/>
      <c r="X163" s="683" t="n"/>
      <c r="Y163" s="683" t="n"/>
    </row>
    <row r="164">
      <c r="A164" s="683" t="n"/>
      <c r="B164" s="683" t="n"/>
      <c r="C164" s="683" t="n"/>
      <c r="D164" s="683" t="n"/>
      <c r="E164" s="683" t="n"/>
      <c r="F164" s="683" t="n"/>
      <c r="G164" s="683" t="n"/>
      <c r="H164" s="683" t="n"/>
      <c r="I164" s="683" t="n"/>
      <c r="J164" s="683" t="n"/>
      <c r="K164" s="683" t="n"/>
      <c r="L164" s="683" t="n"/>
      <c r="M164" s="683" t="n"/>
      <c r="N164" s="683" t="n"/>
      <c r="O164" s="683" t="n"/>
      <c r="P164" s="683" t="n"/>
      <c r="Q164" s="683" t="n"/>
      <c r="R164" s="683" t="n"/>
      <c r="S164" s="683" t="n"/>
      <c r="T164" s="683" t="n"/>
      <c r="U164" s="683" t="n"/>
      <c r="V164" s="683" t="n"/>
      <c r="W164" s="683" t="n"/>
      <c r="X164" s="683" t="n"/>
      <c r="Y164" s="683" t="n"/>
    </row>
    <row r="165">
      <c r="A165" s="683" t="n"/>
      <c r="B165" s="683" t="n"/>
      <c r="C165" s="683" t="n"/>
      <c r="D165" s="683" t="n"/>
      <c r="E165" s="683" t="n"/>
      <c r="F165" s="683" t="n"/>
      <c r="G165" s="683" t="n"/>
      <c r="H165" s="683" t="n"/>
      <c r="I165" s="683" t="n"/>
      <c r="J165" s="683" t="n"/>
      <c r="K165" s="683" t="n"/>
      <c r="L165" s="683" t="n"/>
      <c r="M165" s="683" t="n"/>
      <c r="N165" s="683" t="n"/>
      <c r="O165" s="683" t="n"/>
      <c r="P165" s="683" t="n"/>
      <c r="Q165" s="683" t="n"/>
      <c r="R165" s="683" t="n"/>
      <c r="S165" s="683" t="n"/>
      <c r="T165" s="683" t="n"/>
      <c r="U165" s="683" t="n"/>
      <c r="V165" s="683" t="n"/>
      <c r="W165" s="683" t="n"/>
      <c r="X165" s="683" t="n"/>
      <c r="Y165" s="683" t="n"/>
    </row>
    <row r="166">
      <c r="A166" s="683" t="n"/>
      <c r="B166" s="683" t="n"/>
      <c r="C166" s="683" t="n"/>
      <c r="D166" s="683" t="n"/>
      <c r="E166" s="683" t="n"/>
      <c r="F166" s="683" t="n"/>
      <c r="G166" s="683" t="n"/>
      <c r="H166" s="683" t="n"/>
      <c r="I166" s="683" t="n"/>
      <c r="J166" s="683" t="n"/>
      <c r="K166" s="683" t="n"/>
      <c r="L166" s="683" t="n"/>
      <c r="M166" s="683" t="n"/>
      <c r="N166" s="683" t="n"/>
      <c r="O166" s="683" t="n"/>
      <c r="P166" s="683" t="n"/>
      <c r="Q166" s="683" t="n"/>
      <c r="R166" s="683" t="n"/>
      <c r="S166" s="683" t="n"/>
      <c r="T166" s="683" t="n"/>
      <c r="U166" s="683" t="n"/>
      <c r="V166" s="683" t="n"/>
      <c r="W166" s="683" t="n"/>
      <c r="X166" s="683" t="n"/>
      <c r="Y166" s="683" t="n"/>
    </row>
    <row r="167">
      <c r="A167" s="683" t="n"/>
      <c r="B167" s="683" t="n"/>
      <c r="C167" s="683" t="n"/>
      <c r="D167" s="683" t="n"/>
      <c r="E167" s="683" t="n"/>
      <c r="F167" s="683" t="n"/>
      <c r="G167" s="683" t="n"/>
      <c r="H167" s="683" t="n"/>
      <c r="I167" s="683" t="n"/>
      <c r="J167" s="683" t="n"/>
      <c r="K167" s="683" t="n"/>
      <c r="L167" s="683" t="n"/>
      <c r="M167" s="683" t="n"/>
      <c r="N167" s="683" t="n"/>
      <c r="O167" s="683" t="n"/>
      <c r="P167" s="683" t="n"/>
      <c r="Q167" s="683" t="n"/>
      <c r="R167" s="683" t="n"/>
      <c r="S167" s="683" t="n"/>
      <c r="T167" s="683" t="n"/>
      <c r="U167" s="683" t="n"/>
      <c r="V167" s="683" t="n"/>
      <c r="W167" s="683" t="n"/>
      <c r="X167" s="683" t="n"/>
      <c r="Y167" s="683" t="n"/>
    </row>
    <row r="168">
      <c r="A168" s="683" t="n"/>
      <c r="B168" s="683" t="n"/>
      <c r="C168" s="683" t="n"/>
      <c r="D168" s="683" t="n"/>
      <c r="E168" s="683" t="n"/>
      <c r="F168" s="683" t="n"/>
      <c r="G168" s="683" t="n"/>
      <c r="H168" s="683" t="n"/>
      <c r="I168" s="683" t="n"/>
      <c r="J168" s="683" t="n"/>
      <c r="K168" s="683" t="n"/>
      <c r="L168" s="683" t="n"/>
      <c r="M168" s="683" t="n"/>
      <c r="N168" s="683" t="n"/>
      <c r="O168" s="683" t="n"/>
      <c r="P168" s="683" t="n"/>
      <c r="Q168" s="683" t="n"/>
      <c r="R168" s="683" t="n"/>
      <c r="S168" s="683" t="n"/>
      <c r="T168" s="683" t="n"/>
      <c r="U168" s="683" t="n"/>
      <c r="V168" s="683" t="n"/>
      <c r="W168" s="683" t="n"/>
      <c r="X168" s="683" t="n"/>
      <c r="Y168" s="683" t="n"/>
    </row>
    <row r="169">
      <c r="A169" s="683" t="n"/>
      <c r="B169" s="683" t="n"/>
      <c r="C169" s="683" t="n"/>
      <c r="D169" s="683" t="n"/>
      <c r="E169" s="683" t="n"/>
      <c r="F169" s="683" t="n"/>
      <c r="G169" s="683" t="n"/>
      <c r="H169" s="683" t="n"/>
      <c r="I169" s="683" t="n"/>
      <c r="J169" s="683" t="n"/>
      <c r="K169" s="683" t="n"/>
      <c r="L169" s="683" t="n"/>
      <c r="M169" s="683" t="n"/>
      <c r="N169" s="683" t="n"/>
      <c r="O169" s="683" t="n"/>
      <c r="P169" s="683" t="n"/>
      <c r="Q169" s="683" t="n"/>
      <c r="R169" s="683" t="n"/>
      <c r="S169" s="683" t="n"/>
      <c r="T169" s="683" t="n"/>
      <c r="U169" s="683" t="n"/>
      <c r="V169" s="683" t="n"/>
      <c r="W169" s="683" t="n"/>
      <c r="X169" s="683" t="n"/>
      <c r="Y169" s="683" t="n"/>
    </row>
    <row r="170">
      <c r="A170" s="683" t="n"/>
      <c r="B170" s="683" t="n"/>
      <c r="C170" s="683" t="n"/>
      <c r="D170" s="683" t="n"/>
      <c r="E170" s="683" t="n"/>
      <c r="F170" s="683" t="n"/>
      <c r="G170" s="683" t="n"/>
      <c r="H170" s="683" t="n"/>
      <c r="I170" s="683" t="n"/>
      <c r="J170" s="683" t="n"/>
      <c r="K170" s="683" t="n"/>
      <c r="L170" s="683" t="n"/>
      <c r="M170" s="683" t="n"/>
      <c r="N170" s="683" t="n"/>
      <c r="O170" s="683" t="n"/>
      <c r="P170" s="683" t="n"/>
      <c r="Q170" s="683" t="n"/>
      <c r="R170" s="683" t="n"/>
      <c r="S170" s="683" t="n"/>
      <c r="T170" s="683" t="n"/>
      <c r="U170" s="683" t="n"/>
      <c r="V170" s="683" t="n"/>
      <c r="W170" s="683" t="n"/>
      <c r="X170" s="683" t="n"/>
      <c r="Y170" s="683" t="n"/>
    </row>
    <row r="171">
      <c r="A171" s="683" t="n"/>
      <c r="B171" s="683" t="n"/>
      <c r="C171" s="683" t="n"/>
      <c r="D171" s="683" t="n"/>
      <c r="E171" s="683" t="n"/>
      <c r="F171" s="683" t="n"/>
      <c r="G171" s="683" t="n"/>
      <c r="H171" s="683" t="n"/>
      <c r="I171" s="683" t="n"/>
      <c r="J171" s="683" t="n"/>
      <c r="K171" s="683" t="n"/>
      <c r="L171" s="683" t="n"/>
      <c r="M171" s="683" t="n"/>
      <c r="N171" s="683" t="n"/>
      <c r="O171" s="683" t="n"/>
      <c r="P171" s="683" t="n"/>
      <c r="Q171" s="683" t="n"/>
      <c r="R171" s="683" t="n"/>
      <c r="S171" s="683" t="n"/>
      <c r="T171" s="683" t="n"/>
      <c r="U171" s="683" t="n"/>
      <c r="V171" s="683" t="n"/>
      <c r="W171" s="683" t="n"/>
      <c r="X171" s="683" t="n"/>
      <c r="Y171" s="683" t="n"/>
    </row>
    <row r="172">
      <c r="A172" s="683" t="n"/>
      <c r="B172" s="683" t="n"/>
      <c r="C172" s="683" t="n"/>
      <c r="D172" s="683" t="n"/>
      <c r="E172" s="683" t="n"/>
      <c r="F172" s="683" t="n"/>
      <c r="G172" s="683" t="n"/>
      <c r="H172" s="683" t="n"/>
      <c r="I172" s="683" t="n"/>
      <c r="J172" s="683" t="n"/>
      <c r="K172" s="683" t="n"/>
      <c r="L172" s="683" t="n"/>
      <c r="M172" s="683" t="n"/>
      <c r="N172" s="683" t="n"/>
      <c r="O172" s="683" t="n"/>
      <c r="P172" s="683" t="n"/>
      <c r="Q172" s="683" t="n"/>
      <c r="R172" s="683" t="n"/>
      <c r="S172" s="683" t="n"/>
      <c r="T172" s="683" t="n"/>
      <c r="U172" s="683" t="n"/>
      <c r="V172" s="683" t="n"/>
      <c r="W172" s="683" t="n"/>
      <c r="X172" s="683" t="n"/>
      <c r="Y172" s="683" t="n"/>
    </row>
    <row r="173">
      <c r="A173" s="683" t="n"/>
      <c r="B173" s="683" t="n"/>
      <c r="C173" s="683" t="n"/>
      <c r="D173" s="683" t="n"/>
      <c r="E173" s="683" t="n"/>
      <c r="F173" s="683" t="n"/>
      <c r="G173" s="683" t="n"/>
      <c r="H173" s="683" t="n"/>
      <c r="I173" s="683" t="n"/>
      <c r="J173" s="683" t="n"/>
      <c r="K173" s="683" t="n"/>
      <c r="L173" s="683" t="n"/>
      <c r="M173" s="683" t="n"/>
      <c r="N173" s="683" t="n"/>
      <c r="O173" s="683" t="n"/>
      <c r="P173" s="683" t="n"/>
      <c r="Q173" s="683" t="n"/>
      <c r="R173" s="683" t="n"/>
      <c r="S173" s="683" t="n"/>
      <c r="T173" s="683" t="n"/>
      <c r="U173" s="683" t="n"/>
      <c r="V173" s="683" t="n"/>
      <c r="W173" s="683" t="n"/>
      <c r="X173" s="683" t="n"/>
      <c r="Y173" s="683" t="n"/>
    </row>
    <row r="174">
      <c r="A174" s="683" t="n"/>
      <c r="B174" s="683" t="n"/>
      <c r="C174" s="683" t="n"/>
      <c r="D174" s="683" t="n"/>
      <c r="E174" s="683" t="n"/>
      <c r="F174" s="683" t="n"/>
      <c r="G174" s="683" t="n"/>
      <c r="H174" s="683" t="n"/>
      <c r="I174" s="683" t="n"/>
      <c r="J174" s="683" t="n"/>
      <c r="K174" s="683" t="n"/>
      <c r="L174" s="683" t="n"/>
      <c r="M174" s="683" t="n"/>
      <c r="N174" s="683" t="n"/>
      <c r="O174" s="683" t="n"/>
      <c r="P174" s="683" t="n"/>
      <c r="Q174" s="683" t="n"/>
      <c r="R174" s="683" t="n"/>
      <c r="S174" s="683" t="n"/>
      <c r="T174" s="683" t="n"/>
      <c r="U174" s="683" t="n"/>
      <c r="V174" s="683" t="n"/>
      <c r="W174" s="683" t="n"/>
      <c r="X174" s="683" t="n"/>
      <c r="Y174" s="683" t="n"/>
    </row>
    <row r="175">
      <c r="A175" s="683" t="n"/>
      <c r="B175" s="683" t="n"/>
      <c r="C175" s="683" t="n"/>
      <c r="D175" s="683" t="n"/>
      <c r="E175" s="683" t="n"/>
      <c r="F175" s="683" t="n"/>
      <c r="G175" s="683" t="n"/>
      <c r="H175" s="683" t="n"/>
      <c r="I175" s="683" t="n"/>
      <c r="J175" s="683" t="n"/>
      <c r="K175" s="683" t="n"/>
      <c r="L175" s="683" t="n"/>
      <c r="M175" s="683" t="n"/>
      <c r="N175" s="683" t="n"/>
      <c r="O175" s="683" t="n"/>
      <c r="P175" s="683" t="n"/>
      <c r="Q175" s="683" t="n"/>
      <c r="R175" s="683" t="n"/>
      <c r="S175" s="683" t="n"/>
      <c r="T175" s="683" t="n"/>
      <c r="U175" s="683" t="n"/>
      <c r="V175" s="683" t="n"/>
      <c r="W175" s="683" t="n"/>
      <c r="X175" s="683" t="n"/>
      <c r="Y175" s="683" t="n"/>
    </row>
    <row r="176">
      <c r="A176" s="683" t="n"/>
      <c r="B176" s="683" t="n"/>
      <c r="C176" s="683" t="n"/>
      <c r="D176" s="683" t="n"/>
      <c r="E176" s="683" t="n"/>
      <c r="F176" s="683" t="n"/>
      <c r="G176" s="683" t="n"/>
      <c r="H176" s="683" t="n"/>
      <c r="I176" s="683" t="n"/>
      <c r="J176" s="683" t="n"/>
      <c r="K176" s="683" t="n"/>
      <c r="L176" s="683" t="n"/>
      <c r="M176" s="683" t="n"/>
      <c r="N176" s="683" t="n"/>
      <c r="O176" s="683" t="n"/>
      <c r="P176" s="683" t="n"/>
      <c r="Q176" s="683" t="n"/>
      <c r="R176" s="683" t="n"/>
      <c r="S176" s="683" t="n"/>
      <c r="T176" s="683" t="n"/>
      <c r="U176" s="683" t="n"/>
      <c r="V176" s="683" t="n"/>
      <c r="W176" s="683" t="n"/>
      <c r="X176" s="683" t="n"/>
      <c r="Y176" s="683" t="n"/>
    </row>
    <row r="177">
      <c r="A177" s="683" t="n"/>
      <c r="B177" s="683" t="n"/>
      <c r="C177" s="683" t="n"/>
      <c r="D177" s="683" t="n"/>
      <c r="E177" s="683" t="n"/>
      <c r="F177" s="683" t="n"/>
      <c r="G177" s="683" t="n"/>
      <c r="H177" s="683" t="n"/>
      <c r="I177" s="683" t="n"/>
      <c r="J177" s="683" t="n"/>
      <c r="K177" s="683" t="n"/>
      <c r="L177" s="683" t="n"/>
      <c r="M177" s="683" t="n"/>
      <c r="N177" s="683" t="n"/>
      <c r="O177" s="683" t="n"/>
      <c r="P177" s="683" t="n"/>
      <c r="Q177" s="683" t="n"/>
      <c r="R177" s="683" t="n"/>
      <c r="S177" s="683" t="n"/>
      <c r="T177" s="683" t="n"/>
      <c r="U177" s="683" t="n"/>
      <c r="V177" s="683" t="n"/>
      <c r="W177" s="683" t="n"/>
      <c r="X177" s="683" t="n"/>
      <c r="Y177" s="683" t="n"/>
    </row>
    <row r="178">
      <c r="A178" s="683" t="n"/>
      <c r="B178" s="683" t="n"/>
      <c r="C178" s="683" t="n"/>
      <c r="D178" s="683" t="n"/>
      <c r="E178" s="683" t="n"/>
      <c r="F178" s="683" t="n"/>
      <c r="G178" s="683" t="n"/>
      <c r="H178" s="683" t="n"/>
      <c r="I178" s="683" t="n"/>
      <c r="J178" s="683" t="n"/>
      <c r="K178" s="683" t="n"/>
      <c r="L178" s="683" t="n"/>
      <c r="M178" s="683" t="n"/>
      <c r="N178" s="683" t="n"/>
      <c r="O178" s="683" t="n"/>
      <c r="P178" s="683" t="n"/>
      <c r="Q178" s="683" t="n"/>
      <c r="R178" s="683" t="n"/>
      <c r="S178" s="683" t="n"/>
      <c r="T178" s="683" t="n"/>
      <c r="U178" s="683" t="n"/>
      <c r="V178" s="683" t="n"/>
      <c r="W178" s="683" t="n"/>
      <c r="X178" s="683" t="n"/>
      <c r="Y178" s="683" t="n"/>
    </row>
    <row r="179">
      <c r="A179" s="683" t="n"/>
      <c r="B179" s="683" t="n"/>
      <c r="C179" s="683" t="n"/>
      <c r="D179" s="683" t="n"/>
      <c r="E179" s="683" t="n"/>
      <c r="F179" s="683" t="n"/>
      <c r="G179" s="683" t="n"/>
      <c r="H179" s="683" t="n"/>
      <c r="I179" s="683" t="n"/>
      <c r="J179" s="683" t="n"/>
      <c r="K179" s="683" t="n"/>
      <c r="L179" s="683" t="n"/>
      <c r="M179" s="683" t="n"/>
      <c r="N179" s="683" t="n"/>
      <c r="O179" s="683" t="n"/>
      <c r="P179" s="683" t="n"/>
      <c r="Q179" s="683" t="n"/>
      <c r="R179" s="683" t="n"/>
      <c r="S179" s="683" t="n"/>
      <c r="T179" s="683" t="n"/>
      <c r="U179" s="683" t="n"/>
      <c r="V179" s="683" t="n"/>
      <c r="W179" s="683" t="n"/>
      <c r="X179" s="683" t="n"/>
      <c r="Y179" s="683" t="n"/>
    </row>
    <row r="180">
      <c r="A180" s="683" t="n"/>
      <c r="B180" s="683" t="n"/>
      <c r="C180" s="683" t="n"/>
      <c r="D180" s="683" t="n"/>
      <c r="E180" s="683" t="n"/>
      <c r="F180" s="683" t="n"/>
      <c r="G180" s="683" t="n"/>
      <c r="H180" s="683" t="n"/>
      <c r="I180" s="683" t="n"/>
      <c r="J180" s="683" t="n"/>
      <c r="K180" s="683" t="n"/>
      <c r="L180" s="683" t="n"/>
      <c r="M180" s="683" t="n"/>
      <c r="N180" s="683" t="n"/>
      <c r="O180" s="683" t="n"/>
      <c r="P180" s="683" t="n"/>
      <c r="Q180" s="683" t="n"/>
      <c r="R180" s="683" t="n"/>
      <c r="S180" s="683" t="n"/>
      <c r="T180" s="683" t="n"/>
      <c r="U180" s="683" t="n"/>
      <c r="V180" s="683" t="n"/>
      <c r="W180" s="683" t="n"/>
      <c r="X180" s="683" t="n"/>
      <c r="Y180" s="683" t="n"/>
    </row>
    <row r="181">
      <c r="A181" s="683" t="n"/>
      <c r="B181" s="683" t="n"/>
      <c r="C181" s="683" t="n"/>
      <c r="D181" s="683" t="n"/>
      <c r="E181" s="683" t="n"/>
      <c r="F181" s="683" t="n"/>
      <c r="G181" s="683" t="n"/>
      <c r="H181" s="683" t="n"/>
      <c r="I181" s="683" t="n"/>
      <c r="J181" s="683" t="n"/>
      <c r="K181" s="683" t="n"/>
      <c r="L181" s="683" t="n"/>
      <c r="M181" s="683" t="n"/>
      <c r="N181" s="683" t="n"/>
      <c r="O181" s="683" t="n"/>
      <c r="P181" s="683" t="n"/>
      <c r="Q181" s="683" t="n"/>
      <c r="R181" s="683" t="n"/>
      <c r="S181" s="683" t="n"/>
      <c r="T181" s="683" t="n"/>
      <c r="U181" s="683" t="n"/>
      <c r="V181" s="683" t="n"/>
      <c r="W181" s="683" t="n"/>
      <c r="X181" s="683" t="n"/>
      <c r="Y181" s="683" t="n"/>
    </row>
    <row r="182">
      <c r="A182" s="683" t="n"/>
      <c r="B182" s="683" t="n"/>
      <c r="C182" s="683" t="n"/>
      <c r="D182" s="683" t="n"/>
      <c r="E182" s="683" t="n"/>
      <c r="F182" s="683" t="n"/>
      <c r="G182" s="683" t="n"/>
      <c r="H182" s="683" t="n"/>
      <c r="I182" s="683" t="n"/>
      <c r="J182" s="683" t="n"/>
      <c r="K182" s="683" t="n"/>
      <c r="L182" s="683" t="n"/>
      <c r="M182" s="683" t="n"/>
      <c r="N182" s="683" t="n"/>
      <c r="O182" s="683" t="n"/>
      <c r="P182" s="683" t="n"/>
      <c r="Q182" s="683" t="n"/>
      <c r="R182" s="683" t="n"/>
      <c r="S182" s="683" t="n"/>
      <c r="T182" s="683" t="n"/>
      <c r="U182" s="683" t="n"/>
      <c r="V182" s="683" t="n"/>
      <c r="W182" s="683" t="n"/>
      <c r="X182" s="683" t="n"/>
      <c r="Y182" s="683" t="n"/>
    </row>
    <row r="183">
      <c r="A183" s="683" t="n"/>
      <c r="B183" s="683" t="n"/>
      <c r="C183" s="683" t="n"/>
      <c r="D183" s="683" t="n"/>
      <c r="E183" s="683" t="n"/>
      <c r="F183" s="683" t="n"/>
      <c r="G183" s="683" t="n"/>
      <c r="H183" s="683" t="n"/>
      <c r="I183" s="683" t="n"/>
      <c r="J183" s="683" t="n"/>
      <c r="K183" s="683" t="n"/>
      <c r="L183" s="683" t="n"/>
      <c r="M183" s="683" t="n"/>
      <c r="N183" s="683" t="n"/>
      <c r="O183" s="683" t="n"/>
      <c r="P183" s="683" t="n"/>
      <c r="Q183" s="683" t="n"/>
      <c r="R183" s="683" t="n"/>
      <c r="S183" s="683" t="n"/>
      <c r="T183" s="683" t="n"/>
      <c r="U183" s="683" t="n"/>
      <c r="V183" s="683" t="n"/>
      <c r="W183" s="683" t="n"/>
      <c r="X183" s="683" t="n"/>
      <c r="Y183" s="683" t="n"/>
    </row>
    <row r="184">
      <c r="A184" s="683" t="n"/>
      <c r="B184" s="683" t="n"/>
      <c r="C184" s="683" t="n"/>
      <c r="D184" s="683" t="n"/>
      <c r="E184" s="683" t="n"/>
      <c r="F184" s="683" t="n"/>
      <c r="G184" s="683" t="n"/>
      <c r="H184" s="683" t="n"/>
      <c r="I184" s="683" t="n"/>
      <c r="J184" s="683" t="n"/>
      <c r="K184" s="683" t="n"/>
      <c r="L184" s="683" t="n"/>
      <c r="M184" s="683" t="n"/>
      <c r="N184" s="683" t="n"/>
      <c r="O184" s="683" t="n"/>
      <c r="P184" s="683" t="n"/>
      <c r="Q184" s="683" t="n"/>
      <c r="R184" s="683" t="n"/>
      <c r="S184" s="683" t="n"/>
      <c r="T184" s="683" t="n"/>
      <c r="U184" s="683" t="n"/>
      <c r="V184" s="683" t="n"/>
      <c r="W184" s="683" t="n"/>
      <c r="X184" s="683" t="n"/>
      <c r="Y184" s="683" t="n"/>
    </row>
    <row r="185">
      <c r="A185" s="683" t="n"/>
      <c r="B185" s="683" t="n"/>
      <c r="C185" s="683" t="n"/>
      <c r="D185" s="683" t="n"/>
      <c r="E185" s="683" t="n"/>
      <c r="F185" s="683" t="n"/>
      <c r="G185" s="683" t="n"/>
      <c r="H185" s="683" t="n"/>
      <c r="I185" s="683" t="n"/>
      <c r="J185" s="683" t="n"/>
      <c r="K185" s="683" t="n"/>
      <c r="L185" s="683" t="n"/>
      <c r="M185" s="683" t="n"/>
      <c r="N185" s="683" t="n"/>
      <c r="O185" s="683" t="n"/>
      <c r="P185" s="683" t="n"/>
      <c r="Q185" s="683" t="n"/>
      <c r="R185" s="683" t="n"/>
      <c r="S185" s="683" t="n"/>
      <c r="T185" s="683" t="n"/>
      <c r="U185" s="683" t="n"/>
      <c r="V185" s="683" t="n"/>
      <c r="W185" s="683" t="n"/>
      <c r="X185" s="683" t="n"/>
      <c r="Y185" s="683" t="n"/>
    </row>
    <row r="186">
      <c r="A186" s="683" t="n"/>
      <c r="B186" s="683" t="n"/>
      <c r="C186" s="683" t="n"/>
      <c r="D186" s="683" t="n"/>
      <c r="E186" s="683" t="n"/>
      <c r="F186" s="683" t="n"/>
      <c r="G186" s="683" t="n"/>
      <c r="H186" s="683" t="n"/>
      <c r="I186" s="683" t="n"/>
      <c r="J186" s="683" t="n"/>
      <c r="K186" s="683" t="n"/>
      <c r="L186" s="683" t="n"/>
      <c r="M186" s="683" t="n"/>
      <c r="N186" s="683" t="n"/>
      <c r="O186" s="683" t="n"/>
      <c r="P186" s="683" t="n"/>
      <c r="Q186" s="683" t="n"/>
      <c r="R186" s="683" t="n"/>
      <c r="S186" s="683" t="n"/>
      <c r="T186" s="683" t="n"/>
      <c r="U186" s="683" t="n"/>
      <c r="V186" s="683" t="n"/>
      <c r="W186" s="683" t="n"/>
      <c r="X186" s="683" t="n"/>
      <c r="Y186" s="683" t="n"/>
    </row>
    <row r="187">
      <c r="A187" s="683" t="n"/>
      <c r="B187" s="683" t="n"/>
      <c r="C187" s="683" t="n"/>
      <c r="D187" s="683" t="n"/>
      <c r="E187" s="683" t="n"/>
      <c r="F187" s="683" t="n"/>
      <c r="G187" s="683" t="n"/>
      <c r="H187" s="683" t="n"/>
      <c r="I187" s="683" t="n"/>
      <c r="J187" s="683" t="n"/>
      <c r="K187" s="683" t="n"/>
      <c r="L187" s="683" t="n"/>
      <c r="M187" s="683" t="n"/>
      <c r="N187" s="683" t="n"/>
      <c r="O187" s="683" t="n"/>
      <c r="P187" s="683" t="n"/>
      <c r="Q187" s="683" t="n"/>
      <c r="R187" s="683" t="n"/>
      <c r="S187" s="683" t="n"/>
      <c r="T187" s="683" t="n"/>
      <c r="U187" s="683" t="n"/>
      <c r="V187" s="683" t="n"/>
      <c r="W187" s="683" t="n"/>
      <c r="X187" s="683" t="n"/>
      <c r="Y187" s="683" t="n"/>
    </row>
    <row r="188">
      <c r="A188" s="683" t="n"/>
      <c r="B188" s="683" t="n"/>
      <c r="C188" s="683" t="n"/>
      <c r="D188" s="683" t="n"/>
      <c r="E188" s="683" t="n"/>
      <c r="F188" s="683" t="n"/>
      <c r="G188" s="683" t="n"/>
      <c r="H188" s="683" t="n"/>
      <c r="I188" s="683" t="n"/>
      <c r="J188" s="683" t="n"/>
      <c r="K188" s="683" t="n"/>
      <c r="L188" s="683" t="n"/>
      <c r="M188" s="683" t="n"/>
      <c r="N188" s="683" t="n"/>
      <c r="O188" s="683" t="n"/>
      <c r="P188" s="683" t="n"/>
      <c r="Q188" s="683" t="n"/>
      <c r="R188" s="683" t="n"/>
      <c r="S188" s="683" t="n"/>
      <c r="T188" s="683" t="n"/>
      <c r="U188" s="683" t="n"/>
      <c r="V188" s="683" t="n"/>
      <c r="W188" s="683" t="n"/>
      <c r="X188" s="683" t="n"/>
      <c r="Y188" s="683" t="n"/>
    </row>
    <row r="189">
      <c r="A189" s="683" t="n"/>
      <c r="B189" s="683" t="n"/>
      <c r="C189" s="683" t="n"/>
      <c r="D189" s="683" t="n"/>
      <c r="E189" s="683" t="n"/>
      <c r="F189" s="683" t="n"/>
      <c r="G189" s="683" t="n"/>
      <c r="H189" s="683" t="n"/>
      <c r="I189" s="683" t="n"/>
      <c r="J189" s="683" t="n"/>
      <c r="K189" s="683" t="n"/>
      <c r="L189" s="683" t="n"/>
      <c r="M189" s="683" t="n"/>
      <c r="N189" s="683" t="n"/>
      <c r="O189" s="683" t="n"/>
      <c r="P189" s="683" t="n"/>
      <c r="Q189" s="683" t="n"/>
      <c r="R189" s="683" t="n"/>
      <c r="S189" s="683" t="n"/>
      <c r="T189" s="683" t="n"/>
      <c r="U189" s="683" t="n"/>
      <c r="V189" s="683" t="n"/>
      <c r="W189" s="683" t="n"/>
      <c r="X189" s="683" t="n"/>
      <c r="Y189" s="683" t="n"/>
    </row>
    <row r="190">
      <c r="A190" s="683" t="n"/>
      <c r="B190" s="683" t="n"/>
      <c r="C190" s="683" t="n"/>
      <c r="D190" s="683" t="n"/>
      <c r="E190" s="683" t="n"/>
      <c r="F190" s="683" t="n"/>
      <c r="G190" s="683" t="n"/>
      <c r="H190" s="683" t="n"/>
      <c r="I190" s="683" t="n"/>
      <c r="J190" s="683" t="n"/>
      <c r="K190" s="683" t="n"/>
      <c r="L190" s="683" t="n"/>
      <c r="M190" s="683" t="n"/>
      <c r="N190" s="683" t="n"/>
      <c r="O190" s="683" t="n"/>
      <c r="P190" s="683" t="n"/>
      <c r="Q190" s="683" t="n"/>
      <c r="R190" s="683" t="n"/>
      <c r="S190" s="683" t="n"/>
      <c r="T190" s="683" t="n"/>
      <c r="U190" s="683" t="n"/>
      <c r="V190" s="683" t="n"/>
      <c r="W190" s="683" t="n"/>
      <c r="X190" s="683" t="n"/>
      <c r="Y190" s="683" t="n"/>
    </row>
    <row r="191">
      <c r="A191" s="683" t="n"/>
      <c r="B191" s="683" t="n"/>
      <c r="C191" s="683" t="n"/>
      <c r="D191" s="683" t="n"/>
      <c r="E191" s="683" t="n"/>
      <c r="F191" s="683" t="n"/>
      <c r="G191" s="683" t="n"/>
      <c r="H191" s="683" t="n"/>
      <c r="I191" s="683" t="n"/>
      <c r="J191" s="683" t="n"/>
      <c r="K191" s="683" t="n"/>
      <c r="L191" s="683" t="n"/>
      <c r="M191" s="683" t="n"/>
      <c r="N191" s="683" t="n"/>
      <c r="O191" s="683" t="n"/>
      <c r="P191" s="683" t="n"/>
      <c r="Q191" s="683" t="n"/>
      <c r="R191" s="683" t="n"/>
      <c r="S191" s="683" t="n"/>
      <c r="T191" s="683" t="n"/>
      <c r="U191" s="683" t="n"/>
      <c r="V191" s="683" t="n"/>
      <c r="W191" s="683" t="n"/>
      <c r="X191" s="683" t="n"/>
      <c r="Y191" s="683" t="n"/>
    </row>
    <row r="192">
      <c r="A192" s="683" t="n"/>
      <c r="B192" s="683" t="n"/>
      <c r="C192" s="683" t="n"/>
      <c r="D192" s="683" t="n"/>
      <c r="E192" s="683" t="n"/>
      <c r="F192" s="683" t="n"/>
      <c r="G192" s="683" t="n"/>
      <c r="H192" s="683" t="n"/>
      <c r="I192" s="683" t="n"/>
      <c r="J192" s="683" t="n"/>
      <c r="K192" s="683" t="n"/>
      <c r="L192" s="683" t="n"/>
      <c r="M192" s="683" t="n"/>
      <c r="N192" s="683" t="n"/>
      <c r="O192" s="683" t="n"/>
      <c r="P192" s="683" t="n"/>
      <c r="Q192" s="683" t="n"/>
      <c r="R192" s="683" t="n"/>
      <c r="S192" s="683" t="n"/>
      <c r="T192" s="683" t="n"/>
      <c r="U192" s="683" t="n"/>
      <c r="V192" s="683" t="n"/>
      <c r="W192" s="683" t="n"/>
      <c r="X192" s="683" t="n"/>
      <c r="Y192" s="683" t="n"/>
    </row>
    <row r="193">
      <c r="A193" s="683" t="n"/>
      <c r="B193" s="683" t="n"/>
      <c r="C193" s="683" t="n"/>
      <c r="D193" s="683" t="n"/>
      <c r="E193" s="683" t="n"/>
      <c r="F193" s="683" t="n"/>
      <c r="G193" s="683" t="n"/>
      <c r="H193" s="683" t="n"/>
      <c r="I193" s="683" t="n"/>
      <c r="J193" s="683" t="n"/>
      <c r="K193" s="683" t="n"/>
      <c r="L193" s="683" t="n"/>
      <c r="M193" s="683" t="n"/>
      <c r="N193" s="683" t="n"/>
      <c r="O193" s="683" t="n"/>
      <c r="P193" s="683" t="n"/>
      <c r="Q193" s="683" t="n"/>
      <c r="R193" s="683" t="n"/>
      <c r="S193" s="683" t="n"/>
      <c r="T193" s="683" t="n"/>
      <c r="U193" s="683" t="n"/>
      <c r="V193" s="683" t="n"/>
      <c r="W193" s="683" t="n"/>
      <c r="X193" s="683" t="n"/>
      <c r="Y193" s="683" t="n"/>
    </row>
    <row r="194">
      <c r="A194" s="683" t="n"/>
      <c r="B194" s="683" t="n"/>
      <c r="C194" s="683" t="n"/>
      <c r="D194" s="683" t="n"/>
      <c r="E194" s="683" t="n"/>
      <c r="F194" s="683" t="n"/>
      <c r="G194" s="683" t="n"/>
      <c r="H194" s="683" t="n"/>
      <c r="I194" s="683" t="n"/>
      <c r="J194" s="683" t="n"/>
      <c r="K194" s="683" t="n"/>
      <c r="L194" s="683" t="n"/>
      <c r="M194" s="683" t="n"/>
      <c r="N194" s="683" t="n"/>
      <c r="O194" s="683" t="n"/>
      <c r="P194" s="683" t="n"/>
      <c r="Q194" s="683" t="n"/>
      <c r="R194" s="683" t="n"/>
      <c r="S194" s="683" t="n"/>
      <c r="T194" s="683" t="n"/>
      <c r="U194" s="683" t="n"/>
      <c r="V194" s="683" t="n"/>
      <c r="W194" s="683" t="n"/>
      <c r="X194" s="683" t="n"/>
      <c r="Y194" s="683" t="n"/>
    </row>
    <row r="195">
      <c r="A195" s="683" t="n"/>
      <c r="B195" s="683" t="n"/>
      <c r="C195" s="683" t="n"/>
      <c r="D195" s="683" t="n"/>
      <c r="E195" s="683" t="n"/>
      <c r="F195" s="683" t="n"/>
      <c r="G195" s="683" t="n"/>
      <c r="H195" s="683" t="n"/>
      <c r="I195" s="683" t="n"/>
      <c r="J195" s="683" t="n"/>
      <c r="K195" s="683" t="n"/>
      <c r="L195" s="683" t="n"/>
      <c r="M195" s="683" t="n"/>
      <c r="N195" s="683" t="n"/>
      <c r="O195" s="683" t="n"/>
      <c r="P195" s="683" t="n"/>
      <c r="Q195" s="683" t="n"/>
      <c r="R195" s="683" t="n"/>
      <c r="S195" s="683" t="n"/>
      <c r="T195" s="683" t="n"/>
      <c r="U195" s="683" t="n"/>
      <c r="V195" s="683" t="n"/>
      <c r="W195" s="683" t="n"/>
      <c r="X195" s="683" t="n"/>
      <c r="Y195" s="683" t="n"/>
    </row>
    <row r="196">
      <c r="A196" s="683" t="n"/>
      <c r="B196" s="683" t="n"/>
      <c r="C196" s="683" t="n"/>
      <c r="D196" s="683" t="n"/>
      <c r="E196" s="683" t="n"/>
      <c r="F196" s="683" t="n"/>
      <c r="G196" s="683" t="n"/>
      <c r="H196" s="683" t="n"/>
      <c r="I196" s="683" t="n"/>
      <c r="J196" s="683" t="n"/>
      <c r="K196" s="683" t="n"/>
      <c r="L196" s="683" t="n"/>
      <c r="M196" s="683" t="n"/>
      <c r="N196" s="683" t="n"/>
      <c r="O196" s="683" t="n"/>
      <c r="P196" s="683" t="n"/>
      <c r="Q196" s="683" t="n"/>
      <c r="R196" s="683" t="n"/>
      <c r="S196" s="683" t="n"/>
      <c r="T196" s="683" t="n"/>
      <c r="U196" s="683" t="n"/>
      <c r="V196" s="683" t="n"/>
      <c r="W196" s="683" t="n"/>
      <c r="X196" s="683" t="n"/>
      <c r="Y196" s="683" t="n"/>
    </row>
    <row r="197">
      <c r="A197" s="683" t="n"/>
      <c r="B197" s="683" t="n"/>
      <c r="C197" s="683" t="n"/>
      <c r="D197" s="683" t="n"/>
      <c r="E197" s="683" t="n"/>
      <c r="F197" s="683" t="n"/>
      <c r="G197" s="683" t="n"/>
      <c r="H197" s="683" t="n"/>
      <c r="I197" s="683" t="n"/>
      <c r="J197" s="683" t="n"/>
      <c r="K197" s="683" t="n"/>
      <c r="L197" s="683" t="n"/>
      <c r="M197" s="683" t="n"/>
      <c r="N197" s="683" t="n"/>
      <c r="O197" s="683" t="n"/>
      <c r="P197" s="683" t="n"/>
      <c r="Q197" s="683" t="n"/>
      <c r="R197" s="683" t="n"/>
      <c r="S197" s="683" t="n"/>
      <c r="T197" s="683" t="n"/>
      <c r="U197" s="683" t="n"/>
      <c r="V197" s="683" t="n"/>
      <c r="W197" s="683" t="n"/>
      <c r="X197" s="683" t="n"/>
      <c r="Y197" s="683" t="n"/>
    </row>
    <row r="198">
      <c r="A198" s="683" t="n"/>
      <c r="B198" s="683" t="n"/>
      <c r="C198" s="683" t="n"/>
      <c r="D198" s="683" t="n"/>
      <c r="E198" s="683" t="n"/>
      <c r="F198" s="683" t="n"/>
      <c r="G198" s="683" t="n"/>
      <c r="H198" s="683" t="n"/>
      <c r="I198" s="683" t="n"/>
      <c r="J198" s="683" t="n"/>
      <c r="K198" s="683" t="n"/>
      <c r="L198" s="683" t="n"/>
      <c r="M198" s="683" t="n"/>
      <c r="N198" s="683" t="n"/>
      <c r="O198" s="683" t="n"/>
      <c r="P198" s="683" t="n"/>
      <c r="Q198" s="683" t="n"/>
      <c r="R198" s="683" t="n"/>
      <c r="S198" s="683" t="n"/>
      <c r="T198" s="683" t="n"/>
      <c r="U198" s="683" t="n"/>
      <c r="V198" s="683" t="n"/>
      <c r="W198" s="683" t="n"/>
      <c r="X198" s="683" t="n"/>
      <c r="Y198" s="683" t="n"/>
    </row>
    <row r="199">
      <c r="A199" s="683" t="n"/>
      <c r="B199" s="683" t="n"/>
      <c r="C199" s="683" t="n"/>
      <c r="D199" s="683" t="n"/>
      <c r="E199" s="683" t="n"/>
      <c r="F199" s="683" t="n"/>
      <c r="G199" s="683" t="n"/>
      <c r="H199" s="683" t="n"/>
      <c r="I199" s="683" t="n"/>
      <c r="J199" s="683" t="n"/>
      <c r="K199" s="683" t="n"/>
      <c r="L199" s="683" t="n"/>
      <c r="M199" s="683" t="n"/>
      <c r="N199" s="683" t="n"/>
      <c r="O199" s="683" t="n"/>
      <c r="P199" s="683" t="n"/>
      <c r="Q199" s="683" t="n"/>
      <c r="R199" s="683" t="n"/>
      <c r="S199" s="683" t="n"/>
      <c r="T199" s="683" t="n"/>
      <c r="U199" s="683" t="n"/>
      <c r="V199" s="683" t="n"/>
      <c r="W199" s="683" t="n"/>
      <c r="X199" s="683" t="n"/>
      <c r="Y199" s="683" t="n"/>
    </row>
    <row r="200">
      <c r="A200" s="683" t="n"/>
      <c r="B200" s="683" t="n"/>
      <c r="C200" s="683" t="n"/>
      <c r="D200" s="683" t="n"/>
      <c r="E200" s="683" t="n"/>
      <c r="F200" s="683" t="n"/>
      <c r="G200" s="683" t="n"/>
      <c r="H200" s="683" t="n"/>
      <c r="I200" s="683" t="n"/>
      <c r="J200" s="683" t="n"/>
      <c r="K200" s="683" t="n"/>
      <c r="L200" s="683" t="n"/>
      <c r="M200" s="683" t="n"/>
      <c r="N200" s="683" t="n"/>
      <c r="O200" s="683" t="n"/>
      <c r="P200" s="683" t="n"/>
      <c r="Q200" s="683" t="n"/>
      <c r="R200" s="683" t="n"/>
      <c r="S200" s="683" t="n"/>
      <c r="T200" s="683" t="n"/>
      <c r="U200" s="683" t="n"/>
      <c r="V200" s="683" t="n"/>
      <c r="W200" s="683" t="n"/>
      <c r="X200" s="683" t="n"/>
      <c r="Y200" s="683" t="n"/>
    </row>
    <row r="201">
      <c r="A201" s="683" t="n"/>
      <c r="B201" s="683" t="n"/>
      <c r="C201" s="683" t="n"/>
      <c r="D201" s="683" t="n"/>
      <c r="E201" s="683" t="n"/>
      <c r="F201" s="683" t="n"/>
      <c r="G201" s="683" t="n"/>
      <c r="H201" s="683" t="n"/>
      <c r="I201" s="683" t="n"/>
      <c r="J201" s="683" t="n"/>
      <c r="K201" s="683" t="n"/>
      <c r="L201" s="683" t="n"/>
      <c r="M201" s="683" t="n"/>
      <c r="N201" s="683" t="n"/>
      <c r="O201" s="683" t="n"/>
      <c r="P201" s="683" t="n"/>
      <c r="Q201" s="683" t="n"/>
      <c r="R201" s="683" t="n"/>
      <c r="S201" s="683" t="n"/>
      <c r="T201" s="683" t="n"/>
      <c r="U201" s="683" t="n"/>
      <c r="V201" s="683" t="n"/>
      <c r="W201" s="683" t="n"/>
      <c r="X201" s="683" t="n"/>
      <c r="Y201" s="683" t="n"/>
    </row>
    <row r="202">
      <c r="A202" s="683" t="n"/>
      <c r="B202" s="683" t="n"/>
      <c r="C202" s="683" t="n"/>
      <c r="D202" s="683" t="n"/>
      <c r="E202" s="683" t="n"/>
      <c r="F202" s="683" t="n"/>
      <c r="G202" s="683" t="n"/>
      <c r="H202" s="683" t="n"/>
      <c r="I202" s="683" t="n"/>
      <c r="J202" s="683" t="n"/>
      <c r="K202" s="683" t="n"/>
      <c r="L202" s="683" t="n"/>
      <c r="M202" s="683" t="n"/>
      <c r="N202" s="683" t="n"/>
      <c r="O202" s="683" t="n"/>
      <c r="P202" s="683" t="n"/>
      <c r="Q202" s="683" t="n"/>
      <c r="R202" s="683" t="n"/>
      <c r="S202" s="683" t="n"/>
      <c r="T202" s="683" t="n"/>
      <c r="U202" s="683" t="n"/>
      <c r="V202" s="683" t="n"/>
      <c r="W202" s="683" t="n"/>
      <c r="X202" s="683" t="n"/>
      <c r="Y202" s="683" t="n"/>
    </row>
    <row r="203">
      <c r="A203" s="683" t="n"/>
      <c r="B203" s="683" t="n"/>
      <c r="C203" s="683" t="n"/>
      <c r="D203" s="683" t="n"/>
      <c r="E203" s="683" t="n"/>
      <c r="F203" s="683" t="n"/>
      <c r="G203" s="683" t="n"/>
      <c r="H203" s="683" t="n"/>
      <c r="I203" s="683" t="n"/>
      <c r="J203" s="683" t="n"/>
      <c r="K203" s="683" t="n"/>
      <c r="L203" s="683" t="n"/>
      <c r="M203" s="683" t="n"/>
      <c r="N203" s="683" t="n"/>
      <c r="O203" s="683" t="n"/>
      <c r="P203" s="683" t="n"/>
      <c r="Q203" s="683" t="n"/>
      <c r="R203" s="683" t="n"/>
      <c r="S203" s="683" t="n"/>
      <c r="T203" s="683" t="n"/>
      <c r="U203" s="683" t="n"/>
      <c r="V203" s="683" t="n"/>
      <c r="W203" s="683" t="n"/>
      <c r="X203" s="683" t="n"/>
      <c r="Y203" s="683" t="n"/>
    </row>
    <row r="204">
      <c r="A204" s="683" t="n"/>
      <c r="B204" s="683" t="n"/>
      <c r="C204" s="683" t="n"/>
      <c r="D204" s="683" t="n"/>
      <c r="E204" s="683" t="n"/>
      <c r="F204" s="683" t="n"/>
      <c r="G204" s="683" t="n"/>
      <c r="H204" s="683" t="n"/>
      <c r="I204" s="683" t="n"/>
      <c r="J204" s="683" t="n"/>
      <c r="K204" s="683" t="n"/>
      <c r="L204" s="683" t="n"/>
      <c r="M204" s="683" t="n"/>
      <c r="N204" s="683" t="n"/>
      <c r="O204" s="683" t="n"/>
      <c r="P204" s="683" t="n"/>
      <c r="Q204" s="683" t="n"/>
      <c r="R204" s="683" t="n"/>
      <c r="S204" s="683" t="n"/>
      <c r="T204" s="683" t="n"/>
      <c r="U204" s="683" t="n"/>
      <c r="V204" s="683" t="n"/>
      <c r="W204" s="683" t="n"/>
      <c r="X204" s="683" t="n"/>
      <c r="Y204" s="683" t="n"/>
    </row>
    <row r="205">
      <c r="A205" s="683" t="n"/>
      <c r="B205" s="683" t="n"/>
      <c r="C205" s="683" t="n"/>
      <c r="D205" s="683" t="n"/>
      <c r="E205" s="683" t="n"/>
      <c r="F205" s="683" t="n"/>
      <c r="G205" s="683" t="n"/>
      <c r="H205" s="683" t="n"/>
      <c r="I205" s="683" t="n"/>
      <c r="J205" s="683" t="n"/>
      <c r="K205" s="683" t="n"/>
      <c r="L205" s="683" t="n"/>
      <c r="M205" s="683" t="n"/>
      <c r="N205" s="683" t="n"/>
      <c r="O205" s="683" t="n"/>
      <c r="P205" s="683" t="n"/>
      <c r="Q205" s="683" t="n"/>
      <c r="R205" s="683" t="n"/>
      <c r="S205" s="683" t="n"/>
      <c r="T205" s="683" t="n"/>
      <c r="U205" s="683" t="n"/>
      <c r="V205" s="683" t="n"/>
      <c r="W205" s="683" t="n"/>
      <c r="X205" s="683" t="n"/>
      <c r="Y205" s="683" t="n"/>
    </row>
    <row r="206">
      <c r="A206" s="683" t="n"/>
      <c r="B206" s="683" t="n"/>
      <c r="C206" s="683" t="n"/>
      <c r="D206" s="683" t="n"/>
      <c r="E206" s="683" t="n"/>
      <c r="F206" s="683" t="n"/>
      <c r="G206" s="683" t="n"/>
      <c r="H206" s="683" t="n"/>
      <c r="I206" s="683" t="n"/>
      <c r="J206" s="683" t="n"/>
      <c r="K206" s="683" t="n"/>
      <c r="L206" s="683" t="n"/>
      <c r="M206" s="683" t="n"/>
      <c r="N206" s="683" t="n"/>
      <c r="O206" s="683" t="n"/>
      <c r="P206" s="683" t="n"/>
      <c r="Q206" s="683" t="n"/>
      <c r="R206" s="683" t="n"/>
      <c r="S206" s="683" t="n"/>
      <c r="T206" s="683" t="n"/>
      <c r="U206" s="683" t="n"/>
      <c r="V206" s="683" t="n"/>
      <c r="W206" s="683" t="n"/>
      <c r="X206" s="683" t="n"/>
      <c r="Y206" s="683" t="n"/>
    </row>
    <row r="207">
      <c r="A207" s="683" t="n"/>
      <c r="B207" s="683" t="n"/>
      <c r="C207" s="683" t="n"/>
      <c r="D207" s="683" t="n"/>
      <c r="E207" s="683" t="n"/>
      <c r="F207" s="683" t="n"/>
      <c r="G207" s="683" t="n"/>
      <c r="H207" s="683" t="n"/>
      <c r="I207" s="683" t="n"/>
      <c r="J207" s="683" t="n"/>
      <c r="K207" s="683" t="n"/>
      <c r="L207" s="683" t="n"/>
      <c r="M207" s="683" t="n"/>
      <c r="N207" s="683" t="n"/>
      <c r="O207" s="683" t="n"/>
      <c r="P207" s="683" t="n"/>
      <c r="Q207" s="683" t="n"/>
      <c r="R207" s="683" t="n"/>
      <c r="S207" s="683" t="n"/>
      <c r="T207" s="683" t="n"/>
      <c r="U207" s="683" t="n"/>
      <c r="V207" s="683" t="n"/>
      <c r="W207" s="683" t="n"/>
      <c r="X207" s="683" t="n"/>
      <c r="Y207" s="683" t="n"/>
    </row>
    <row r="208">
      <c r="A208" s="683" t="n"/>
      <c r="B208" s="683" t="n"/>
      <c r="C208" s="683" t="n"/>
      <c r="D208" s="683" t="n"/>
      <c r="E208" s="683" t="n"/>
      <c r="F208" s="683" t="n"/>
      <c r="G208" s="683" t="n"/>
      <c r="H208" s="683" t="n"/>
      <c r="I208" s="683" t="n"/>
      <c r="J208" s="683" t="n"/>
      <c r="K208" s="683" t="n"/>
      <c r="L208" s="683" t="n"/>
      <c r="M208" s="683" t="n"/>
      <c r="N208" s="683" t="n"/>
      <c r="O208" s="683" t="n"/>
      <c r="P208" s="683" t="n"/>
      <c r="Q208" s="683" t="n"/>
      <c r="R208" s="683" t="n"/>
      <c r="S208" s="683" t="n"/>
      <c r="T208" s="683" t="n"/>
      <c r="U208" s="683" t="n"/>
      <c r="V208" s="683" t="n"/>
      <c r="W208" s="683" t="n"/>
      <c r="X208" s="683" t="n"/>
      <c r="Y208" s="683" t="n"/>
    </row>
    <row r="209">
      <c r="A209" s="683" t="n"/>
      <c r="B209" s="683" t="n"/>
      <c r="C209" s="683" t="n"/>
      <c r="D209" s="683" t="n"/>
      <c r="E209" s="683" t="n"/>
      <c r="F209" s="683" t="n"/>
      <c r="G209" s="683" t="n"/>
      <c r="H209" s="683" t="n"/>
      <c r="I209" s="683" t="n"/>
      <c r="J209" s="683" t="n"/>
      <c r="K209" s="683" t="n"/>
      <c r="L209" s="683" t="n"/>
      <c r="M209" s="683" t="n"/>
      <c r="N209" s="683" t="n"/>
      <c r="O209" s="683" t="n"/>
      <c r="P209" s="683" t="n"/>
      <c r="Q209" s="683" t="n"/>
      <c r="R209" s="683" t="n"/>
      <c r="S209" s="683" t="n"/>
      <c r="T209" s="683" t="n"/>
      <c r="U209" s="683" t="n"/>
      <c r="V209" s="683" t="n"/>
      <c r="W209" s="683" t="n"/>
      <c r="X209" s="683" t="n"/>
      <c r="Y209" s="683" t="n"/>
    </row>
    <row r="210">
      <c r="A210" s="683" t="n"/>
      <c r="B210" s="683" t="n"/>
      <c r="C210" s="683" t="n"/>
      <c r="D210" s="683" t="n"/>
      <c r="E210" s="683" t="n"/>
      <c r="F210" s="683" t="n"/>
      <c r="G210" s="683" t="n"/>
      <c r="H210" s="683" t="n"/>
      <c r="I210" s="683" t="n"/>
      <c r="J210" s="683" t="n"/>
      <c r="K210" s="683" t="n"/>
      <c r="L210" s="683" t="n"/>
      <c r="M210" s="683" t="n"/>
      <c r="N210" s="683" t="n"/>
      <c r="O210" s="683" t="n"/>
      <c r="P210" s="683" t="n"/>
      <c r="Q210" s="683" t="n"/>
      <c r="R210" s="683" t="n"/>
      <c r="S210" s="683" t="n"/>
      <c r="T210" s="683" t="n"/>
      <c r="U210" s="683" t="n"/>
      <c r="V210" s="683" t="n"/>
      <c r="W210" s="683" t="n"/>
      <c r="X210" s="683" t="n"/>
      <c r="Y210" s="683" t="n"/>
    </row>
    <row r="211">
      <c r="A211" s="683" t="n"/>
      <c r="B211" s="683" t="n"/>
      <c r="C211" s="683" t="n"/>
      <c r="D211" s="683" t="n"/>
      <c r="E211" s="683" t="n"/>
      <c r="F211" s="683" t="n"/>
      <c r="G211" s="683" t="n"/>
      <c r="H211" s="683" t="n"/>
      <c r="I211" s="683" t="n"/>
      <c r="J211" s="683" t="n"/>
      <c r="K211" s="683" t="n"/>
      <c r="L211" s="683" t="n"/>
      <c r="M211" s="683" t="n"/>
      <c r="N211" s="683" t="n"/>
      <c r="O211" s="683" t="n"/>
      <c r="P211" s="683" t="n"/>
      <c r="Q211" s="683" t="n"/>
      <c r="R211" s="683" t="n"/>
      <c r="S211" s="683" t="n"/>
      <c r="T211" s="683" t="n"/>
      <c r="U211" s="683" t="n"/>
      <c r="V211" s="683" t="n"/>
      <c r="W211" s="683" t="n"/>
      <c r="X211" s="683" t="n"/>
      <c r="Y211" s="683" t="n"/>
    </row>
    <row r="212">
      <c r="A212" s="683" t="n"/>
      <c r="B212" s="683" t="n"/>
      <c r="C212" s="683" t="n"/>
      <c r="D212" s="683" t="n"/>
      <c r="E212" s="683" t="n"/>
      <c r="F212" s="683" t="n"/>
      <c r="G212" s="683" t="n"/>
      <c r="H212" s="683" t="n"/>
      <c r="I212" s="683" t="n"/>
      <c r="J212" s="683" t="n"/>
      <c r="K212" s="683" t="n"/>
      <c r="L212" s="683" t="n"/>
      <c r="M212" s="683" t="n"/>
      <c r="N212" s="683" t="n"/>
      <c r="O212" s="683" t="n"/>
      <c r="P212" s="683" t="n"/>
      <c r="Q212" s="683" t="n"/>
      <c r="R212" s="683" t="n"/>
      <c r="S212" s="683" t="n"/>
      <c r="T212" s="683" t="n"/>
      <c r="U212" s="683" t="n"/>
      <c r="V212" s="683" t="n"/>
      <c r="W212" s="683" t="n"/>
      <c r="X212" s="683" t="n"/>
      <c r="Y212" s="683" t="n"/>
    </row>
    <row r="213">
      <c r="A213" s="683" t="n"/>
      <c r="B213" s="683" t="n"/>
      <c r="C213" s="683" t="n"/>
      <c r="D213" s="683" t="n"/>
      <c r="E213" s="683" t="n"/>
      <c r="F213" s="683" t="n"/>
      <c r="G213" s="683" t="n"/>
      <c r="H213" s="683" t="n"/>
      <c r="I213" s="683" t="n"/>
      <c r="J213" s="683" t="n"/>
      <c r="K213" s="683" t="n"/>
      <c r="L213" s="683" t="n"/>
      <c r="M213" s="683" t="n"/>
      <c r="N213" s="683" t="n"/>
      <c r="O213" s="683" t="n"/>
      <c r="P213" s="683" t="n"/>
      <c r="Q213" s="683" t="n"/>
      <c r="R213" s="683" t="n"/>
      <c r="S213" s="683" t="n"/>
      <c r="T213" s="683" t="n"/>
      <c r="U213" s="683" t="n"/>
      <c r="V213" s="683" t="n"/>
      <c r="W213" s="683" t="n"/>
      <c r="X213" s="683" t="n"/>
      <c r="Y213" s="683" t="n"/>
    </row>
    <row r="214">
      <c r="A214" s="683" t="n"/>
      <c r="B214" s="683" t="n"/>
      <c r="C214" s="683" t="n"/>
      <c r="D214" s="683" t="n"/>
      <c r="E214" s="683" t="n"/>
      <c r="F214" s="683" t="n"/>
      <c r="G214" s="683" t="n"/>
      <c r="H214" s="683" t="n"/>
      <c r="I214" s="683" t="n"/>
      <c r="J214" s="683" t="n"/>
      <c r="K214" s="683" t="n"/>
      <c r="L214" s="683" t="n"/>
      <c r="M214" s="683" t="n"/>
      <c r="N214" s="683" t="n"/>
      <c r="O214" s="683" t="n"/>
      <c r="P214" s="683" t="n"/>
      <c r="Q214" s="683" t="n"/>
      <c r="R214" s="683" t="n"/>
      <c r="S214" s="683" t="n"/>
      <c r="T214" s="683" t="n"/>
      <c r="U214" s="683" t="n"/>
      <c r="V214" s="683" t="n"/>
      <c r="W214" s="683" t="n"/>
      <c r="X214" s="683" t="n"/>
      <c r="Y214" s="683" t="n"/>
    </row>
    <row r="215">
      <c r="A215" s="683" t="n"/>
      <c r="B215" s="683" t="n"/>
      <c r="C215" s="683" t="n"/>
      <c r="D215" s="683" t="n"/>
      <c r="E215" s="683" t="n"/>
      <c r="F215" s="683" t="n"/>
      <c r="G215" s="683" t="n"/>
      <c r="H215" s="683" t="n"/>
      <c r="I215" s="683" t="n"/>
      <c r="J215" s="683" t="n"/>
      <c r="K215" s="683" t="n"/>
      <c r="L215" s="683" t="n"/>
      <c r="M215" s="683" t="n"/>
      <c r="N215" s="683" t="n"/>
      <c r="O215" s="683" t="n"/>
      <c r="P215" s="683" t="n"/>
      <c r="Q215" s="683" t="n"/>
      <c r="R215" s="683" t="n"/>
      <c r="S215" s="683" t="n"/>
      <c r="T215" s="683" t="n"/>
      <c r="U215" s="683" t="n"/>
      <c r="V215" s="683" t="n"/>
      <c r="W215" s="683" t="n"/>
      <c r="X215" s="683" t="n"/>
      <c r="Y215" s="683" t="n"/>
    </row>
    <row r="216">
      <c r="A216" s="683" t="n"/>
      <c r="B216" s="683" t="n"/>
      <c r="C216" s="683" t="n"/>
      <c r="D216" s="683" t="n"/>
      <c r="E216" s="683" t="n"/>
      <c r="F216" s="683" t="n"/>
      <c r="G216" s="683" t="n"/>
      <c r="H216" s="683" t="n"/>
      <c r="I216" s="683" t="n"/>
      <c r="J216" s="683" t="n"/>
      <c r="K216" s="683" t="n"/>
      <c r="L216" s="683" t="n"/>
      <c r="M216" s="683" t="n"/>
      <c r="N216" s="683" t="n"/>
      <c r="O216" s="683" t="n"/>
      <c r="P216" s="683" t="n"/>
      <c r="Q216" s="683" t="n"/>
      <c r="R216" s="683" t="n"/>
      <c r="S216" s="683" t="n"/>
      <c r="T216" s="683" t="n"/>
      <c r="U216" s="683" t="n"/>
      <c r="V216" s="683" t="n"/>
      <c r="W216" s="683" t="n"/>
      <c r="X216" s="683" t="n"/>
      <c r="Y216" s="683" t="n"/>
    </row>
    <row r="217">
      <c r="A217" s="683" t="n"/>
      <c r="B217" s="683" t="n"/>
      <c r="C217" s="683" t="n"/>
      <c r="D217" s="683" t="n"/>
      <c r="E217" s="683" t="n"/>
      <c r="F217" s="683" t="n"/>
      <c r="G217" s="683" t="n"/>
      <c r="H217" s="683" t="n"/>
      <c r="I217" s="683" t="n"/>
      <c r="J217" s="683" t="n"/>
      <c r="K217" s="683" t="n"/>
      <c r="L217" s="683" t="n"/>
      <c r="M217" s="683" t="n"/>
      <c r="N217" s="683" t="n"/>
      <c r="O217" s="683" t="n"/>
      <c r="P217" s="683" t="n"/>
      <c r="Q217" s="683" t="n"/>
      <c r="R217" s="683" t="n"/>
      <c r="S217" s="683" t="n"/>
      <c r="T217" s="683" t="n"/>
      <c r="U217" s="683" t="n"/>
      <c r="V217" s="683" t="n"/>
      <c r="W217" s="683" t="n"/>
      <c r="X217" s="683" t="n"/>
      <c r="Y217" s="683" t="n"/>
    </row>
    <row r="218">
      <c r="A218" s="683" t="n"/>
      <c r="B218" s="683" t="n"/>
      <c r="C218" s="683" t="n"/>
      <c r="D218" s="683" t="n"/>
      <c r="E218" s="683" t="n"/>
      <c r="F218" s="683" t="n"/>
      <c r="G218" s="683" t="n"/>
      <c r="H218" s="683" t="n"/>
      <c r="I218" s="683" t="n"/>
      <c r="J218" s="683" t="n"/>
      <c r="K218" s="683" t="n"/>
      <c r="L218" s="683" t="n"/>
      <c r="M218" s="683" t="n"/>
      <c r="N218" s="683" t="n"/>
      <c r="O218" s="683" t="n"/>
      <c r="P218" s="683" t="n"/>
      <c r="Q218" s="683" t="n"/>
      <c r="R218" s="683" t="n"/>
      <c r="S218" s="683" t="n"/>
      <c r="T218" s="683" t="n"/>
      <c r="U218" s="683" t="n"/>
      <c r="V218" s="683" t="n"/>
      <c r="W218" s="683" t="n"/>
      <c r="X218" s="683" t="n"/>
      <c r="Y218" s="683" t="n"/>
    </row>
    <row r="219">
      <c r="A219" s="683" t="n"/>
      <c r="B219" s="683" t="n"/>
      <c r="C219" s="683" t="n"/>
      <c r="D219" s="683" t="n"/>
      <c r="E219" s="683" t="n"/>
      <c r="F219" s="683" t="n"/>
      <c r="G219" s="683" t="n"/>
      <c r="H219" s="683" t="n"/>
      <c r="I219" s="683" t="n"/>
      <c r="J219" s="683" t="n"/>
      <c r="K219" s="683" t="n"/>
      <c r="L219" s="683" t="n"/>
      <c r="M219" s="683" t="n"/>
      <c r="N219" s="683" t="n"/>
      <c r="O219" s="683" t="n"/>
      <c r="P219" s="683" t="n"/>
      <c r="Q219" s="683" t="n"/>
      <c r="R219" s="683" t="n"/>
      <c r="S219" s="683" t="n"/>
      <c r="T219" s="683" t="n"/>
      <c r="U219" s="683" t="n"/>
      <c r="V219" s="683" t="n"/>
      <c r="W219" s="683" t="n"/>
      <c r="X219" s="683" t="n"/>
      <c r="Y219" s="683" t="n"/>
    </row>
    <row r="220">
      <c r="A220" s="683" t="n"/>
      <c r="B220" s="683" t="n"/>
      <c r="C220" s="683" t="n"/>
      <c r="D220" s="683" t="n"/>
      <c r="E220" s="683" t="n"/>
      <c r="F220" s="683" t="n"/>
      <c r="G220" s="683" t="n"/>
      <c r="H220" s="683" t="n"/>
      <c r="I220" s="683" t="n"/>
      <c r="J220" s="683" t="n"/>
      <c r="K220" s="683" t="n"/>
      <c r="L220" s="683" t="n"/>
      <c r="M220" s="683" t="n"/>
      <c r="N220" s="683" t="n"/>
      <c r="O220" s="683" t="n"/>
      <c r="P220" s="683" t="n"/>
      <c r="Q220" s="683" t="n"/>
      <c r="R220" s="683" t="n"/>
      <c r="S220" s="683" t="n"/>
      <c r="T220" s="683" t="n"/>
      <c r="U220" s="683" t="n"/>
      <c r="V220" s="683" t="n"/>
      <c r="W220" s="683" t="n"/>
      <c r="X220" s="683" t="n"/>
      <c r="Y220" s="683" t="n"/>
    </row>
    <row r="221">
      <c r="A221" s="683" t="n"/>
      <c r="B221" s="683" t="n"/>
      <c r="C221" s="683" t="n"/>
      <c r="D221" s="683" t="n"/>
      <c r="E221" s="683" t="n"/>
      <c r="F221" s="683" t="n"/>
      <c r="G221" s="683" t="n"/>
      <c r="H221" s="683" t="n"/>
      <c r="I221" s="683" t="n"/>
      <c r="J221" s="683" t="n"/>
      <c r="K221" s="683" t="n"/>
      <c r="L221" s="683" t="n"/>
      <c r="M221" s="683" t="n"/>
      <c r="N221" s="683" t="n"/>
      <c r="O221" s="683" t="n"/>
      <c r="P221" s="683" t="n"/>
      <c r="Q221" s="683" t="n"/>
      <c r="R221" s="683" t="n"/>
      <c r="S221" s="683" t="n"/>
      <c r="T221" s="683" t="n"/>
      <c r="U221" s="683" t="n"/>
      <c r="V221" s="683" t="n"/>
      <c r="W221" s="683" t="n"/>
      <c r="X221" s="683" t="n"/>
      <c r="Y221" s="683" t="n"/>
    </row>
    <row r="222">
      <c r="A222" s="683" t="n"/>
      <c r="B222" s="683" t="n"/>
      <c r="C222" s="683" t="n"/>
      <c r="D222" s="683" t="n"/>
      <c r="E222" s="683" t="n"/>
      <c r="F222" s="683" t="n"/>
      <c r="G222" s="683" t="n"/>
      <c r="H222" s="683" t="n"/>
      <c r="I222" s="683" t="n"/>
      <c r="J222" s="683" t="n"/>
      <c r="K222" s="683" t="n"/>
      <c r="L222" s="683" t="n"/>
      <c r="M222" s="683" t="n"/>
      <c r="N222" s="683" t="n"/>
      <c r="O222" s="683" t="n"/>
      <c r="P222" s="683" t="n"/>
      <c r="Q222" s="683" t="n"/>
      <c r="R222" s="683" t="n"/>
      <c r="S222" s="683" t="n"/>
      <c r="T222" s="683" t="n"/>
      <c r="U222" s="683" t="n"/>
      <c r="V222" s="683" t="n"/>
      <c r="W222" s="683" t="n"/>
      <c r="X222" s="683" t="n"/>
      <c r="Y222" s="683" t="n"/>
    </row>
    <row r="223">
      <c r="A223" s="683" t="n"/>
      <c r="B223" s="683" t="n"/>
      <c r="C223" s="683" t="n"/>
      <c r="D223" s="683" t="n"/>
      <c r="E223" s="683" t="n"/>
      <c r="F223" s="683" t="n"/>
      <c r="G223" s="683" t="n"/>
      <c r="H223" s="683" t="n"/>
      <c r="I223" s="683" t="n"/>
      <c r="J223" s="683" t="n"/>
      <c r="K223" s="683" t="n"/>
      <c r="L223" s="683" t="n"/>
      <c r="M223" s="683" t="n"/>
      <c r="N223" s="683" t="n"/>
      <c r="O223" s="683" t="n"/>
      <c r="P223" s="683" t="n"/>
      <c r="Q223" s="683" t="n"/>
      <c r="R223" s="683" t="n"/>
      <c r="S223" s="683" t="n"/>
      <c r="T223" s="683" t="n"/>
      <c r="U223" s="683" t="n"/>
      <c r="V223" s="683" t="n"/>
      <c r="W223" s="683" t="n"/>
      <c r="X223" s="683" t="n"/>
      <c r="Y223" s="683" t="n"/>
    </row>
    <row r="224">
      <c r="A224" s="683" t="n"/>
      <c r="B224" s="683" t="n"/>
      <c r="C224" s="683" t="n"/>
      <c r="D224" s="683" t="n"/>
      <c r="E224" s="683" t="n"/>
      <c r="F224" s="683" t="n"/>
      <c r="G224" s="683" t="n"/>
      <c r="H224" s="683" t="n"/>
      <c r="I224" s="683" t="n"/>
      <c r="J224" s="683" t="n"/>
      <c r="K224" s="683" t="n"/>
      <c r="L224" s="683" t="n"/>
      <c r="M224" s="683" t="n"/>
      <c r="N224" s="683" t="n"/>
      <c r="O224" s="683" t="n"/>
      <c r="P224" s="683" t="n"/>
      <c r="Q224" s="683" t="n"/>
      <c r="R224" s="683" t="n"/>
      <c r="S224" s="683" t="n"/>
      <c r="T224" s="683" t="n"/>
      <c r="U224" s="683" t="n"/>
      <c r="V224" s="683" t="n"/>
      <c r="W224" s="683" t="n"/>
      <c r="X224" s="683" t="n"/>
      <c r="Y224" s="683" t="n"/>
    </row>
    <row r="225">
      <c r="A225" s="683" t="n"/>
      <c r="B225" s="683" t="n"/>
      <c r="C225" s="683" t="n"/>
      <c r="D225" s="683" t="n"/>
      <c r="E225" s="683" t="n"/>
      <c r="F225" s="683" t="n"/>
      <c r="G225" s="683" t="n"/>
      <c r="H225" s="683" t="n"/>
      <c r="I225" s="683" t="n"/>
      <c r="J225" s="683" t="n"/>
      <c r="K225" s="683" t="n"/>
      <c r="L225" s="683" t="n"/>
      <c r="M225" s="683" t="n"/>
      <c r="N225" s="683" t="n"/>
      <c r="O225" s="683" t="n"/>
      <c r="P225" s="683" t="n"/>
      <c r="Q225" s="683" t="n"/>
      <c r="R225" s="683" t="n"/>
      <c r="S225" s="683" t="n"/>
      <c r="T225" s="683" t="n"/>
      <c r="U225" s="683" t="n"/>
      <c r="V225" s="683" t="n"/>
      <c r="W225" s="683" t="n"/>
      <c r="X225" s="683" t="n"/>
      <c r="Y225" s="683" t="n"/>
    </row>
    <row r="226">
      <c r="A226" s="683" t="n"/>
      <c r="B226" s="683" t="n"/>
      <c r="C226" s="683" t="n"/>
      <c r="D226" s="683" t="n"/>
      <c r="E226" s="683" t="n"/>
      <c r="F226" s="683" t="n"/>
      <c r="G226" s="683" t="n"/>
      <c r="H226" s="683" t="n"/>
      <c r="I226" s="683" t="n"/>
      <c r="J226" s="683" t="n"/>
      <c r="K226" s="683" t="n"/>
      <c r="L226" s="683" t="n"/>
      <c r="M226" s="683" t="n"/>
      <c r="N226" s="683" t="n"/>
      <c r="O226" s="683" t="n"/>
      <c r="P226" s="683" t="n"/>
      <c r="Q226" s="683" t="n"/>
      <c r="R226" s="683" t="n"/>
      <c r="S226" s="683" t="n"/>
      <c r="T226" s="683" t="n"/>
      <c r="U226" s="683" t="n"/>
      <c r="V226" s="683" t="n"/>
      <c r="W226" s="683" t="n"/>
      <c r="X226" s="683" t="n"/>
      <c r="Y226" s="683" t="n"/>
    </row>
    <row r="227">
      <c r="A227" s="683" t="n"/>
      <c r="B227" s="683" t="n"/>
      <c r="C227" s="683" t="n"/>
      <c r="D227" s="683" t="n"/>
      <c r="E227" s="683" t="n"/>
      <c r="F227" s="683" t="n"/>
      <c r="G227" s="683" t="n"/>
      <c r="H227" s="683" t="n"/>
      <c r="I227" s="683" t="n"/>
      <c r="J227" s="683" t="n"/>
      <c r="K227" s="683" t="n"/>
      <c r="L227" s="683" t="n"/>
      <c r="M227" s="683" t="n"/>
      <c r="N227" s="683" t="n"/>
      <c r="O227" s="683" t="n"/>
      <c r="P227" s="683" t="n"/>
      <c r="Q227" s="683" t="n"/>
      <c r="R227" s="683" t="n"/>
      <c r="S227" s="683" t="n"/>
      <c r="T227" s="683" t="n"/>
      <c r="U227" s="683" t="n"/>
      <c r="V227" s="683" t="n"/>
      <c r="W227" s="683" t="n"/>
      <c r="X227" s="683" t="n"/>
      <c r="Y227" s="683" t="n"/>
    </row>
    <row r="228">
      <c r="A228" s="683" t="n"/>
      <c r="B228" s="683" t="n"/>
      <c r="C228" s="683" t="n"/>
      <c r="D228" s="683" t="n"/>
      <c r="E228" s="683" t="n"/>
      <c r="F228" s="683" t="n"/>
      <c r="G228" s="683" t="n"/>
      <c r="H228" s="683" t="n"/>
      <c r="I228" s="683" t="n"/>
      <c r="J228" s="683" t="n"/>
      <c r="K228" s="683" t="n"/>
      <c r="L228" s="683" t="n"/>
      <c r="M228" s="683" t="n"/>
      <c r="N228" s="683" t="n"/>
      <c r="O228" s="683" t="n"/>
      <c r="P228" s="683" t="n"/>
      <c r="Q228" s="683" t="n"/>
      <c r="R228" s="683" t="n"/>
      <c r="S228" s="683" t="n"/>
      <c r="T228" s="683" t="n"/>
      <c r="U228" s="683" t="n"/>
      <c r="V228" s="683" t="n"/>
      <c r="W228" s="683" t="n"/>
      <c r="X228" s="683" t="n"/>
      <c r="Y228" s="683" t="n"/>
    </row>
    <row r="229">
      <c r="A229" s="683" t="n"/>
      <c r="B229" s="683" t="n"/>
      <c r="C229" s="683" t="n"/>
      <c r="D229" s="683" t="n"/>
      <c r="E229" s="683" t="n"/>
      <c r="F229" s="683" t="n"/>
      <c r="G229" s="683" t="n"/>
      <c r="H229" s="683" t="n"/>
      <c r="I229" s="683" t="n"/>
      <c r="J229" s="683" t="n"/>
      <c r="K229" s="683" t="n"/>
      <c r="L229" s="683" t="n"/>
      <c r="M229" s="683" t="n"/>
      <c r="N229" s="683" t="n"/>
      <c r="O229" s="683" t="n"/>
      <c r="P229" s="683" t="n"/>
      <c r="Q229" s="683" t="n"/>
      <c r="R229" s="683" t="n"/>
      <c r="S229" s="683" t="n"/>
      <c r="T229" s="683" t="n"/>
      <c r="U229" s="683" t="n"/>
      <c r="V229" s="683" t="n"/>
      <c r="W229" s="683" t="n"/>
      <c r="X229" s="683" t="n"/>
      <c r="Y229" s="683" t="n"/>
    </row>
    <row r="230">
      <c r="A230" s="683" t="n"/>
      <c r="B230" s="683" t="n"/>
      <c r="C230" s="683" t="n"/>
      <c r="D230" s="683" t="n"/>
      <c r="E230" s="683" t="n"/>
      <c r="F230" s="683" t="n"/>
      <c r="G230" s="683" t="n"/>
      <c r="H230" s="683" t="n"/>
      <c r="I230" s="683" t="n"/>
      <c r="J230" s="683" t="n"/>
      <c r="K230" s="683" t="n"/>
      <c r="L230" s="683" t="n"/>
      <c r="M230" s="683" t="n"/>
      <c r="N230" s="683" t="n"/>
      <c r="O230" s="683" t="n"/>
      <c r="P230" s="683" t="n"/>
      <c r="Q230" s="683" t="n"/>
      <c r="R230" s="683" t="n"/>
      <c r="S230" s="683" t="n"/>
      <c r="T230" s="683" t="n"/>
      <c r="U230" s="683" t="n"/>
      <c r="V230" s="683" t="n"/>
      <c r="W230" s="683" t="n"/>
      <c r="X230" s="683" t="n"/>
      <c r="Y230" s="683" t="n"/>
    </row>
    <row r="231">
      <c r="A231" s="683" t="n"/>
      <c r="B231" s="683" t="n"/>
      <c r="C231" s="683" t="n"/>
      <c r="D231" s="683" t="n"/>
      <c r="E231" s="683" t="n"/>
      <c r="F231" s="683" t="n"/>
      <c r="G231" s="683" t="n"/>
      <c r="H231" s="683" t="n"/>
      <c r="I231" s="683" t="n"/>
      <c r="J231" s="683" t="n"/>
      <c r="K231" s="683" t="n"/>
      <c r="L231" s="683" t="n"/>
      <c r="M231" s="683" t="n"/>
      <c r="N231" s="683" t="n"/>
      <c r="O231" s="683" t="n"/>
      <c r="P231" s="683" t="n"/>
      <c r="Q231" s="683" t="n"/>
      <c r="R231" s="683" t="n"/>
      <c r="S231" s="683" t="n"/>
      <c r="T231" s="683" t="n"/>
      <c r="U231" s="683" t="n"/>
      <c r="V231" s="683" t="n"/>
      <c r="W231" s="683" t="n"/>
      <c r="X231" s="683" t="n"/>
      <c r="Y231" s="683" t="n"/>
    </row>
    <row r="232">
      <c r="A232" s="683" t="n"/>
      <c r="B232" s="683" t="n"/>
      <c r="C232" s="683" t="n"/>
      <c r="D232" s="683" t="n"/>
      <c r="E232" s="683" t="n"/>
      <c r="F232" s="683" t="n"/>
      <c r="G232" s="683" t="n"/>
      <c r="H232" s="683" t="n"/>
      <c r="I232" s="683" t="n"/>
      <c r="J232" s="683" t="n"/>
      <c r="K232" s="683" t="n"/>
      <c r="L232" s="683" t="n"/>
      <c r="M232" s="683" t="n"/>
      <c r="N232" s="683" t="n"/>
      <c r="O232" s="683" t="n"/>
      <c r="P232" s="683" t="n"/>
      <c r="Q232" s="683" t="n"/>
      <c r="R232" s="683" t="n"/>
      <c r="S232" s="683" t="n"/>
      <c r="T232" s="683" t="n"/>
      <c r="U232" s="683" t="n"/>
      <c r="V232" s="683" t="n"/>
      <c r="W232" s="683" t="n"/>
      <c r="X232" s="683" t="n"/>
      <c r="Y232" s="683" t="n"/>
    </row>
    <row r="233">
      <c r="A233" s="683" t="n"/>
      <c r="B233" s="683" t="n"/>
      <c r="C233" s="683" t="n"/>
      <c r="D233" s="683" t="n"/>
      <c r="E233" s="683" t="n"/>
      <c r="F233" s="683" t="n"/>
      <c r="G233" s="683" t="n"/>
      <c r="H233" s="683" t="n"/>
      <c r="I233" s="683" t="n"/>
      <c r="J233" s="683" t="n"/>
      <c r="K233" s="683" t="n"/>
      <c r="L233" s="683" t="n"/>
      <c r="M233" s="683" t="n"/>
      <c r="N233" s="683" t="n"/>
      <c r="O233" s="683" t="n"/>
      <c r="P233" s="683" t="n"/>
      <c r="Q233" s="683" t="n"/>
      <c r="R233" s="683" t="n"/>
      <c r="S233" s="683" t="n"/>
      <c r="T233" s="683" t="n"/>
      <c r="U233" s="683" t="n"/>
      <c r="V233" s="683" t="n"/>
      <c r="W233" s="683" t="n"/>
      <c r="X233" s="683" t="n"/>
      <c r="Y233" s="683" t="n"/>
    </row>
    <row r="234">
      <c r="A234" s="683" t="n"/>
      <c r="B234" s="683" t="n"/>
      <c r="C234" s="683" t="n"/>
      <c r="D234" s="683" t="n"/>
      <c r="E234" s="683" t="n"/>
      <c r="F234" s="683" t="n"/>
      <c r="G234" s="683" t="n"/>
      <c r="H234" s="683" t="n"/>
      <c r="I234" s="683" t="n"/>
      <c r="J234" s="683" t="n"/>
      <c r="K234" s="683" t="n"/>
      <c r="L234" s="683" t="n"/>
      <c r="M234" s="683" t="n"/>
      <c r="N234" s="683" t="n"/>
      <c r="O234" s="683" t="n"/>
      <c r="P234" s="683" t="n"/>
      <c r="Q234" s="683" t="n"/>
      <c r="R234" s="683" t="n"/>
      <c r="S234" s="683" t="n"/>
      <c r="T234" s="683" t="n"/>
      <c r="U234" s="683" t="n"/>
      <c r="V234" s="683" t="n"/>
      <c r="W234" s="683" t="n"/>
      <c r="X234" s="683" t="n"/>
      <c r="Y234" s="683" t="n"/>
    </row>
    <row r="235">
      <c r="A235" s="683" t="n"/>
      <c r="B235" s="683" t="n"/>
      <c r="C235" s="683" t="n"/>
      <c r="D235" s="683" t="n"/>
      <c r="E235" s="683" t="n"/>
      <c r="F235" s="683" t="n"/>
      <c r="G235" s="683" t="n"/>
      <c r="H235" s="683" t="n"/>
      <c r="I235" s="683" t="n"/>
      <c r="J235" s="683" t="n"/>
      <c r="K235" s="683" t="n"/>
      <c r="L235" s="683" t="n"/>
      <c r="M235" s="683" t="n"/>
      <c r="N235" s="683" t="n"/>
      <c r="O235" s="683" t="n"/>
      <c r="P235" s="683" t="n"/>
      <c r="Q235" s="683" t="n"/>
      <c r="R235" s="683" t="n"/>
      <c r="S235" s="683" t="n"/>
      <c r="T235" s="683" t="n"/>
      <c r="U235" s="683" t="n"/>
      <c r="V235" s="683" t="n"/>
      <c r="W235" s="683" t="n"/>
      <c r="X235" s="683" t="n"/>
      <c r="Y235" s="683" t="n"/>
    </row>
    <row r="236">
      <c r="A236" s="683" t="n"/>
      <c r="B236" s="683" t="n"/>
      <c r="C236" s="683" t="n"/>
      <c r="D236" s="683" t="n"/>
      <c r="E236" s="683" t="n"/>
      <c r="F236" s="683" t="n"/>
      <c r="G236" s="683" t="n"/>
      <c r="H236" s="683" t="n"/>
      <c r="I236" s="683" t="n"/>
      <c r="J236" s="683" t="n"/>
      <c r="K236" s="683" t="n"/>
      <c r="L236" s="683" t="n"/>
      <c r="M236" s="683" t="n"/>
      <c r="N236" s="683" t="n"/>
      <c r="O236" s="683" t="n"/>
      <c r="P236" s="683" t="n"/>
      <c r="Q236" s="683" t="n"/>
      <c r="R236" s="683" t="n"/>
      <c r="S236" s="683" t="n"/>
      <c r="T236" s="683" t="n"/>
      <c r="U236" s="683" t="n"/>
      <c r="V236" s="683" t="n"/>
      <c r="W236" s="683" t="n"/>
      <c r="X236" s="683" t="n"/>
      <c r="Y236" s="683" t="n"/>
    </row>
    <row r="237">
      <c r="A237" s="683" t="n"/>
      <c r="B237" s="683" t="n"/>
      <c r="C237" s="683" t="n"/>
      <c r="D237" s="683" t="n"/>
      <c r="E237" s="683" t="n"/>
      <c r="F237" s="683" t="n"/>
      <c r="G237" s="683" t="n"/>
      <c r="H237" s="683" t="n"/>
      <c r="I237" s="683" t="n"/>
      <c r="J237" s="683" t="n"/>
      <c r="K237" s="683" t="n"/>
      <c r="L237" s="683" t="n"/>
      <c r="M237" s="683" t="n"/>
      <c r="N237" s="683" t="n"/>
      <c r="O237" s="683" t="n"/>
      <c r="P237" s="683" t="n"/>
      <c r="Q237" s="683" t="n"/>
      <c r="R237" s="683" t="n"/>
      <c r="S237" s="683" t="n"/>
      <c r="T237" s="683" t="n"/>
      <c r="U237" s="683" t="n"/>
      <c r="V237" s="683" t="n"/>
      <c r="W237" s="683" t="n"/>
      <c r="X237" s="683" t="n"/>
      <c r="Y237" s="683" t="n"/>
    </row>
    <row r="238">
      <c r="A238" s="683" t="n"/>
      <c r="B238" s="683" t="n"/>
      <c r="C238" s="683" t="n"/>
      <c r="D238" s="683" t="n"/>
      <c r="E238" s="683" t="n"/>
      <c r="F238" s="683" t="n"/>
      <c r="G238" s="683" t="n"/>
      <c r="H238" s="683" t="n"/>
      <c r="I238" s="683" t="n"/>
      <c r="J238" s="683" t="n"/>
      <c r="K238" s="683" t="n"/>
      <c r="L238" s="683" t="n"/>
      <c r="M238" s="683" t="n"/>
      <c r="N238" s="683" t="n"/>
      <c r="O238" s="683" t="n"/>
      <c r="P238" s="683" t="n"/>
      <c r="Q238" s="683" t="n"/>
      <c r="R238" s="683" t="n"/>
      <c r="S238" s="683" t="n"/>
      <c r="T238" s="683" t="n"/>
      <c r="U238" s="683" t="n"/>
      <c r="V238" s="683" t="n"/>
      <c r="W238" s="683" t="n"/>
      <c r="X238" s="683" t="n"/>
      <c r="Y238" s="683" t="n"/>
    </row>
    <row r="239">
      <c r="A239" s="683" t="n"/>
      <c r="B239" s="683" t="n"/>
      <c r="C239" s="683" t="n"/>
      <c r="D239" s="683" t="n"/>
      <c r="E239" s="683" t="n"/>
      <c r="F239" s="683" t="n"/>
      <c r="G239" s="683" t="n"/>
      <c r="H239" s="683" t="n"/>
      <c r="I239" s="683" t="n"/>
      <c r="J239" s="683" t="n"/>
      <c r="K239" s="683" t="n"/>
      <c r="L239" s="683" t="n"/>
      <c r="M239" s="683" t="n"/>
      <c r="N239" s="683" t="n"/>
      <c r="O239" s="683" t="n"/>
      <c r="P239" s="683" t="n"/>
      <c r="Q239" s="683" t="n"/>
      <c r="R239" s="683" t="n"/>
      <c r="S239" s="683" t="n"/>
      <c r="T239" s="683" t="n"/>
      <c r="U239" s="683" t="n"/>
      <c r="V239" s="683" t="n"/>
      <c r="W239" s="683" t="n"/>
      <c r="X239" s="683" t="n"/>
      <c r="Y239" s="683" t="n"/>
    </row>
    <row r="240">
      <c r="A240" s="683" t="n"/>
      <c r="B240" s="683" t="n"/>
      <c r="C240" s="683" t="n"/>
      <c r="D240" s="683" t="n"/>
      <c r="E240" s="683" t="n"/>
      <c r="F240" s="683" t="n"/>
      <c r="G240" s="683" t="n"/>
      <c r="H240" s="683" t="n"/>
      <c r="I240" s="683" t="n"/>
      <c r="J240" s="683" t="n"/>
      <c r="K240" s="683" t="n"/>
      <c r="L240" s="683" t="n"/>
      <c r="M240" s="683" t="n"/>
      <c r="N240" s="683" t="n"/>
      <c r="O240" s="683" t="n"/>
      <c r="P240" s="683" t="n"/>
      <c r="Q240" s="683" t="n"/>
      <c r="R240" s="683" t="n"/>
      <c r="S240" s="683" t="n"/>
      <c r="T240" s="683" t="n"/>
      <c r="U240" s="683" t="n"/>
      <c r="V240" s="683" t="n"/>
      <c r="W240" s="683" t="n"/>
      <c r="X240" s="683" t="n"/>
      <c r="Y240" s="683" t="n"/>
    </row>
    <row r="241">
      <c r="A241" s="683" t="n"/>
      <c r="B241" s="683" t="n"/>
      <c r="C241" s="683" t="n"/>
      <c r="D241" s="683" t="n"/>
      <c r="E241" s="683" t="n"/>
      <c r="F241" s="683" t="n"/>
      <c r="G241" s="683" t="n"/>
      <c r="H241" s="683" t="n"/>
      <c r="I241" s="683" t="n"/>
      <c r="J241" s="683" t="n"/>
      <c r="K241" s="683" t="n"/>
      <c r="L241" s="683" t="n"/>
      <c r="M241" s="683" t="n"/>
      <c r="N241" s="683" t="n"/>
      <c r="O241" s="683" t="n"/>
      <c r="P241" s="683" t="n"/>
      <c r="Q241" s="683" t="n"/>
      <c r="R241" s="683" t="n"/>
      <c r="S241" s="683" t="n"/>
      <c r="T241" s="683" t="n"/>
      <c r="U241" s="683" t="n"/>
      <c r="V241" s="683" t="n"/>
      <c r="W241" s="683" t="n"/>
      <c r="X241" s="683" t="n"/>
      <c r="Y241" s="683" t="n"/>
    </row>
    <row r="242">
      <c r="A242" s="683" t="n"/>
      <c r="B242" s="683" t="n"/>
      <c r="C242" s="683" t="n"/>
      <c r="D242" s="683" t="n"/>
      <c r="E242" s="683" t="n"/>
      <c r="F242" s="683" t="n"/>
      <c r="G242" s="683" t="n"/>
      <c r="H242" s="683" t="n"/>
      <c r="I242" s="683" t="n"/>
      <c r="J242" s="683" t="n"/>
      <c r="K242" s="683" t="n"/>
      <c r="L242" s="683" t="n"/>
      <c r="M242" s="683" t="n"/>
      <c r="N242" s="683" t="n"/>
      <c r="O242" s="683" t="n"/>
      <c r="P242" s="683" t="n"/>
      <c r="Q242" s="683" t="n"/>
      <c r="R242" s="683" t="n"/>
      <c r="S242" s="683" t="n"/>
      <c r="T242" s="683" t="n"/>
      <c r="U242" s="683" t="n"/>
      <c r="V242" s="683" t="n"/>
      <c r="W242" s="683" t="n"/>
      <c r="X242" s="683" t="n"/>
      <c r="Y242" s="683" t="n"/>
    </row>
    <row r="243">
      <c r="A243" s="683" t="n"/>
      <c r="B243" s="683" t="n"/>
      <c r="C243" s="683" t="n"/>
      <c r="D243" s="683" t="n"/>
      <c r="E243" s="683" t="n"/>
      <c r="F243" s="683" t="n"/>
      <c r="G243" s="683" t="n"/>
      <c r="H243" s="683" t="n"/>
      <c r="I243" s="683" t="n"/>
      <c r="J243" s="683" t="n"/>
      <c r="K243" s="683" t="n"/>
      <c r="L243" s="683" t="n"/>
      <c r="M243" s="683" t="n"/>
      <c r="N243" s="683" t="n"/>
      <c r="O243" s="683" t="n"/>
      <c r="P243" s="683" t="n"/>
      <c r="Q243" s="683" t="n"/>
      <c r="R243" s="683" t="n"/>
      <c r="S243" s="683" t="n"/>
      <c r="T243" s="683" t="n"/>
      <c r="U243" s="683" t="n"/>
      <c r="V243" s="683" t="n"/>
      <c r="W243" s="683" t="n"/>
      <c r="X243" s="683" t="n"/>
      <c r="Y243" s="683" t="n"/>
    </row>
    <row r="244">
      <c r="A244" s="683" t="n"/>
      <c r="B244" s="683" t="n"/>
      <c r="C244" s="683" t="n"/>
      <c r="D244" s="683" t="n"/>
      <c r="E244" s="683" t="n"/>
      <c r="F244" s="683" t="n"/>
      <c r="G244" s="683" t="n"/>
      <c r="H244" s="683" t="n"/>
      <c r="I244" s="683" t="n"/>
      <c r="J244" s="683" t="n"/>
      <c r="K244" s="683" t="n"/>
      <c r="L244" s="683" t="n"/>
      <c r="M244" s="683" t="n"/>
      <c r="N244" s="683" t="n"/>
      <c r="O244" s="683" t="n"/>
      <c r="P244" s="683" t="n"/>
      <c r="Q244" s="683" t="n"/>
      <c r="R244" s="683" t="n"/>
      <c r="S244" s="683" t="n"/>
      <c r="T244" s="683" t="n"/>
      <c r="U244" s="683" t="n"/>
      <c r="V244" s="683" t="n"/>
      <c r="W244" s="683" t="n"/>
      <c r="X244" s="683" t="n"/>
      <c r="Y244" s="683" t="n"/>
    </row>
    <row r="245">
      <c r="A245" s="683" t="n"/>
      <c r="B245" s="683" t="n"/>
      <c r="C245" s="683" t="n"/>
      <c r="D245" s="683" t="n"/>
      <c r="E245" s="683" t="n"/>
      <c r="F245" s="683" t="n"/>
      <c r="G245" s="683" t="n"/>
      <c r="H245" s="683" t="n"/>
      <c r="I245" s="683" t="n"/>
      <c r="J245" s="683" t="n"/>
      <c r="K245" s="683" t="n"/>
      <c r="L245" s="683" t="n"/>
      <c r="M245" s="683" t="n"/>
      <c r="N245" s="683" t="n"/>
      <c r="O245" s="683" t="n"/>
      <c r="P245" s="683" t="n"/>
      <c r="Q245" s="683" t="n"/>
      <c r="R245" s="683" t="n"/>
      <c r="S245" s="683" t="n"/>
      <c r="T245" s="683" t="n"/>
      <c r="U245" s="683" t="n"/>
      <c r="V245" s="683" t="n"/>
      <c r="W245" s="683" t="n"/>
      <c r="X245" s="683" t="n"/>
      <c r="Y245" s="683" t="n"/>
    </row>
    <row r="246">
      <c r="A246" s="683" t="n"/>
      <c r="B246" s="683" t="n"/>
      <c r="C246" s="683" t="n"/>
      <c r="D246" s="683" t="n"/>
      <c r="E246" s="683" t="n"/>
      <c r="F246" s="683" t="n"/>
      <c r="G246" s="683" t="n"/>
      <c r="H246" s="683" t="n"/>
      <c r="I246" s="683" t="n"/>
      <c r="J246" s="683" t="n"/>
      <c r="K246" s="683" t="n"/>
      <c r="L246" s="683" t="n"/>
      <c r="M246" s="683" t="n"/>
      <c r="N246" s="683" t="n"/>
      <c r="O246" s="683" t="n"/>
      <c r="P246" s="683" t="n"/>
      <c r="Q246" s="683" t="n"/>
      <c r="R246" s="683" t="n"/>
      <c r="S246" s="683" t="n"/>
      <c r="T246" s="683" t="n"/>
      <c r="U246" s="683" t="n"/>
      <c r="V246" s="683" t="n"/>
      <c r="W246" s="683" t="n"/>
      <c r="X246" s="683" t="n"/>
      <c r="Y246" s="683" t="n"/>
    </row>
    <row r="247">
      <c r="A247" s="683" t="n"/>
      <c r="B247" s="683" t="n"/>
      <c r="C247" s="683" t="n"/>
      <c r="D247" s="683" t="n"/>
      <c r="E247" s="683" t="n"/>
      <c r="F247" s="683" t="n"/>
      <c r="G247" s="683" t="n"/>
      <c r="H247" s="683" t="n"/>
      <c r="I247" s="683" t="n"/>
      <c r="J247" s="683" t="n"/>
      <c r="K247" s="683" t="n"/>
      <c r="L247" s="683" t="n"/>
      <c r="M247" s="683" t="n"/>
      <c r="N247" s="683" t="n"/>
      <c r="O247" s="683" t="n"/>
      <c r="P247" s="683" t="n"/>
      <c r="Q247" s="683" t="n"/>
      <c r="R247" s="683" t="n"/>
      <c r="S247" s="683" t="n"/>
      <c r="T247" s="683" t="n"/>
      <c r="U247" s="683" t="n"/>
      <c r="V247" s="683" t="n"/>
      <c r="W247" s="683" t="n"/>
      <c r="X247" s="683" t="n"/>
      <c r="Y247" s="683" t="n"/>
    </row>
    <row r="248">
      <c r="A248" s="683" t="n"/>
      <c r="B248" s="683" t="n"/>
      <c r="C248" s="683" t="n"/>
      <c r="D248" s="683" t="n"/>
      <c r="E248" s="683" t="n"/>
      <c r="F248" s="683" t="n"/>
      <c r="G248" s="683" t="n"/>
      <c r="H248" s="683" t="n"/>
      <c r="I248" s="683" t="n"/>
      <c r="J248" s="683" t="n"/>
      <c r="K248" s="683" t="n"/>
      <c r="L248" s="683" t="n"/>
      <c r="M248" s="683" t="n"/>
      <c r="N248" s="683" t="n"/>
      <c r="O248" s="683" t="n"/>
      <c r="P248" s="683" t="n"/>
      <c r="Q248" s="683" t="n"/>
      <c r="R248" s="683" t="n"/>
      <c r="S248" s="683" t="n"/>
      <c r="T248" s="683" t="n"/>
      <c r="U248" s="683" t="n"/>
      <c r="V248" s="683" t="n"/>
      <c r="W248" s="683" t="n"/>
      <c r="X248" s="683" t="n"/>
      <c r="Y248" s="683" t="n"/>
    </row>
    <row r="249">
      <c r="A249" s="683" t="n"/>
      <c r="B249" s="683" t="n"/>
      <c r="C249" s="683" t="n"/>
      <c r="D249" s="683" t="n"/>
      <c r="E249" s="683" t="n"/>
      <c r="F249" s="683" t="n"/>
      <c r="G249" s="683" t="n"/>
      <c r="H249" s="683" t="n"/>
      <c r="I249" s="683" t="n"/>
      <c r="J249" s="683" t="n"/>
      <c r="K249" s="683" t="n"/>
      <c r="L249" s="683" t="n"/>
      <c r="M249" s="683" t="n"/>
      <c r="N249" s="683" t="n"/>
      <c r="O249" s="683" t="n"/>
      <c r="P249" s="683" t="n"/>
      <c r="Q249" s="683" t="n"/>
      <c r="R249" s="683" t="n"/>
      <c r="S249" s="683" t="n"/>
      <c r="T249" s="683" t="n"/>
      <c r="U249" s="683" t="n"/>
      <c r="V249" s="683" t="n"/>
      <c r="W249" s="683" t="n"/>
      <c r="X249" s="683" t="n"/>
      <c r="Y249" s="683" t="n"/>
    </row>
    <row r="250">
      <c r="A250" s="683" t="n"/>
      <c r="B250" s="683" t="n"/>
      <c r="C250" s="683" t="n"/>
      <c r="D250" s="683" t="n"/>
      <c r="E250" s="683" t="n"/>
      <c r="F250" s="683" t="n"/>
      <c r="G250" s="683" t="n"/>
      <c r="H250" s="683" t="n"/>
      <c r="I250" s="683" t="n"/>
      <c r="J250" s="683" t="n"/>
      <c r="K250" s="683" t="n"/>
      <c r="L250" s="683" t="n"/>
      <c r="M250" s="683" t="n"/>
      <c r="N250" s="683" t="n"/>
      <c r="O250" s="683" t="n"/>
      <c r="P250" s="683" t="n"/>
      <c r="Q250" s="683" t="n"/>
      <c r="R250" s="683" t="n"/>
      <c r="S250" s="683" t="n"/>
      <c r="T250" s="683" t="n"/>
      <c r="U250" s="683" t="n"/>
      <c r="V250" s="683" t="n"/>
      <c r="W250" s="683" t="n"/>
      <c r="X250" s="683" t="n"/>
      <c r="Y250" s="683" t="n"/>
    </row>
    <row r="251">
      <c r="A251" s="683" t="n"/>
      <c r="B251" s="683" t="n"/>
      <c r="C251" s="683" t="n"/>
      <c r="D251" s="683" t="n"/>
      <c r="E251" s="683" t="n"/>
      <c r="F251" s="683" t="n"/>
      <c r="G251" s="683" t="n"/>
      <c r="H251" s="683" t="n"/>
      <c r="I251" s="683" t="n"/>
      <c r="J251" s="683" t="n"/>
      <c r="K251" s="683" t="n"/>
      <c r="L251" s="683" t="n"/>
      <c r="M251" s="683" t="n"/>
      <c r="N251" s="683" t="n"/>
      <c r="O251" s="683" t="n"/>
      <c r="P251" s="683" t="n"/>
      <c r="Q251" s="683" t="n"/>
      <c r="R251" s="683" t="n"/>
      <c r="S251" s="683" t="n"/>
      <c r="T251" s="683" t="n"/>
      <c r="U251" s="683" t="n"/>
      <c r="V251" s="683" t="n"/>
      <c r="W251" s="683" t="n"/>
      <c r="X251" s="683" t="n"/>
      <c r="Y251" s="683" t="n"/>
    </row>
    <row r="252">
      <c r="A252" s="683" t="n"/>
      <c r="B252" s="683" t="n"/>
      <c r="C252" s="683" t="n"/>
      <c r="D252" s="683" t="n"/>
      <c r="E252" s="683" t="n"/>
      <c r="F252" s="683" t="n"/>
      <c r="G252" s="683" t="n"/>
      <c r="H252" s="683" t="n"/>
      <c r="I252" s="683" t="n"/>
      <c r="J252" s="683" t="n"/>
      <c r="K252" s="683" t="n"/>
      <c r="L252" s="683" t="n"/>
      <c r="M252" s="683" t="n"/>
      <c r="N252" s="683" t="n"/>
      <c r="O252" s="683" t="n"/>
      <c r="P252" s="683" t="n"/>
      <c r="Q252" s="683" t="n"/>
      <c r="R252" s="683" t="n"/>
      <c r="S252" s="683" t="n"/>
      <c r="T252" s="683" t="n"/>
      <c r="U252" s="683" t="n"/>
      <c r="V252" s="683" t="n"/>
      <c r="W252" s="683" t="n"/>
      <c r="X252" s="683" t="n"/>
      <c r="Y252" s="683" t="n"/>
    </row>
    <row r="253">
      <c r="A253" s="683" t="n"/>
      <c r="B253" s="683" t="n"/>
      <c r="C253" s="683" t="n"/>
      <c r="D253" s="683" t="n"/>
      <c r="E253" s="683" t="n"/>
      <c r="F253" s="683" t="n"/>
      <c r="G253" s="683" t="n"/>
      <c r="H253" s="683" t="n"/>
      <c r="I253" s="683" t="n"/>
      <c r="J253" s="683" t="n"/>
      <c r="K253" s="683" t="n"/>
      <c r="L253" s="683" t="n"/>
      <c r="M253" s="683" t="n"/>
      <c r="N253" s="683" t="n"/>
      <c r="O253" s="683" t="n"/>
      <c r="P253" s="683" t="n"/>
      <c r="Q253" s="683" t="n"/>
      <c r="R253" s="683" t="n"/>
      <c r="S253" s="683" t="n"/>
      <c r="T253" s="683" t="n"/>
      <c r="U253" s="683" t="n"/>
      <c r="V253" s="683" t="n"/>
      <c r="W253" s="683" t="n"/>
      <c r="X253" s="683" t="n"/>
      <c r="Y253" s="683" t="n"/>
    </row>
    <row r="254">
      <c r="A254" s="683" t="n"/>
      <c r="B254" s="683" t="n"/>
      <c r="C254" s="683" t="n"/>
      <c r="D254" s="683" t="n"/>
      <c r="E254" s="683" t="n"/>
      <c r="F254" s="683" t="n"/>
      <c r="G254" s="683" t="n"/>
      <c r="H254" s="683" t="n"/>
      <c r="I254" s="683" t="n"/>
      <c r="J254" s="683" t="n"/>
      <c r="K254" s="683" t="n"/>
      <c r="L254" s="683" t="n"/>
      <c r="M254" s="683" t="n"/>
      <c r="N254" s="683" t="n"/>
      <c r="O254" s="683" t="n"/>
      <c r="P254" s="683" t="n"/>
      <c r="Q254" s="683" t="n"/>
      <c r="R254" s="683" t="n"/>
      <c r="S254" s="683" t="n"/>
      <c r="T254" s="683" t="n"/>
      <c r="U254" s="683" t="n"/>
      <c r="V254" s="683" t="n"/>
      <c r="W254" s="683" t="n"/>
      <c r="X254" s="683" t="n"/>
      <c r="Y254" s="683" t="n"/>
    </row>
    <row r="255">
      <c r="A255" s="683" t="n"/>
      <c r="B255" s="683" t="n"/>
      <c r="C255" s="683" t="n"/>
      <c r="D255" s="683" t="n"/>
      <c r="E255" s="683" t="n"/>
      <c r="F255" s="683" t="n"/>
      <c r="G255" s="683" t="n"/>
      <c r="H255" s="683" t="n"/>
      <c r="I255" s="683" t="n"/>
      <c r="J255" s="683" t="n"/>
      <c r="K255" s="683" t="n"/>
      <c r="L255" s="683" t="n"/>
      <c r="M255" s="683" t="n"/>
      <c r="N255" s="683" t="n"/>
      <c r="O255" s="683" t="n"/>
      <c r="P255" s="683" t="n"/>
      <c r="Q255" s="683" t="n"/>
      <c r="R255" s="683" t="n"/>
      <c r="S255" s="683" t="n"/>
      <c r="T255" s="683" t="n"/>
      <c r="U255" s="683" t="n"/>
      <c r="V255" s="683" t="n"/>
      <c r="W255" s="683" t="n"/>
      <c r="X255" s="683" t="n"/>
      <c r="Y255" s="683" t="n"/>
    </row>
    <row r="256">
      <c r="A256" s="683" t="n"/>
      <c r="B256" s="683" t="n"/>
      <c r="C256" s="683" t="n"/>
      <c r="D256" s="683" t="n"/>
      <c r="E256" s="683" t="n"/>
      <c r="F256" s="683" t="n"/>
      <c r="G256" s="683" t="n"/>
      <c r="H256" s="683" t="n"/>
      <c r="I256" s="683" t="n"/>
      <c r="J256" s="683" t="n"/>
      <c r="K256" s="683" t="n"/>
      <c r="L256" s="683" t="n"/>
      <c r="M256" s="683" t="n"/>
      <c r="N256" s="683" t="n"/>
      <c r="O256" s="683" t="n"/>
      <c r="P256" s="683" t="n"/>
      <c r="Q256" s="683" t="n"/>
      <c r="R256" s="683" t="n"/>
      <c r="S256" s="683" t="n"/>
      <c r="T256" s="683" t="n"/>
      <c r="U256" s="683" t="n"/>
      <c r="V256" s="683" t="n"/>
      <c r="W256" s="683" t="n"/>
      <c r="X256" s="683" t="n"/>
      <c r="Y256" s="683" t="n"/>
    </row>
    <row r="257">
      <c r="A257" s="683" t="n"/>
      <c r="B257" s="683" t="n"/>
      <c r="C257" s="683" t="n"/>
      <c r="D257" s="683" t="n"/>
      <c r="E257" s="683" t="n"/>
      <c r="F257" s="683" t="n"/>
      <c r="G257" s="683" t="n"/>
      <c r="H257" s="683" t="n"/>
      <c r="I257" s="683" t="n"/>
      <c r="J257" s="683" t="n"/>
      <c r="K257" s="683" t="n"/>
      <c r="L257" s="683" t="n"/>
      <c r="M257" s="683" t="n"/>
      <c r="N257" s="683" t="n"/>
      <c r="O257" s="683" t="n"/>
      <c r="P257" s="683" t="n"/>
      <c r="Q257" s="683" t="n"/>
      <c r="R257" s="683" t="n"/>
      <c r="S257" s="683" t="n"/>
      <c r="T257" s="683" t="n"/>
      <c r="U257" s="683" t="n"/>
      <c r="V257" s="683" t="n"/>
      <c r="W257" s="683" t="n"/>
      <c r="X257" s="683" t="n"/>
      <c r="Y257" s="683" t="n"/>
    </row>
    <row r="258">
      <c r="A258" s="683" t="n"/>
      <c r="B258" s="683" t="n"/>
      <c r="C258" s="683" t="n"/>
      <c r="D258" s="683" t="n"/>
      <c r="E258" s="683" t="n"/>
      <c r="F258" s="683" t="n"/>
      <c r="G258" s="683" t="n"/>
      <c r="H258" s="683" t="n"/>
      <c r="I258" s="683" t="n"/>
      <c r="J258" s="683" t="n"/>
      <c r="K258" s="683" t="n"/>
      <c r="L258" s="683" t="n"/>
      <c r="M258" s="683" t="n"/>
      <c r="N258" s="683" t="n"/>
      <c r="O258" s="683" t="n"/>
      <c r="P258" s="683" t="n"/>
      <c r="Q258" s="683" t="n"/>
      <c r="R258" s="683" t="n"/>
      <c r="S258" s="683" t="n"/>
      <c r="T258" s="683" t="n"/>
      <c r="U258" s="683" t="n"/>
      <c r="V258" s="683" t="n"/>
      <c r="W258" s="683" t="n"/>
      <c r="X258" s="683" t="n"/>
      <c r="Y258" s="683" t="n"/>
    </row>
    <row r="259">
      <c r="A259" s="683" t="n"/>
      <c r="B259" s="683" t="n"/>
      <c r="C259" s="683" t="n"/>
      <c r="D259" s="683" t="n"/>
      <c r="E259" s="683" t="n"/>
      <c r="F259" s="683" t="n"/>
      <c r="G259" s="683" t="n"/>
      <c r="H259" s="683" t="n"/>
      <c r="I259" s="683" t="n"/>
      <c r="J259" s="683" t="n"/>
      <c r="K259" s="683" t="n"/>
      <c r="L259" s="683" t="n"/>
      <c r="M259" s="683" t="n"/>
      <c r="N259" s="683" t="n"/>
      <c r="O259" s="683" t="n"/>
      <c r="P259" s="683" t="n"/>
      <c r="Q259" s="683" t="n"/>
      <c r="R259" s="683" t="n"/>
      <c r="S259" s="683" t="n"/>
      <c r="T259" s="683" t="n"/>
      <c r="U259" s="683" t="n"/>
      <c r="V259" s="683" t="n"/>
      <c r="W259" s="683" t="n"/>
      <c r="X259" s="683" t="n"/>
      <c r="Y259" s="683" t="n"/>
    </row>
    <row r="260">
      <c r="A260" s="683" t="n"/>
      <c r="B260" s="683" t="n"/>
      <c r="C260" s="683" t="n"/>
      <c r="D260" s="683" t="n"/>
      <c r="E260" s="683" t="n"/>
      <c r="F260" s="683" t="n"/>
      <c r="G260" s="683" t="n"/>
      <c r="H260" s="683" t="n"/>
      <c r="I260" s="683" t="n"/>
      <c r="J260" s="683" t="n"/>
      <c r="K260" s="683" t="n"/>
      <c r="L260" s="683" t="n"/>
      <c r="M260" s="683" t="n"/>
      <c r="N260" s="683" t="n"/>
      <c r="O260" s="683" t="n"/>
      <c r="P260" s="683" t="n"/>
      <c r="Q260" s="683" t="n"/>
      <c r="R260" s="683" t="n"/>
      <c r="S260" s="683" t="n"/>
      <c r="T260" s="683" t="n"/>
      <c r="U260" s="683" t="n"/>
      <c r="V260" s="683" t="n"/>
      <c r="W260" s="683" t="n"/>
      <c r="X260" s="683" t="n"/>
      <c r="Y260" s="683" t="n"/>
    </row>
    <row r="261">
      <c r="A261" s="683" t="n"/>
      <c r="B261" s="683" t="n"/>
      <c r="C261" s="683" t="n"/>
      <c r="D261" s="683" t="n"/>
      <c r="E261" s="683" t="n"/>
      <c r="F261" s="683" t="n"/>
      <c r="G261" s="683" t="n"/>
      <c r="H261" s="683" t="n"/>
      <c r="I261" s="683" t="n"/>
      <c r="J261" s="683" t="n"/>
      <c r="K261" s="683" t="n"/>
      <c r="L261" s="683" t="n"/>
      <c r="M261" s="683" t="n"/>
      <c r="N261" s="683" t="n"/>
      <c r="O261" s="683" t="n"/>
      <c r="P261" s="683" t="n"/>
      <c r="Q261" s="683" t="n"/>
      <c r="R261" s="683" t="n"/>
      <c r="S261" s="683" t="n"/>
      <c r="T261" s="683" t="n"/>
      <c r="U261" s="683" t="n"/>
      <c r="V261" s="683" t="n"/>
      <c r="W261" s="683" t="n"/>
      <c r="X261" s="683" t="n"/>
      <c r="Y261" s="683" t="n"/>
    </row>
    <row r="262">
      <c r="A262" s="683" t="n"/>
      <c r="B262" s="683" t="n"/>
      <c r="C262" s="683" t="n"/>
      <c r="D262" s="683" t="n"/>
      <c r="E262" s="683" t="n"/>
      <c r="F262" s="683" t="n"/>
      <c r="G262" s="683" t="n"/>
      <c r="H262" s="683" t="n"/>
      <c r="I262" s="683" t="n"/>
      <c r="J262" s="683" t="n"/>
      <c r="K262" s="683" t="n"/>
      <c r="L262" s="683" t="n"/>
      <c r="M262" s="683" t="n"/>
      <c r="N262" s="683" t="n"/>
      <c r="O262" s="683" t="n"/>
      <c r="P262" s="683" t="n"/>
      <c r="Q262" s="683" t="n"/>
      <c r="R262" s="683" t="n"/>
      <c r="S262" s="683" t="n"/>
      <c r="T262" s="683" t="n"/>
      <c r="U262" s="683" t="n"/>
      <c r="V262" s="683" t="n"/>
      <c r="W262" s="683" t="n"/>
      <c r="X262" s="683" t="n"/>
      <c r="Y262" s="683" t="n"/>
    </row>
    <row r="263">
      <c r="A263" s="683" t="n"/>
      <c r="B263" s="683" t="n"/>
      <c r="C263" s="683" t="n"/>
      <c r="D263" s="683" t="n"/>
      <c r="E263" s="683" t="n"/>
      <c r="F263" s="683" t="n"/>
      <c r="G263" s="683" t="n"/>
      <c r="H263" s="683" t="n"/>
      <c r="I263" s="683" t="n"/>
      <c r="J263" s="683" t="n"/>
      <c r="K263" s="683" t="n"/>
      <c r="L263" s="683" t="n"/>
      <c r="M263" s="683" t="n"/>
      <c r="N263" s="683" t="n"/>
      <c r="O263" s="683" t="n"/>
      <c r="P263" s="683" t="n"/>
      <c r="Q263" s="683" t="n"/>
      <c r="R263" s="683" t="n"/>
      <c r="S263" s="683" t="n"/>
      <c r="T263" s="683" t="n"/>
      <c r="U263" s="683" t="n"/>
      <c r="V263" s="683" t="n"/>
      <c r="W263" s="683" t="n"/>
      <c r="X263" s="683" t="n"/>
      <c r="Y263" s="683" t="n"/>
    </row>
    <row r="264">
      <c r="A264" s="683" t="n"/>
      <c r="B264" s="683" t="n"/>
      <c r="C264" s="683" t="n"/>
      <c r="D264" s="683" t="n"/>
      <c r="E264" s="683" t="n"/>
      <c r="F264" s="683" t="n"/>
      <c r="G264" s="683" t="n"/>
      <c r="H264" s="683" t="n"/>
      <c r="I264" s="683" t="n"/>
      <c r="J264" s="683" t="n"/>
      <c r="K264" s="683" t="n"/>
      <c r="L264" s="683" t="n"/>
      <c r="M264" s="683" t="n"/>
      <c r="N264" s="683" t="n"/>
      <c r="O264" s="683" t="n"/>
      <c r="P264" s="683" t="n"/>
      <c r="Q264" s="683" t="n"/>
      <c r="R264" s="683" t="n"/>
      <c r="S264" s="683" t="n"/>
      <c r="T264" s="683" t="n"/>
      <c r="U264" s="683" t="n"/>
      <c r="V264" s="683" t="n"/>
      <c r="W264" s="683" t="n"/>
      <c r="X264" s="683" t="n"/>
      <c r="Y264" s="683" t="n"/>
    </row>
    <row r="265">
      <c r="A265" s="683" t="n"/>
      <c r="B265" s="683" t="n"/>
      <c r="C265" s="683" t="n"/>
      <c r="D265" s="683" t="n"/>
      <c r="E265" s="683" t="n"/>
      <c r="F265" s="683" t="n"/>
      <c r="G265" s="683" t="n"/>
      <c r="H265" s="683" t="n"/>
      <c r="I265" s="683" t="n"/>
      <c r="J265" s="683" t="n"/>
      <c r="K265" s="683" t="n"/>
      <c r="L265" s="683" t="n"/>
      <c r="M265" s="683" t="n"/>
      <c r="N265" s="683" t="n"/>
      <c r="O265" s="683" t="n"/>
      <c r="P265" s="683" t="n"/>
      <c r="Q265" s="683" t="n"/>
      <c r="R265" s="683" t="n"/>
      <c r="S265" s="683" t="n"/>
      <c r="T265" s="683" t="n"/>
      <c r="U265" s="683" t="n"/>
      <c r="V265" s="683" t="n"/>
      <c r="W265" s="683" t="n"/>
      <c r="X265" s="683" t="n"/>
      <c r="Y265" s="683" t="n"/>
    </row>
    <row r="266">
      <c r="A266" s="683" t="n"/>
      <c r="B266" s="683" t="n"/>
      <c r="C266" s="683" t="n"/>
      <c r="D266" s="683" t="n"/>
      <c r="E266" s="683" t="n"/>
      <c r="F266" s="683" t="n"/>
      <c r="G266" s="683" t="n"/>
      <c r="H266" s="683" t="n"/>
      <c r="I266" s="683" t="n"/>
      <c r="J266" s="683" t="n"/>
      <c r="K266" s="683" t="n"/>
      <c r="L266" s="683" t="n"/>
      <c r="M266" s="683" t="n"/>
      <c r="N266" s="683" t="n"/>
      <c r="O266" s="683" t="n"/>
      <c r="P266" s="683" t="n"/>
      <c r="Q266" s="683" t="n"/>
      <c r="R266" s="683" t="n"/>
      <c r="S266" s="683" t="n"/>
      <c r="T266" s="683" t="n"/>
      <c r="U266" s="683" t="n"/>
      <c r="V266" s="683" t="n"/>
      <c r="W266" s="683" t="n"/>
      <c r="X266" s="683" t="n"/>
      <c r="Y266" s="683" t="n"/>
    </row>
    <row r="267">
      <c r="A267" s="683" t="n"/>
      <c r="B267" s="683" t="n"/>
      <c r="C267" s="683" t="n"/>
      <c r="D267" s="683" t="n"/>
      <c r="E267" s="683" t="n"/>
      <c r="F267" s="683" t="n"/>
      <c r="G267" s="683" t="n"/>
      <c r="H267" s="683" t="n"/>
      <c r="I267" s="683" t="n"/>
      <c r="J267" s="683" t="n"/>
      <c r="K267" s="683" t="n"/>
      <c r="L267" s="683" t="n"/>
      <c r="M267" s="683" t="n"/>
      <c r="N267" s="683" t="n"/>
      <c r="O267" s="683" t="n"/>
      <c r="P267" s="683" t="n"/>
      <c r="Q267" s="683" t="n"/>
      <c r="R267" s="683" t="n"/>
      <c r="S267" s="683" t="n"/>
      <c r="T267" s="683" t="n"/>
      <c r="U267" s="683" t="n"/>
      <c r="V267" s="683" t="n"/>
      <c r="W267" s="683" t="n"/>
      <c r="X267" s="683" t="n"/>
      <c r="Y267" s="683" t="n"/>
    </row>
    <row r="268">
      <c r="A268" s="683" t="n"/>
      <c r="B268" s="683" t="n"/>
      <c r="C268" s="683" t="n"/>
      <c r="D268" s="683" t="n"/>
      <c r="E268" s="683" t="n"/>
      <c r="F268" s="683" t="n"/>
      <c r="G268" s="683" t="n"/>
      <c r="H268" s="683" t="n"/>
      <c r="I268" s="683" t="n"/>
      <c r="J268" s="683" t="n"/>
      <c r="K268" s="683" t="n"/>
      <c r="L268" s="683" t="n"/>
      <c r="M268" s="683" t="n"/>
      <c r="N268" s="683" t="n"/>
      <c r="O268" s="683" t="n"/>
      <c r="P268" s="683" t="n"/>
      <c r="Q268" s="683" t="n"/>
      <c r="R268" s="683" t="n"/>
      <c r="S268" s="683" t="n"/>
      <c r="T268" s="683" t="n"/>
      <c r="U268" s="683" t="n"/>
      <c r="V268" s="683" t="n"/>
      <c r="W268" s="683" t="n"/>
      <c r="X268" s="683" t="n"/>
      <c r="Y268" s="683" t="n"/>
    </row>
    <row r="269">
      <c r="A269" s="683" t="n"/>
      <c r="B269" s="683" t="n"/>
      <c r="C269" s="683" t="n"/>
      <c r="D269" s="683" t="n"/>
      <c r="E269" s="683" t="n"/>
      <c r="F269" s="683" t="n"/>
      <c r="G269" s="683" t="n"/>
      <c r="H269" s="683" t="n"/>
      <c r="I269" s="683" t="n"/>
      <c r="J269" s="683" t="n"/>
      <c r="K269" s="683" t="n"/>
      <c r="L269" s="683" t="n"/>
      <c r="M269" s="683" t="n"/>
      <c r="N269" s="683" t="n"/>
      <c r="O269" s="683" t="n"/>
      <c r="P269" s="683" t="n"/>
      <c r="Q269" s="683" t="n"/>
      <c r="R269" s="683" t="n"/>
      <c r="S269" s="683" t="n"/>
      <c r="T269" s="683" t="n"/>
      <c r="U269" s="683" t="n"/>
      <c r="V269" s="683" t="n"/>
      <c r="W269" s="683" t="n"/>
      <c r="X269" s="683" t="n"/>
      <c r="Y269" s="683" t="n"/>
    </row>
    <row r="270">
      <c r="A270" s="683" t="n"/>
      <c r="B270" s="683" t="n"/>
      <c r="C270" s="683" t="n"/>
      <c r="D270" s="683" t="n"/>
      <c r="E270" s="683" t="n"/>
      <c r="F270" s="683" t="n"/>
      <c r="G270" s="683" t="n"/>
      <c r="H270" s="683" t="n"/>
      <c r="I270" s="683" t="n"/>
      <c r="J270" s="683" t="n"/>
      <c r="K270" s="683" t="n"/>
      <c r="L270" s="683" t="n"/>
      <c r="M270" s="683" t="n"/>
      <c r="N270" s="683" t="n"/>
      <c r="O270" s="683" t="n"/>
      <c r="P270" s="683" t="n"/>
      <c r="Q270" s="683" t="n"/>
      <c r="R270" s="683" t="n"/>
      <c r="S270" s="683" t="n"/>
      <c r="T270" s="683" t="n"/>
      <c r="U270" s="683" t="n"/>
      <c r="V270" s="683" t="n"/>
      <c r="W270" s="683" t="n"/>
      <c r="X270" s="683" t="n"/>
      <c r="Y270" s="683" t="n"/>
    </row>
    <row r="271">
      <c r="A271" s="683" t="n"/>
      <c r="B271" s="683" t="n"/>
      <c r="C271" s="683" t="n"/>
      <c r="D271" s="683" t="n"/>
      <c r="E271" s="683" t="n"/>
      <c r="F271" s="683" t="n"/>
      <c r="G271" s="683" t="n"/>
      <c r="H271" s="683" t="n"/>
      <c r="I271" s="683" t="n"/>
      <c r="J271" s="683" t="n"/>
      <c r="K271" s="683" t="n"/>
      <c r="L271" s="683" t="n"/>
      <c r="M271" s="683" t="n"/>
      <c r="N271" s="683" t="n"/>
      <c r="O271" s="683" t="n"/>
      <c r="P271" s="683" t="n"/>
      <c r="Q271" s="683" t="n"/>
      <c r="R271" s="683" t="n"/>
      <c r="S271" s="683" t="n"/>
      <c r="T271" s="683" t="n"/>
      <c r="U271" s="683" t="n"/>
      <c r="V271" s="683" t="n"/>
      <c r="W271" s="683" t="n"/>
      <c r="X271" s="683" t="n"/>
      <c r="Y271" s="683" t="n"/>
    </row>
    <row r="272">
      <c r="A272" s="683" t="n"/>
      <c r="B272" s="683" t="n"/>
      <c r="C272" s="683" t="n"/>
      <c r="D272" s="683" t="n"/>
      <c r="E272" s="683" t="n"/>
      <c r="F272" s="683" t="n"/>
      <c r="G272" s="683" t="n"/>
      <c r="H272" s="683" t="n"/>
      <c r="I272" s="683" t="n"/>
      <c r="J272" s="683" t="n"/>
      <c r="K272" s="683" t="n"/>
      <c r="L272" s="683" t="n"/>
      <c r="M272" s="683" t="n"/>
      <c r="N272" s="683" t="n"/>
      <c r="O272" s="683" t="n"/>
      <c r="P272" s="683" t="n"/>
      <c r="Q272" s="683" t="n"/>
      <c r="R272" s="683" t="n"/>
      <c r="S272" s="683" t="n"/>
      <c r="T272" s="683" t="n"/>
      <c r="U272" s="683" t="n"/>
      <c r="V272" s="683" t="n"/>
      <c r="W272" s="683" t="n"/>
      <c r="X272" s="683" t="n"/>
      <c r="Y272" s="683" t="n"/>
    </row>
    <row r="273">
      <c r="A273" s="683" t="n"/>
      <c r="B273" s="683" t="n"/>
      <c r="C273" s="683" t="n"/>
      <c r="D273" s="683" t="n"/>
      <c r="E273" s="683" t="n"/>
      <c r="F273" s="683" t="n"/>
      <c r="G273" s="683" t="n"/>
      <c r="H273" s="683" t="n"/>
      <c r="I273" s="683" t="n"/>
      <c r="J273" s="683" t="n"/>
      <c r="K273" s="683" t="n"/>
      <c r="L273" s="683" t="n"/>
      <c r="M273" s="683" t="n"/>
      <c r="N273" s="683" t="n"/>
      <c r="O273" s="683" t="n"/>
      <c r="P273" s="683" t="n"/>
      <c r="Q273" s="683" t="n"/>
      <c r="R273" s="683" t="n"/>
      <c r="S273" s="683" t="n"/>
      <c r="T273" s="683" t="n"/>
      <c r="U273" s="683" t="n"/>
      <c r="V273" s="683" t="n"/>
      <c r="W273" s="683" t="n"/>
      <c r="X273" s="683" t="n"/>
      <c r="Y273" s="683" t="n"/>
    </row>
    <row r="274">
      <c r="A274" s="683" t="n"/>
      <c r="B274" s="683" t="n"/>
      <c r="C274" s="683" t="n"/>
      <c r="D274" s="683" t="n"/>
      <c r="E274" s="683" t="n"/>
      <c r="F274" s="683" t="n"/>
      <c r="G274" s="683" t="n"/>
      <c r="H274" s="683" t="n"/>
      <c r="I274" s="683" t="n"/>
      <c r="J274" s="683" t="n"/>
      <c r="K274" s="683" t="n"/>
      <c r="L274" s="683" t="n"/>
      <c r="M274" s="683" t="n"/>
      <c r="N274" s="683" t="n"/>
      <c r="O274" s="683" t="n"/>
      <c r="P274" s="683" t="n"/>
      <c r="Q274" s="683" t="n"/>
      <c r="R274" s="683" t="n"/>
      <c r="S274" s="683" t="n"/>
      <c r="T274" s="683" t="n"/>
      <c r="U274" s="683" t="n"/>
      <c r="V274" s="683" t="n"/>
      <c r="W274" s="683" t="n"/>
      <c r="X274" s="683" t="n"/>
      <c r="Y274" s="683" t="n"/>
    </row>
    <row r="275">
      <c r="A275" s="683" t="n"/>
      <c r="B275" s="683" t="n"/>
      <c r="C275" s="683" t="n"/>
      <c r="D275" s="683" t="n"/>
      <c r="E275" s="683" t="n"/>
      <c r="F275" s="683" t="n"/>
      <c r="G275" s="683" t="n"/>
      <c r="H275" s="683" t="n"/>
      <c r="I275" s="683" t="n"/>
      <c r="J275" s="683" t="n"/>
      <c r="K275" s="683" t="n"/>
      <c r="L275" s="683" t="n"/>
      <c r="M275" s="683" t="n"/>
      <c r="N275" s="683" t="n"/>
      <c r="O275" s="683" t="n"/>
      <c r="P275" s="683" t="n"/>
      <c r="Q275" s="683" t="n"/>
      <c r="R275" s="683" t="n"/>
      <c r="S275" s="683" t="n"/>
      <c r="T275" s="683" t="n"/>
      <c r="U275" s="683" t="n"/>
      <c r="V275" s="683" t="n"/>
      <c r="W275" s="683" t="n"/>
      <c r="X275" s="683" t="n"/>
      <c r="Y275" s="683" t="n"/>
    </row>
    <row r="276">
      <c r="A276" s="683" t="n"/>
      <c r="B276" s="683" t="n"/>
      <c r="C276" s="683" t="n"/>
      <c r="D276" s="683" t="n"/>
      <c r="E276" s="683" t="n"/>
      <c r="F276" s="683" t="n"/>
      <c r="G276" s="683" t="n"/>
      <c r="H276" s="683" t="n"/>
      <c r="I276" s="683" t="n"/>
      <c r="J276" s="683" t="n"/>
      <c r="K276" s="683" t="n"/>
      <c r="L276" s="683" t="n"/>
      <c r="M276" s="683" t="n"/>
      <c r="N276" s="683" t="n"/>
      <c r="O276" s="683" t="n"/>
      <c r="P276" s="683" t="n"/>
      <c r="Q276" s="683" t="n"/>
      <c r="R276" s="683" t="n"/>
      <c r="S276" s="683" t="n"/>
      <c r="T276" s="683" t="n"/>
      <c r="U276" s="683" t="n"/>
      <c r="V276" s="683" t="n"/>
      <c r="W276" s="683" t="n"/>
      <c r="X276" s="683" t="n"/>
      <c r="Y276" s="683" t="n"/>
    </row>
    <row r="277">
      <c r="A277" s="683" t="n"/>
      <c r="B277" s="683" t="n"/>
      <c r="C277" s="683" t="n"/>
      <c r="D277" s="683" t="n"/>
      <c r="E277" s="683" t="n"/>
      <c r="F277" s="683" t="n"/>
      <c r="G277" s="683" t="n"/>
      <c r="H277" s="683" t="n"/>
      <c r="I277" s="683" t="n"/>
      <c r="J277" s="683" t="n"/>
      <c r="K277" s="683" t="n"/>
      <c r="L277" s="683" t="n"/>
      <c r="M277" s="683" t="n"/>
      <c r="N277" s="683" t="n"/>
      <c r="O277" s="683" t="n"/>
      <c r="P277" s="683" t="n"/>
      <c r="Q277" s="683" t="n"/>
      <c r="R277" s="683" t="n"/>
      <c r="S277" s="683" t="n"/>
      <c r="T277" s="683" t="n"/>
      <c r="U277" s="683" t="n"/>
      <c r="V277" s="683" t="n"/>
      <c r="W277" s="683" t="n"/>
      <c r="X277" s="683" t="n"/>
      <c r="Y277" s="683" t="n"/>
    </row>
    <row r="278">
      <c r="A278" s="683" t="n"/>
      <c r="B278" s="683" t="n"/>
      <c r="C278" s="683" t="n"/>
      <c r="D278" s="683" t="n"/>
      <c r="E278" s="683" t="n"/>
      <c r="F278" s="683" t="n"/>
      <c r="G278" s="683" t="n"/>
      <c r="H278" s="683" t="n"/>
      <c r="I278" s="683" t="n"/>
      <c r="J278" s="683" t="n"/>
      <c r="K278" s="683" t="n"/>
      <c r="L278" s="683" t="n"/>
      <c r="M278" s="683" t="n"/>
      <c r="N278" s="683" t="n"/>
      <c r="O278" s="683" t="n"/>
      <c r="P278" s="683" t="n"/>
      <c r="Q278" s="683" t="n"/>
      <c r="R278" s="683" t="n"/>
      <c r="S278" s="683" t="n"/>
      <c r="T278" s="683" t="n"/>
      <c r="U278" s="683" t="n"/>
      <c r="V278" s="683" t="n"/>
      <c r="W278" s="683" t="n"/>
      <c r="X278" s="683" t="n"/>
      <c r="Y278" s="683" t="n"/>
    </row>
    <row r="279">
      <c r="A279" s="683" t="n"/>
      <c r="B279" s="683" t="n"/>
      <c r="C279" s="683" t="n"/>
      <c r="D279" s="683" t="n"/>
      <c r="E279" s="683" t="n"/>
      <c r="F279" s="683" t="n"/>
      <c r="G279" s="683" t="n"/>
      <c r="H279" s="683" t="n"/>
      <c r="I279" s="683" t="n"/>
      <c r="J279" s="683" t="n"/>
      <c r="K279" s="683" t="n"/>
      <c r="L279" s="683" t="n"/>
      <c r="M279" s="683" t="n"/>
      <c r="N279" s="683" t="n"/>
      <c r="O279" s="683" t="n"/>
      <c r="P279" s="683" t="n"/>
      <c r="Q279" s="683" t="n"/>
      <c r="R279" s="683" t="n"/>
      <c r="S279" s="683" t="n"/>
      <c r="T279" s="683" t="n"/>
      <c r="U279" s="683" t="n"/>
      <c r="V279" s="683" t="n"/>
      <c r="W279" s="683" t="n"/>
      <c r="X279" s="683" t="n"/>
      <c r="Y279" s="683" t="n"/>
    </row>
    <row r="280">
      <c r="A280" s="683" t="n"/>
      <c r="B280" s="683" t="n"/>
      <c r="C280" s="683" t="n"/>
      <c r="D280" s="683" t="n"/>
      <c r="E280" s="683" t="n"/>
      <c r="F280" s="683" t="n"/>
      <c r="G280" s="683" t="n"/>
      <c r="H280" s="683" t="n"/>
      <c r="I280" s="683" t="n"/>
      <c r="J280" s="683" t="n"/>
      <c r="K280" s="683" t="n"/>
      <c r="L280" s="683" t="n"/>
      <c r="M280" s="683" t="n"/>
      <c r="N280" s="683" t="n"/>
      <c r="O280" s="683" t="n"/>
      <c r="P280" s="683" t="n"/>
      <c r="Q280" s="683" t="n"/>
      <c r="R280" s="683" t="n"/>
      <c r="S280" s="683" t="n"/>
      <c r="T280" s="683" t="n"/>
      <c r="U280" s="683" t="n"/>
      <c r="V280" s="683" t="n"/>
      <c r="W280" s="683" t="n"/>
      <c r="X280" s="683" t="n"/>
      <c r="Y280" s="683" t="n"/>
    </row>
    <row r="281">
      <c r="A281" s="683" t="n"/>
      <c r="B281" s="683" t="n"/>
      <c r="C281" s="683" t="n"/>
      <c r="D281" s="683" t="n"/>
      <c r="E281" s="683" t="n"/>
      <c r="F281" s="683" t="n"/>
      <c r="G281" s="683" t="n"/>
      <c r="H281" s="683" t="n"/>
      <c r="I281" s="683" t="n"/>
      <c r="J281" s="683" t="n"/>
      <c r="K281" s="683" t="n"/>
      <c r="L281" s="683" t="n"/>
      <c r="M281" s="683" t="n"/>
      <c r="N281" s="683" t="n"/>
      <c r="O281" s="683" t="n"/>
      <c r="P281" s="683" t="n"/>
      <c r="Q281" s="683" t="n"/>
      <c r="R281" s="683" t="n"/>
      <c r="S281" s="683" t="n"/>
      <c r="T281" s="683" t="n"/>
      <c r="U281" s="683" t="n"/>
      <c r="V281" s="683" t="n"/>
      <c r="W281" s="683" t="n"/>
      <c r="X281" s="683" t="n"/>
      <c r="Y281" s="683" t="n"/>
    </row>
    <row r="282">
      <c r="A282" s="683" t="n"/>
      <c r="B282" s="683" t="n"/>
      <c r="C282" s="683" t="n"/>
      <c r="D282" s="683" t="n"/>
      <c r="E282" s="683" t="n"/>
      <c r="F282" s="683" t="n"/>
      <c r="G282" s="683" t="n"/>
      <c r="H282" s="683" t="n"/>
      <c r="I282" s="683" t="n"/>
      <c r="J282" s="683" t="n"/>
      <c r="K282" s="683" t="n"/>
      <c r="L282" s="683" t="n"/>
      <c r="M282" s="683" t="n"/>
      <c r="N282" s="683" t="n"/>
      <c r="O282" s="683" t="n"/>
      <c r="P282" s="683" t="n"/>
      <c r="Q282" s="683" t="n"/>
      <c r="R282" s="683" t="n"/>
      <c r="S282" s="683" t="n"/>
      <c r="T282" s="683" t="n"/>
      <c r="U282" s="683" t="n"/>
      <c r="V282" s="683" t="n"/>
      <c r="W282" s="683" t="n"/>
      <c r="X282" s="683" t="n"/>
      <c r="Y282" s="683" t="n"/>
    </row>
    <row r="283">
      <c r="A283" s="683" t="n"/>
      <c r="B283" s="683" t="n"/>
      <c r="C283" s="683" t="n"/>
      <c r="D283" s="683" t="n"/>
      <c r="E283" s="683" t="n"/>
      <c r="F283" s="683" t="n"/>
      <c r="G283" s="683" t="n"/>
      <c r="H283" s="683" t="n"/>
      <c r="I283" s="683" t="n"/>
      <c r="J283" s="683" t="n"/>
      <c r="K283" s="683" t="n"/>
      <c r="L283" s="683" t="n"/>
      <c r="M283" s="683" t="n"/>
      <c r="N283" s="683" t="n"/>
      <c r="O283" s="683" t="n"/>
      <c r="P283" s="683" t="n"/>
      <c r="Q283" s="683" t="n"/>
      <c r="R283" s="683" t="n"/>
      <c r="S283" s="683" t="n"/>
      <c r="T283" s="683" t="n"/>
      <c r="U283" s="683" t="n"/>
      <c r="V283" s="683" t="n"/>
      <c r="W283" s="683" t="n"/>
      <c r="X283" s="683" t="n"/>
      <c r="Y283" s="683" t="n"/>
    </row>
    <row r="284">
      <c r="A284" s="683" t="n"/>
      <c r="B284" s="683" t="n"/>
      <c r="C284" s="683" t="n"/>
      <c r="D284" s="683" t="n"/>
      <c r="E284" s="683" t="n"/>
      <c r="F284" s="683" t="n"/>
      <c r="G284" s="683" t="n"/>
      <c r="H284" s="683" t="n"/>
      <c r="I284" s="683" t="n"/>
      <c r="J284" s="683" t="n"/>
      <c r="K284" s="683" t="n"/>
      <c r="L284" s="683" t="n"/>
      <c r="M284" s="683" t="n"/>
      <c r="N284" s="683" t="n"/>
      <c r="O284" s="683" t="n"/>
      <c r="P284" s="683" t="n"/>
      <c r="Q284" s="683" t="n"/>
      <c r="R284" s="683" t="n"/>
      <c r="S284" s="683" t="n"/>
      <c r="T284" s="683" t="n"/>
      <c r="U284" s="683" t="n"/>
      <c r="V284" s="683" t="n"/>
      <c r="W284" s="683" t="n"/>
      <c r="X284" s="683" t="n"/>
      <c r="Y284" s="683" t="n"/>
    </row>
    <row r="285">
      <c r="A285" s="683" t="n"/>
      <c r="B285" s="683" t="n"/>
      <c r="C285" s="683" t="n"/>
      <c r="D285" s="683" t="n"/>
      <c r="E285" s="683" t="n"/>
      <c r="F285" s="683" t="n"/>
      <c r="G285" s="683" t="n"/>
      <c r="H285" s="683" t="n"/>
      <c r="I285" s="683" t="n"/>
      <c r="J285" s="683" t="n"/>
      <c r="K285" s="683" t="n"/>
      <c r="L285" s="683" t="n"/>
      <c r="M285" s="683" t="n"/>
      <c r="N285" s="683" t="n"/>
      <c r="O285" s="683" t="n"/>
      <c r="P285" s="683" t="n"/>
      <c r="Q285" s="683" t="n"/>
      <c r="R285" s="683" t="n"/>
      <c r="S285" s="683" t="n"/>
      <c r="T285" s="683" t="n"/>
      <c r="U285" s="683" t="n"/>
      <c r="V285" s="683" t="n"/>
      <c r="W285" s="683" t="n"/>
      <c r="X285" s="683" t="n"/>
      <c r="Y285" s="683" t="n"/>
    </row>
    <row r="286">
      <c r="A286" s="683" t="n"/>
      <c r="B286" s="683" t="n"/>
      <c r="C286" s="683" t="n"/>
      <c r="D286" s="683" t="n"/>
      <c r="E286" s="683" t="n"/>
      <c r="F286" s="683" t="n"/>
      <c r="G286" s="683" t="n"/>
      <c r="H286" s="683" t="n"/>
      <c r="I286" s="683" t="n"/>
      <c r="J286" s="683" t="n"/>
      <c r="K286" s="683" t="n"/>
      <c r="L286" s="683" t="n"/>
      <c r="M286" s="683" t="n"/>
      <c r="N286" s="683" t="n"/>
      <c r="O286" s="683" t="n"/>
      <c r="P286" s="683" t="n"/>
      <c r="Q286" s="683" t="n"/>
      <c r="R286" s="683" t="n"/>
      <c r="S286" s="683" t="n"/>
      <c r="T286" s="683" t="n"/>
      <c r="U286" s="683" t="n"/>
      <c r="V286" s="683" t="n"/>
      <c r="W286" s="683" t="n"/>
      <c r="X286" s="683" t="n"/>
      <c r="Y286" s="683" t="n"/>
    </row>
    <row r="287">
      <c r="A287" s="683" t="n"/>
      <c r="B287" s="683" t="n"/>
      <c r="C287" s="683" t="n"/>
      <c r="D287" s="683" t="n"/>
      <c r="E287" s="683" t="n"/>
      <c r="F287" s="683" t="n"/>
      <c r="G287" s="683" t="n"/>
      <c r="H287" s="683" t="n"/>
      <c r="I287" s="683" t="n"/>
      <c r="J287" s="683" t="n"/>
      <c r="K287" s="683" t="n"/>
      <c r="L287" s="683" t="n"/>
      <c r="M287" s="683" t="n"/>
      <c r="N287" s="683" t="n"/>
      <c r="O287" s="683" t="n"/>
      <c r="P287" s="683" t="n"/>
      <c r="Q287" s="683" t="n"/>
      <c r="R287" s="683" t="n"/>
      <c r="S287" s="683" t="n"/>
      <c r="T287" s="683" t="n"/>
      <c r="U287" s="683" t="n"/>
      <c r="V287" s="683" t="n"/>
      <c r="W287" s="683" t="n"/>
      <c r="X287" s="683" t="n"/>
      <c r="Y287" s="683" t="n"/>
    </row>
    <row r="288">
      <c r="A288" s="683" t="n"/>
      <c r="B288" s="683" t="n"/>
      <c r="C288" s="683" t="n"/>
      <c r="D288" s="683" t="n"/>
      <c r="E288" s="683" t="n"/>
      <c r="F288" s="683" t="n"/>
      <c r="G288" s="683" t="n"/>
      <c r="H288" s="683" t="n"/>
      <c r="I288" s="683" t="n"/>
      <c r="J288" s="683" t="n"/>
      <c r="K288" s="683" t="n"/>
      <c r="L288" s="683" t="n"/>
      <c r="M288" s="683" t="n"/>
      <c r="N288" s="683" t="n"/>
      <c r="O288" s="683" t="n"/>
      <c r="P288" s="683" t="n"/>
      <c r="Q288" s="683" t="n"/>
      <c r="R288" s="683" t="n"/>
      <c r="S288" s="683" t="n"/>
      <c r="T288" s="683" t="n"/>
      <c r="U288" s="683" t="n"/>
      <c r="V288" s="683" t="n"/>
      <c r="W288" s="683" t="n"/>
      <c r="X288" s="683" t="n"/>
      <c r="Y288" s="683" t="n"/>
    </row>
    <row r="289">
      <c r="A289" s="683" t="n"/>
      <c r="B289" s="683" t="n"/>
      <c r="C289" s="683" t="n"/>
      <c r="D289" s="683" t="n"/>
      <c r="E289" s="683" t="n"/>
      <c r="F289" s="683" t="n"/>
      <c r="G289" s="683" t="n"/>
      <c r="H289" s="683" t="n"/>
      <c r="I289" s="683" t="n"/>
      <c r="J289" s="683" t="n"/>
      <c r="K289" s="683" t="n"/>
      <c r="L289" s="683" t="n"/>
      <c r="M289" s="683" t="n"/>
      <c r="N289" s="683" t="n"/>
      <c r="O289" s="683" t="n"/>
      <c r="P289" s="683" t="n"/>
      <c r="Q289" s="683" t="n"/>
      <c r="R289" s="683" t="n"/>
      <c r="S289" s="683" t="n"/>
      <c r="T289" s="683" t="n"/>
      <c r="U289" s="683" t="n"/>
      <c r="V289" s="683" t="n"/>
      <c r="W289" s="683" t="n"/>
      <c r="X289" s="683" t="n"/>
      <c r="Y289" s="683" t="n"/>
    </row>
    <row r="290">
      <c r="A290" s="683" t="n"/>
      <c r="B290" s="683" t="n"/>
      <c r="C290" s="683" t="n"/>
      <c r="D290" s="683" t="n"/>
      <c r="E290" s="683" t="n"/>
      <c r="F290" s="683" t="n"/>
      <c r="G290" s="683" t="n"/>
      <c r="H290" s="683" t="n"/>
      <c r="I290" s="683" t="n"/>
      <c r="J290" s="683" t="n"/>
      <c r="K290" s="683" t="n"/>
      <c r="L290" s="683" t="n"/>
      <c r="M290" s="683" t="n"/>
      <c r="N290" s="683" t="n"/>
      <c r="O290" s="683" t="n"/>
      <c r="P290" s="683" t="n"/>
      <c r="Q290" s="683" t="n"/>
      <c r="R290" s="683" t="n"/>
      <c r="S290" s="683" t="n"/>
      <c r="T290" s="683" t="n"/>
      <c r="U290" s="683" t="n"/>
      <c r="V290" s="683" t="n"/>
      <c r="W290" s="683" t="n"/>
      <c r="X290" s="683" t="n"/>
      <c r="Y290" s="683" t="n"/>
    </row>
    <row r="291">
      <c r="A291" s="683" t="n"/>
      <c r="B291" s="683" t="n"/>
      <c r="C291" s="683" t="n"/>
      <c r="D291" s="683" t="n"/>
      <c r="E291" s="683" t="n"/>
      <c r="F291" s="683" t="n"/>
      <c r="G291" s="683" t="n"/>
      <c r="H291" s="683" t="n"/>
      <c r="I291" s="683" t="n"/>
      <c r="J291" s="683" t="n"/>
      <c r="K291" s="683" t="n"/>
      <c r="L291" s="683" t="n"/>
      <c r="M291" s="683" t="n"/>
      <c r="N291" s="683" t="n"/>
      <c r="O291" s="683" t="n"/>
      <c r="P291" s="683" t="n"/>
      <c r="Q291" s="683" t="n"/>
      <c r="R291" s="683" t="n"/>
      <c r="S291" s="683" t="n"/>
      <c r="T291" s="683" t="n"/>
      <c r="U291" s="683" t="n"/>
      <c r="V291" s="683" t="n"/>
      <c r="W291" s="683" t="n"/>
      <c r="X291" s="683" t="n"/>
      <c r="Y291" s="683" t="n"/>
    </row>
    <row r="292">
      <c r="A292" s="683" t="n"/>
      <c r="B292" s="683" t="n"/>
      <c r="C292" s="683" t="n"/>
      <c r="D292" s="683" t="n"/>
      <c r="E292" s="683" t="n"/>
      <c r="F292" s="683" t="n"/>
      <c r="G292" s="683" t="n"/>
      <c r="H292" s="683" t="n"/>
      <c r="I292" s="683" t="n"/>
      <c r="J292" s="683" t="n"/>
      <c r="K292" s="683" t="n"/>
      <c r="L292" s="683" t="n"/>
      <c r="M292" s="683" t="n"/>
      <c r="N292" s="683" t="n"/>
      <c r="O292" s="683" t="n"/>
      <c r="P292" s="683" t="n"/>
      <c r="Q292" s="683" t="n"/>
      <c r="R292" s="683" t="n"/>
      <c r="S292" s="683" t="n"/>
      <c r="T292" s="683" t="n"/>
      <c r="U292" s="683" t="n"/>
      <c r="V292" s="683" t="n"/>
      <c r="W292" s="683" t="n"/>
      <c r="X292" s="683" t="n"/>
      <c r="Y292" s="683" t="n"/>
    </row>
    <row r="293">
      <c r="A293" s="683" t="n"/>
      <c r="B293" s="683" t="n"/>
      <c r="C293" s="683" t="n"/>
      <c r="D293" s="683" t="n"/>
      <c r="E293" s="683" t="n"/>
      <c r="F293" s="683" t="n"/>
      <c r="G293" s="683" t="n"/>
      <c r="H293" s="683" t="n"/>
      <c r="I293" s="683" t="n"/>
      <c r="J293" s="683" t="n"/>
      <c r="K293" s="683" t="n"/>
      <c r="L293" s="683" t="n"/>
      <c r="M293" s="683" t="n"/>
      <c r="N293" s="683" t="n"/>
      <c r="O293" s="683" t="n"/>
      <c r="P293" s="683" t="n"/>
      <c r="Q293" s="683" t="n"/>
      <c r="R293" s="683" t="n"/>
      <c r="S293" s="683" t="n"/>
      <c r="T293" s="683" t="n"/>
      <c r="U293" s="683" t="n"/>
      <c r="V293" s="683" t="n"/>
      <c r="W293" s="683" t="n"/>
      <c r="X293" s="683" t="n"/>
      <c r="Y293" s="683" t="n"/>
    </row>
    <row r="294">
      <c r="A294" s="683" t="n"/>
      <c r="B294" s="683" t="n"/>
      <c r="C294" s="683" t="n"/>
      <c r="D294" s="683" t="n"/>
      <c r="E294" s="683" t="n"/>
      <c r="F294" s="683" t="n"/>
      <c r="G294" s="683" t="n"/>
      <c r="H294" s="683" t="n"/>
      <c r="I294" s="683" t="n"/>
      <c r="J294" s="683" t="n"/>
      <c r="K294" s="683" t="n"/>
      <c r="L294" s="683" t="n"/>
      <c r="M294" s="683" t="n"/>
      <c r="N294" s="683" t="n"/>
      <c r="O294" s="683" t="n"/>
      <c r="P294" s="683" t="n"/>
      <c r="Q294" s="683" t="n"/>
      <c r="R294" s="683" t="n"/>
      <c r="S294" s="683" t="n"/>
      <c r="T294" s="683" t="n"/>
      <c r="U294" s="683" t="n"/>
      <c r="V294" s="683" t="n"/>
      <c r="W294" s="683" t="n"/>
      <c r="X294" s="683" t="n"/>
      <c r="Y294" s="683" t="n"/>
    </row>
    <row r="295">
      <c r="A295" s="683" t="n"/>
      <c r="B295" s="683" t="n"/>
      <c r="C295" s="683" t="n"/>
      <c r="D295" s="683" t="n"/>
      <c r="E295" s="683" t="n"/>
      <c r="F295" s="683" t="n"/>
      <c r="G295" s="683" t="n"/>
      <c r="H295" s="683" t="n"/>
      <c r="I295" s="683" t="n"/>
      <c r="J295" s="683" t="n"/>
      <c r="K295" s="683" t="n"/>
      <c r="L295" s="683" t="n"/>
      <c r="M295" s="683" t="n"/>
      <c r="N295" s="683" t="n"/>
      <c r="O295" s="683" t="n"/>
      <c r="P295" s="683" t="n"/>
      <c r="Q295" s="683" t="n"/>
      <c r="R295" s="683" t="n"/>
      <c r="S295" s="683" t="n"/>
      <c r="T295" s="683" t="n"/>
      <c r="U295" s="683" t="n"/>
      <c r="V295" s="683" t="n"/>
      <c r="W295" s="683" t="n"/>
      <c r="X295" s="683" t="n"/>
      <c r="Y295" s="683" t="n"/>
    </row>
    <row r="296">
      <c r="A296" s="683" t="n"/>
      <c r="B296" s="683" t="n"/>
      <c r="C296" s="683" t="n"/>
      <c r="D296" s="683" t="n"/>
      <c r="E296" s="683" t="n"/>
      <c r="F296" s="683" t="n"/>
      <c r="G296" s="683" t="n"/>
      <c r="H296" s="683" t="n"/>
      <c r="I296" s="683" t="n"/>
      <c r="J296" s="683" t="n"/>
      <c r="K296" s="683" t="n"/>
      <c r="L296" s="683" t="n"/>
      <c r="M296" s="683" t="n"/>
      <c r="N296" s="683" t="n"/>
      <c r="O296" s="683" t="n"/>
      <c r="P296" s="683" t="n"/>
      <c r="Q296" s="683" t="n"/>
      <c r="R296" s="683" t="n"/>
      <c r="S296" s="683" t="n"/>
      <c r="T296" s="683" t="n"/>
      <c r="U296" s="683" t="n"/>
      <c r="V296" s="683" t="n"/>
      <c r="W296" s="683" t="n"/>
      <c r="X296" s="683" t="n"/>
      <c r="Y296" s="683" t="n"/>
    </row>
    <row r="297">
      <c r="A297" s="683" t="n"/>
      <c r="B297" s="683" t="n"/>
      <c r="C297" s="683" t="n"/>
      <c r="D297" s="683" t="n"/>
      <c r="E297" s="683" t="n"/>
      <c r="F297" s="683" t="n"/>
      <c r="G297" s="683" t="n"/>
      <c r="H297" s="683" t="n"/>
      <c r="I297" s="683" t="n"/>
      <c r="J297" s="683" t="n"/>
      <c r="K297" s="683" t="n"/>
      <c r="L297" s="683" t="n"/>
      <c r="M297" s="683" t="n"/>
      <c r="N297" s="683" t="n"/>
      <c r="O297" s="683" t="n"/>
      <c r="P297" s="683" t="n"/>
      <c r="Q297" s="683" t="n"/>
      <c r="R297" s="683" t="n"/>
      <c r="S297" s="683" t="n"/>
      <c r="T297" s="683" t="n"/>
      <c r="U297" s="683" t="n"/>
      <c r="V297" s="683" t="n"/>
      <c r="W297" s="683" t="n"/>
      <c r="X297" s="683" t="n"/>
      <c r="Y297" s="683" t="n"/>
    </row>
    <row r="298">
      <c r="A298" s="683" t="n"/>
      <c r="B298" s="683" t="n"/>
      <c r="C298" s="683" t="n"/>
      <c r="D298" s="683" t="n"/>
      <c r="E298" s="683" t="n"/>
      <c r="F298" s="683" t="n"/>
      <c r="G298" s="683" t="n"/>
      <c r="H298" s="683" t="n"/>
      <c r="I298" s="683" t="n"/>
      <c r="J298" s="683" t="n"/>
      <c r="K298" s="683" t="n"/>
      <c r="L298" s="683" t="n"/>
      <c r="M298" s="683" t="n"/>
      <c r="N298" s="683" t="n"/>
      <c r="O298" s="683" t="n"/>
      <c r="P298" s="683" t="n"/>
      <c r="Q298" s="683" t="n"/>
      <c r="R298" s="683" t="n"/>
      <c r="S298" s="683" t="n"/>
      <c r="T298" s="683" t="n"/>
      <c r="U298" s="683" t="n"/>
      <c r="V298" s="683" t="n"/>
      <c r="W298" s="683" t="n"/>
      <c r="X298" s="683" t="n"/>
      <c r="Y298" s="683" t="n"/>
    </row>
    <row r="299">
      <c r="A299" s="683" t="n"/>
      <c r="B299" s="683" t="n"/>
      <c r="C299" s="683" t="n"/>
      <c r="D299" s="683" t="n"/>
      <c r="E299" s="683" t="n"/>
      <c r="F299" s="683" t="n"/>
      <c r="G299" s="683" t="n"/>
      <c r="H299" s="683" t="n"/>
      <c r="I299" s="683" t="n"/>
      <c r="J299" s="683" t="n"/>
      <c r="K299" s="683" t="n"/>
      <c r="L299" s="683" t="n"/>
      <c r="M299" s="683" t="n"/>
      <c r="N299" s="683" t="n"/>
      <c r="O299" s="683" t="n"/>
      <c r="P299" s="683" t="n"/>
      <c r="Q299" s="683" t="n"/>
      <c r="R299" s="683" t="n"/>
      <c r="S299" s="683" t="n"/>
      <c r="T299" s="683" t="n"/>
      <c r="U299" s="683" t="n"/>
      <c r="V299" s="683" t="n"/>
      <c r="W299" s="683" t="n"/>
      <c r="X299" s="683" t="n"/>
      <c r="Y299" s="683" t="n"/>
    </row>
    <row r="300">
      <c r="A300" s="683" t="n"/>
      <c r="B300" s="683" t="n"/>
      <c r="C300" s="683" t="n"/>
      <c r="D300" s="683" t="n"/>
      <c r="E300" s="683" t="n"/>
      <c r="F300" s="683" t="n"/>
      <c r="G300" s="683" t="n"/>
      <c r="H300" s="683" t="n"/>
      <c r="I300" s="683" t="n"/>
      <c r="J300" s="683" t="n"/>
      <c r="K300" s="683" t="n"/>
      <c r="L300" s="683" t="n"/>
      <c r="M300" s="683" t="n"/>
      <c r="N300" s="683" t="n"/>
      <c r="O300" s="683" t="n"/>
      <c r="P300" s="683" t="n"/>
      <c r="Q300" s="683" t="n"/>
      <c r="R300" s="683" t="n"/>
      <c r="S300" s="683" t="n"/>
      <c r="T300" s="683" t="n"/>
      <c r="U300" s="683" t="n"/>
      <c r="V300" s="683" t="n"/>
      <c r="W300" s="683" t="n"/>
      <c r="X300" s="683" t="n"/>
      <c r="Y300" s="683" t="n"/>
    </row>
    <row r="301">
      <c r="A301" s="683" t="n"/>
      <c r="B301" s="683" t="n"/>
      <c r="C301" s="683" t="n"/>
      <c r="D301" s="683" t="n"/>
      <c r="E301" s="683" t="n"/>
      <c r="F301" s="683" t="n"/>
      <c r="G301" s="683" t="n"/>
      <c r="H301" s="683" t="n"/>
      <c r="I301" s="683" t="n"/>
      <c r="J301" s="683" t="n"/>
      <c r="K301" s="683" t="n"/>
      <c r="L301" s="683" t="n"/>
      <c r="M301" s="683" t="n"/>
      <c r="N301" s="683" t="n"/>
      <c r="O301" s="683" t="n"/>
      <c r="P301" s="683" t="n"/>
      <c r="Q301" s="683" t="n"/>
      <c r="R301" s="683" t="n"/>
      <c r="S301" s="683" t="n"/>
      <c r="T301" s="683" t="n"/>
      <c r="U301" s="683" t="n"/>
      <c r="V301" s="683" t="n"/>
      <c r="W301" s="683" t="n"/>
      <c r="X301" s="683" t="n"/>
      <c r="Y301" s="683" t="n"/>
    </row>
    <row r="302">
      <c r="A302" s="683" t="n"/>
      <c r="B302" s="683" t="n"/>
      <c r="C302" s="683" t="n"/>
      <c r="D302" s="683" t="n"/>
      <c r="E302" s="683" t="n"/>
      <c r="F302" s="683" t="n"/>
      <c r="G302" s="683" t="n"/>
      <c r="H302" s="683" t="n"/>
      <c r="I302" s="683" t="n"/>
      <c r="J302" s="683" t="n"/>
      <c r="K302" s="683" t="n"/>
      <c r="L302" s="683" t="n"/>
      <c r="M302" s="683" t="n"/>
      <c r="N302" s="683" t="n"/>
      <c r="O302" s="683" t="n"/>
      <c r="P302" s="683" t="n"/>
      <c r="Q302" s="683" t="n"/>
      <c r="R302" s="683" t="n"/>
      <c r="S302" s="683" t="n"/>
      <c r="T302" s="683" t="n"/>
      <c r="U302" s="683" t="n"/>
      <c r="V302" s="683" t="n"/>
      <c r="W302" s="683" t="n"/>
      <c r="X302" s="683" t="n"/>
      <c r="Y302" s="683" t="n"/>
    </row>
    <row r="303">
      <c r="A303" s="683" t="n"/>
      <c r="B303" s="683" t="n"/>
      <c r="C303" s="683" t="n"/>
      <c r="D303" s="683" t="n"/>
      <c r="E303" s="683" t="n"/>
      <c r="F303" s="683" t="n"/>
      <c r="G303" s="683" t="n"/>
      <c r="H303" s="683" t="n"/>
      <c r="I303" s="683" t="n"/>
      <c r="J303" s="683" t="n"/>
      <c r="K303" s="683" t="n"/>
      <c r="L303" s="683" t="n"/>
      <c r="M303" s="683" t="n"/>
      <c r="N303" s="683" t="n"/>
      <c r="O303" s="683" t="n"/>
      <c r="P303" s="683" t="n"/>
      <c r="Q303" s="683" t="n"/>
      <c r="R303" s="683" t="n"/>
      <c r="S303" s="683" t="n"/>
      <c r="T303" s="683" t="n"/>
      <c r="U303" s="683" t="n"/>
      <c r="V303" s="683" t="n"/>
      <c r="W303" s="683" t="n"/>
      <c r="X303" s="683" t="n"/>
      <c r="Y303" s="683" t="n"/>
    </row>
    <row r="304">
      <c r="A304" s="683" t="n"/>
      <c r="B304" s="683" t="n"/>
      <c r="C304" s="683" t="n"/>
      <c r="D304" s="683" t="n"/>
      <c r="E304" s="683" t="n"/>
      <c r="F304" s="683" t="n"/>
      <c r="G304" s="683" t="n"/>
      <c r="H304" s="683" t="n"/>
      <c r="I304" s="683" t="n"/>
      <c r="J304" s="683" t="n"/>
      <c r="K304" s="683" t="n"/>
      <c r="L304" s="683" t="n"/>
      <c r="M304" s="683" t="n"/>
      <c r="N304" s="683" t="n"/>
      <c r="O304" s="683" t="n"/>
      <c r="P304" s="683" t="n"/>
      <c r="Q304" s="683" t="n"/>
      <c r="R304" s="683" t="n"/>
      <c r="S304" s="683" t="n"/>
      <c r="T304" s="683" t="n"/>
      <c r="U304" s="683" t="n"/>
      <c r="V304" s="683" t="n"/>
      <c r="W304" s="683" t="n"/>
      <c r="X304" s="683" t="n"/>
      <c r="Y304" s="683" t="n"/>
    </row>
    <row r="305">
      <c r="A305" s="683" t="n"/>
      <c r="B305" s="683" t="n"/>
      <c r="C305" s="683" t="n"/>
      <c r="D305" s="683" t="n"/>
      <c r="E305" s="683" t="n"/>
      <c r="F305" s="683" t="n"/>
      <c r="G305" s="683" t="n"/>
      <c r="H305" s="683" t="n"/>
      <c r="I305" s="683" t="n"/>
      <c r="J305" s="683" t="n"/>
      <c r="K305" s="683" t="n"/>
      <c r="L305" s="683" t="n"/>
      <c r="M305" s="683" t="n"/>
      <c r="N305" s="683" t="n"/>
      <c r="O305" s="683" t="n"/>
      <c r="P305" s="683" t="n"/>
      <c r="Q305" s="683" t="n"/>
      <c r="R305" s="683" t="n"/>
      <c r="S305" s="683" t="n"/>
      <c r="T305" s="683" t="n"/>
      <c r="U305" s="683" t="n"/>
      <c r="V305" s="683" t="n"/>
      <c r="W305" s="683" t="n"/>
      <c r="X305" s="683" t="n"/>
      <c r="Y305" s="683" t="n"/>
    </row>
    <row r="306">
      <c r="A306" s="683" t="n"/>
      <c r="B306" s="683" t="n"/>
      <c r="C306" s="683" t="n"/>
      <c r="D306" s="683" t="n"/>
      <c r="E306" s="683" t="n"/>
      <c r="F306" s="683" t="n"/>
      <c r="G306" s="683" t="n"/>
      <c r="H306" s="683" t="n"/>
      <c r="I306" s="683" t="n"/>
      <c r="J306" s="683" t="n"/>
      <c r="K306" s="683" t="n"/>
      <c r="L306" s="683" t="n"/>
      <c r="M306" s="683" t="n"/>
      <c r="N306" s="683" t="n"/>
      <c r="O306" s="683" t="n"/>
      <c r="P306" s="683" t="n"/>
      <c r="Q306" s="683" t="n"/>
      <c r="R306" s="683" t="n"/>
      <c r="S306" s="683" t="n"/>
      <c r="T306" s="683" t="n"/>
      <c r="U306" s="683" t="n"/>
      <c r="V306" s="683" t="n"/>
      <c r="W306" s="683" t="n"/>
      <c r="X306" s="683" t="n"/>
      <c r="Y306" s="683" t="n"/>
    </row>
    <row r="307">
      <c r="A307" s="683" t="n"/>
      <c r="B307" s="683" t="n"/>
      <c r="C307" s="683" t="n"/>
      <c r="D307" s="683" t="n"/>
      <c r="E307" s="683" t="n"/>
      <c r="F307" s="683" t="n"/>
      <c r="G307" s="683" t="n"/>
      <c r="H307" s="683" t="n"/>
      <c r="I307" s="683" t="n"/>
      <c r="J307" s="683" t="n"/>
      <c r="K307" s="683" t="n"/>
      <c r="L307" s="683" t="n"/>
      <c r="M307" s="683" t="n"/>
      <c r="N307" s="683" t="n"/>
      <c r="O307" s="683" t="n"/>
      <c r="P307" s="683" t="n"/>
      <c r="Q307" s="683" t="n"/>
      <c r="R307" s="683" t="n"/>
      <c r="S307" s="683" t="n"/>
      <c r="T307" s="683" t="n"/>
      <c r="U307" s="683" t="n"/>
      <c r="V307" s="683" t="n"/>
      <c r="W307" s="683" t="n"/>
      <c r="X307" s="683" t="n"/>
      <c r="Y307" s="683" t="n"/>
    </row>
    <row r="308">
      <c r="A308" s="683" t="n"/>
      <c r="B308" s="683" t="n"/>
      <c r="C308" s="683" t="n"/>
      <c r="D308" s="683" t="n"/>
      <c r="E308" s="683" t="n"/>
      <c r="F308" s="683" t="n"/>
      <c r="G308" s="683" t="n"/>
      <c r="H308" s="683" t="n"/>
      <c r="I308" s="683" t="n"/>
      <c r="J308" s="683" t="n"/>
      <c r="K308" s="683" t="n"/>
      <c r="L308" s="683" t="n"/>
      <c r="M308" s="683" t="n"/>
      <c r="N308" s="683" t="n"/>
      <c r="O308" s="683" t="n"/>
      <c r="P308" s="683" t="n"/>
      <c r="Q308" s="683" t="n"/>
      <c r="R308" s="683" t="n"/>
      <c r="S308" s="683" t="n"/>
      <c r="T308" s="683" t="n"/>
      <c r="U308" s="683" t="n"/>
      <c r="V308" s="683" t="n"/>
      <c r="W308" s="683" t="n"/>
      <c r="X308" s="683" t="n"/>
      <c r="Y308" s="683" t="n"/>
    </row>
    <row r="309">
      <c r="A309" s="683" t="n"/>
      <c r="B309" s="683" t="n"/>
      <c r="C309" s="683" t="n"/>
      <c r="D309" s="683" t="n"/>
      <c r="E309" s="683" t="n"/>
      <c r="F309" s="683" t="n"/>
      <c r="G309" s="683" t="n"/>
      <c r="H309" s="683" t="n"/>
      <c r="I309" s="683" t="n"/>
      <c r="J309" s="683" t="n"/>
      <c r="K309" s="683" t="n"/>
      <c r="L309" s="683" t="n"/>
      <c r="M309" s="683" t="n"/>
      <c r="N309" s="683" t="n"/>
      <c r="O309" s="683" t="n"/>
      <c r="P309" s="683" t="n"/>
      <c r="Q309" s="683" t="n"/>
      <c r="R309" s="683" t="n"/>
      <c r="S309" s="683" t="n"/>
      <c r="T309" s="683" t="n"/>
      <c r="U309" s="683" t="n"/>
      <c r="V309" s="683" t="n"/>
      <c r="W309" s="683" t="n"/>
      <c r="X309" s="683" t="n"/>
      <c r="Y309" s="683" t="n"/>
    </row>
    <row r="310">
      <c r="A310" s="683" t="n"/>
      <c r="B310" s="683" t="n"/>
      <c r="C310" s="683" t="n"/>
      <c r="D310" s="683" t="n"/>
      <c r="E310" s="683" t="n"/>
      <c r="F310" s="683" t="n"/>
      <c r="G310" s="683" t="n"/>
      <c r="H310" s="683" t="n"/>
      <c r="I310" s="683" t="n"/>
      <c r="J310" s="683" t="n"/>
      <c r="K310" s="683" t="n"/>
      <c r="L310" s="683" t="n"/>
      <c r="M310" s="683" t="n"/>
      <c r="N310" s="683" t="n"/>
      <c r="O310" s="683" t="n"/>
      <c r="P310" s="683" t="n"/>
      <c r="Q310" s="683" t="n"/>
      <c r="R310" s="683" t="n"/>
      <c r="S310" s="683" t="n"/>
      <c r="T310" s="683" t="n"/>
      <c r="U310" s="683" t="n"/>
      <c r="V310" s="683" t="n"/>
      <c r="W310" s="683" t="n"/>
      <c r="X310" s="683" t="n"/>
      <c r="Y310" s="683" t="n"/>
    </row>
    <row r="311">
      <c r="A311" s="683" t="n"/>
      <c r="B311" s="683" t="n"/>
      <c r="C311" s="683" t="n"/>
      <c r="D311" s="683" t="n"/>
      <c r="E311" s="683" t="n"/>
      <c r="F311" s="683" t="n"/>
      <c r="G311" s="683" t="n"/>
      <c r="H311" s="683" t="n"/>
      <c r="I311" s="683" t="n"/>
      <c r="J311" s="683" t="n"/>
      <c r="K311" s="683" t="n"/>
      <c r="L311" s="683" t="n"/>
      <c r="M311" s="683" t="n"/>
      <c r="N311" s="683" t="n"/>
      <c r="O311" s="683" t="n"/>
      <c r="P311" s="683" t="n"/>
      <c r="Q311" s="683" t="n"/>
      <c r="R311" s="683" t="n"/>
      <c r="S311" s="683" t="n"/>
      <c r="T311" s="683" t="n"/>
      <c r="U311" s="683" t="n"/>
      <c r="V311" s="683" t="n"/>
      <c r="W311" s="683" t="n"/>
      <c r="X311" s="683" t="n"/>
      <c r="Y311" s="683" t="n"/>
    </row>
    <row r="312">
      <c r="A312" s="683" t="n"/>
      <c r="B312" s="683" t="n"/>
      <c r="C312" s="683" t="n"/>
      <c r="D312" s="683" t="n"/>
      <c r="E312" s="683" t="n"/>
      <c r="F312" s="683" t="n"/>
      <c r="G312" s="683" t="n"/>
      <c r="H312" s="683" t="n"/>
      <c r="I312" s="683" t="n"/>
      <c r="J312" s="683" t="n"/>
      <c r="K312" s="683" t="n"/>
      <c r="L312" s="683" t="n"/>
      <c r="M312" s="683" t="n"/>
      <c r="N312" s="683" t="n"/>
      <c r="O312" s="683" t="n"/>
      <c r="P312" s="683" t="n"/>
      <c r="Q312" s="683" t="n"/>
      <c r="R312" s="683" t="n"/>
      <c r="S312" s="683" t="n"/>
      <c r="T312" s="683" t="n"/>
      <c r="U312" s="683" t="n"/>
      <c r="V312" s="683" t="n"/>
      <c r="W312" s="683" t="n"/>
      <c r="X312" s="683" t="n"/>
      <c r="Y312" s="683" t="n"/>
    </row>
    <row r="313">
      <c r="A313" s="683" t="n"/>
      <c r="B313" s="683" t="n"/>
      <c r="C313" s="683" t="n"/>
      <c r="D313" s="683" t="n"/>
      <c r="E313" s="683" t="n"/>
      <c r="F313" s="683" t="n"/>
      <c r="G313" s="683" t="n"/>
      <c r="H313" s="683" t="n"/>
      <c r="I313" s="683" t="n"/>
      <c r="J313" s="683" t="n"/>
      <c r="K313" s="683" t="n"/>
      <c r="L313" s="683" t="n"/>
      <c r="M313" s="683" t="n"/>
      <c r="N313" s="683" t="n"/>
      <c r="O313" s="683" t="n"/>
      <c r="P313" s="683" t="n"/>
      <c r="Q313" s="683" t="n"/>
      <c r="R313" s="683" t="n"/>
      <c r="S313" s="683" t="n"/>
      <c r="T313" s="683" t="n"/>
      <c r="U313" s="683" t="n"/>
      <c r="V313" s="683" t="n"/>
      <c r="W313" s="683" t="n"/>
      <c r="X313" s="683" t="n"/>
      <c r="Y313" s="683" t="n"/>
    </row>
    <row r="314">
      <c r="A314" s="683" t="n"/>
      <c r="B314" s="683" t="n"/>
      <c r="C314" s="683" t="n"/>
      <c r="D314" s="683" t="n"/>
      <c r="E314" s="683" t="n"/>
      <c r="F314" s="683" t="n"/>
      <c r="G314" s="683" t="n"/>
      <c r="H314" s="683" t="n"/>
      <c r="I314" s="683" t="n"/>
      <c r="J314" s="683" t="n"/>
      <c r="K314" s="683" t="n"/>
      <c r="L314" s="683" t="n"/>
      <c r="M314" s="683" t="n"/>
      <c r="N314" s="683" t="n"/>
      <c r="O314" s="683" t="n"/>
      <c r="P314" s="683" t="n"/>
      <c r="Q314" s="683" t="n"/>
      <c r="R314" s="683" t="n"/>
      <c r="S314" s="683" t="n"/>
      <c r="T314" s="683" t="n"/>
      <c r="U314" s="683" t="n"/>
      <c r="V314" s="683" t="n"/>
      <c r="W314" s="683" t="n"/>
      <c r="X314" s="683" t="n"/>
      <c r="Y314" s="683" t="n"/>
    </row>
    <row r="315">
      <c r="A315" s="683" t="n"/>
      <c r="B315" s="683" t="n"/>
      <c r="C315" s="683" t="n"/>
      <c r="D315" s="683" t="n"/>
      <c r="E315" s="683" t="n"/>
      <c r="F315" s="683" t="n"/>
      <c r="G315" s="683" t="n"/>
      <c r="H315" s="683" t="n"/>
      <c r="I315" s="683" t="n"/>
      <c r="J315" s="683" t="n"/>
      <c r="K315" s="683" t="n"/>
      <c r="L315" s="683" t="n"/>
      <c r="M315" s="683" t="n"/>
      <c r="N315" s="683" t="n"/>
      <c r="O315" s="683" t="n"/>
      <c r="P315" s="683" t="n"/>
      <c r="Q315" s="683" t="n"/>
      <c r="R315" s="683" t="n"/>
      <c r="S315" s="683" t="n"/>
      <c r="T315" s="683" t="n"/>
      <c r="U315" s="683" t="n"/>
      <c r="V315" s="683" t="n"/>
      <c r="W315" s="683" t="n"/>
      <c r="X315" s="683" t="n"/>
      <c r="Y315" s="683" t="n"/>
    </row>
    <row r="316">
      <c r="A316" s="683" t="n"/>
      <c r="B316" s="683" t="n"/>
      <c r="C316" s="683" t="n"/>
      <c r="D316" s="683" t="n"/>
      <c r="E316" s="683" t="n"/>
      <c r="F316" s="683" t="n"/>
      <c r="G316" s="683" t="n"/>
      <c r="H316" s="683" t="n"/>
      <c r="I316" s="683" t="n"/>
      <c r="J316" s="683" t="n"/>
      <c r="K316" s="683" t="n"/>
      <c r="L316" s="683" t="n"/>
      <c r="M316" s="683" t="n"/>
      <c r="N316" s="683" t="n"/>
      <c r="O316" s="683" t="n"/>
      <c r="P316" s="683" t="n"/>
      <c r="Q316" s="683" t="n"/>
      <c r="R316" s="683" t="n"/>
      <c r="S316" s="683" t="n"/>
      <c r="T316" s="683" t="n"/>
      <c r="U316" s="683" t="n"/>
      <c r="V316" s="683" t="n"/>
      <c r="W316" s="683" t="n"/>
      <c r="X316" s="683" t="n"/>
      <c r="Y316" s="683" t="n"/>
    </row>
    <row r="317">
      <c r="A317" s="683" t="n"/>
      <c r="B317" s="683" t="n"/>
      <c r="C317" s="683" t="n"/>
      <c r="D317" s="683" t="n"/>
      <c r="E317" s="683" t="n"/>
      <c r="F317" s="683" t="n"/>
      <c r="G317" s="683" t="n"/>
      <c r="H317" s="683" t="n"/>
      <c r="I317" s="683" t="n"/>
      <c r="J317" s="683" t="n"/>
      <c r="K317" s="683" t="n"/>
      <c r="L317" s="683" t="n"/>
      <c r="M317" s="683" t="n"/>
      <c r="N317" s="683" t="n"/>
      <c r="O317" s="683" t="n"/>
      <c r="P317" s="683" t="n"/>
      <c r="Q317" s="683" t="n"/>
      <c r="R317" s="683" t="n"/>
      <c r="S317" s="683" t="n"/>
      <c r="T317" s="683" t="n"/>
      <c r="U317" s="683" t="n"/>
      <c r="V317" s="683" t="n"/>
      <c r="W317" s="683" t="n"/>
      <c r="X317" s="683" t="n"/>
      <c r="Y317" s="683" t="n"/>
    </row>
    <row r="318">
      <c r="A318" s="683" t="n"/>
      <c r="B318" s="683" t="n"/>
      <c r="C318" s="683" t="n"/>
      <c r="D318" s="683" t="n"/>
      <c r="E318" s="683" t="n"/>
      <c r="F318" s="683" t="n"/>
      <c r="G318" s="683" t="n"/>
      <c r="H318" s="683" t="n"/>
      <c r="I318" s="683" t="n"/>
      <c r="J318" s="683" t="n"/>
      <c r="K318" s="683" t="n"/>
      <c r="L318" s="683" t="n"/>
      <c r="M318" s="683" t="n"/>
      <c r="N318" s="683" t="n"/>
      <c r="O318" s="683" t="n"/>
      <c r="P318" s="683" t="n"/>
      <c r="Q318" s="683" t="n"/>
      <c r="R318" s="683" t="n"/>
      <c r="S318" s="683" t="n"/>
      <c r="T318" s="683" t="n"/>
      <c r="U318" s="683" t="n"/>
      <c r="V318" s="683" t="n"/>
      <c r="W318" s="683" t="n"/>
      <c r="X318" s="683" t="n"/>
      <c r="Y318" s="683" t="n"/>
    </row>
    <row r="319">
      <c r="A319" s="683" t="n"/>
      <c r="B319" s="683" t="n"/>
      <c r="C319" s="683" t="n"/>
      <c r="D319" s="683" t="n"/>
      <c r="E319" s="683" t="n"/>
      <c r="F319" s="683" t="n"/>
      <c r="G319" s="683" t="n"/>
      <c r="H319" s="683" t="n"/>
      <c r="I319" s="683" t="n"/>
      <c r="J319" s="683" t="n"/>
      <c r="K319" s="683" t="n"/>
      <c r="L319" s="683" t="n"/>
      <c r="M319" s="683" t="n"/>
      <c r="N319" s="683" t="n"/>
      <c r="O319" s="683" t="n"/>
      <c r="P319" s="683" t="n"/>
      <c r="Q319" s="683" t="n"/>
      <c r="R319" s="683" t="n"/>
      <c r="S319" s="683" t="n"/>
      <c r="T319" s="683" t="n"/>
      <c r="U319" s="683" t="n"/>
      <c r="V319" s="683" t="n"/>
      <c r="W319" s="683" t="n"/>
      <c r="X319" s="683" t="n"/>
      <c r="Y319" s="683" t="n"/>
    </row>
    <row r="320">
      <c r="A320" s="683" t="n"/>
      <c r="B320" s="683" t="n"/>
      <c r="C320" s="683" t="n"/>
      <c r="D320" s="683" t="n"/>
      <c r="E320" s="683" t="n"/>
      <c r="F320" s="683" t="n"/>
      <c r="G320" s="683" t="n"/>
      <c r="H320" s="683" t="n"/>
      <c r="I320" s="683" t="n"/>
      <c r="J320" s="683" t="n"/>
      <c r="K320" s="683" t="n"/>
      <c r="L320" s="683" t="n"/>
      <c r="M320" s="683" t="n"/>
      <c r="N320" s="683" t="n"/>
      <c r="O320" s="683" t="n"/>
      <c r="P320" s="683" t="n"/>
      <c r="Q320" s="683" t="n"/>
      <c r="R320" s="683" t="n"/>
      <c r="S320" s="683" t="n"/>
      <c r="T320" s="683" t="n"/>
      <c r="U320" s="683" t="n"/>
      <c r="V320" s="683" t="n"/>
      <c r="W320" s="683" t="n"/>
      <c r="X320" s="683" t="n"/>
      <c r="Y320" s="683" t="n"/>
    </row>
    <row r="321">
      <c r="A321" s="683" t="n"/>
      <c r="B321" s="683" t="n"/>
      <c r="C321" s="683" t="n"/>
      <c r="D321" s="683" t="n"/>
      <c r="E321" s="683" t="n"/>
      <c r="F321" s="683" t="n"/>
      <c r="G321" s="683" t="n"/>
      <c r="H321" s="683" t="n"/>
      <c r="I321" s="683" t="n"/>
      <c r="J321" s="683" t="n"/>
      <c r="K321" s="683" t="n"/>
      <c r="L321" s="683" t="n"/>
      <c r="M321" s="683" t="n"/>
      <c r="N321" s="683" t="n"/>
      <c r="O321" s="683" t="n"/>
      <c r="P321" s="683" t="n"/>
      <c r="Q321" s="683" t="n"/>
      <c r="R321" s="683" t="n"/>
      <c r="S321" s="683" t="n"/>
      <c r="T321" s="683" t="n"/>
      <c r="U321" s="683" t="n"/>
      <c r="V321" s="683" t="n"/>
      <c r="W321" s="683" t="n"/>
      <c r="X321" s="683" t="n"/>
      <c r="Y321" s="683" t="n"/>
    </row>
    <row r="322">
      <c r="A322" s="683" t="n"/>
      <c r="B322" s="683" t="n"/>
      <c r="C322" s="683" t="n"/>
      <c r="D322" s="683" t="n"/>
      <c r="E322" s="683" t="n"/>
      <c r="F322" s="683" t="n"/>
      <c r="G322" s="683" t="n"/>
      <c r="H322" s="683" t="n"/>
      <c r="I322" s="683" t="n"/>
      <c r="J322" s="683" t="n"/>
      <c r="K322" s="683" t="n"/>
      <c r="L322" s="683" t="n"/>
      <c r="M322" s="683" t="n"/>
      <c r="N322" s="683" t="n"/>
      <c r="O322" s="683" t="n"/>
      <c r="P322" s="683" t="n"/>
      <c r="Q322" s="683" t="n"/>
      <c r="R322" s="683" t="n"/>
      <c r="S322" s="683" t="n"/>
      <c r="T322" s="683" t="n"/>
      <c r="U322" s="683" t="n"/>
      <c r="V322" s="683" t="n"/>
      <c r="W322" s="683" t="n"/>
      <c r="X322" s="683" t="n"/>
      <c r="Y322" s="683" t="n"/>
    </row>
    <row r="323">
      <c r="A323" s="683" t="n"/>
      <c r="B323" s="683" t="n"/>
      <c r="C323" s="683" t="n"/>
      <c r="D323" s="683" t="n"/>
      <c r="E323" s="683" t="n"/>
      <c r="F323" s="683" t="n"/>
      <c r="G323" s="683" t="n"/>
      <c r="H323" s="683" t="n"/>
      <c r="I323" s="683" t="n"/>
      <c r="J323" s="683" t="n"/>
      <c r="K323" s="683" t="n"/>
      <c r="L323" s="683" t="n"/>
      <c r="M323" s="683" t="n"/>
      <c r="N323" s="683" t="n"/>
      <c r="O323" s="683" t="n"/>
      <c r="P323" s="683" t="n"/>
      <c r="Q323" s="683" t="n"/>
      <c r="R323" s="683" t="n"/>
      <c r="S323" s="683" t="n"/>
      <c r="T323" s="683" t="n"/>
      <c r="U323" s="683" t="n"/>
      <c r="V323" s="683" t="n"/>
      <c r="W323" s="683" t="n"/>
      <c r="X323" s="683" t="n"/>
      <c r="Y323" s="683" t="n"/>
    </row>
    <row r="324">
      <c r="A324" s="683" t="n"/>
      <c r="B324" s="683" t="n"/>
      <c r="C324" s="683" t="n"/>
      <c r="D324" s="683" t="n"/>
      <c r="E324" s="683" t="n"/>
      <c r="F324" s="683" t="n"/>
      <c r="G324" s="683" t="n"/>
      <c r="H324" s="683" t="n"/>
      <c r="I324" s="683" t="n"/>
      <c r="J324" s="683" t="n"/>
      <c r="K324" s="683" t="n"/>
      <c r="L324" s="683" t="n"/>
      <c r="M324" s="683" t="n"/>
      <c r="N324" s="683" t="n"/>
      <c r="O324" s="683" t="n"/>
      <c r="P324" s="683" t="n"/>
      <c r="Q324" s="683" t="n"/>
      <c r="R324" s="683" t="n"/>
      <c r="S324" s="683" t="n"/>
      <c r="T324" s="683" t="n"/>
      <c r="U324" s="683" t="n"/>
      <c r="V324" s="683" t="n"/>
      <c r="W324" s="683" t="n"/>
      <c r="X324" s="683" t="n"/>
      <c r="Y324" s="683" t="n"/>
    </row>
    <row r="325">
      <c r="A325" s="683" t="n"/>
      <c r="B325" s="683" t="n"/>
      <c r="C325" s="683" t="n"/>
      <c r="D325" s="683" t="n"/>
      <c r="E325" s="683" t="n"/>
      <c r="F325" s="683" t="n"/>
      <c r="G325" s="683" t="n"/>
      <c r="H325" s="683" t="n"/>
      <c r="I325" s="683" t="n"/>
      <c r="J325" s="683" t="n"/>
      <c r="K325" s="683" t="n"/>
      <c r="L325" s="683" t="n"/>
      <c r="M325" s="683" t="n"/>
      <c r="N325" s="683" t="n"/>
      <c r="O325" s="683" t="n"/>
      <c r="P325" s="683" t="n"/>
      <c r="Q325" s="683" t="n"/>
      <c r="R325" s="683" t="n"/>
      <c r="S325" s="683" t="n"/>
      <c r="T325" s="683" t="n"/>
      <c r="U325" s="683" t="n"/>
      <c r="V325" s="683" t="n"/>
      <c r="W325" s="683" t="n"/>
      <c r="X325" s="683" t="n"/>
      <c r="Y325" s="683" t="n"/>
    </row>
    <row r="326">
      <c r="A326" s="683" t="n"/>
      <c r="B326" s="683" t="n"/>
      <c r="C326" s="683" t="n"/>
      <c r="D326" s="683" t="n"/>
      <c r="E326" s="683" t="n"/>
      <c r="F326" s="683" t="n"/>
      <c r="G326" s="683" t="n"/>
      <c r="H326" s="683" t="n"/>
      <c r="I326" s="683" t="n"/>
      <c r="J326" s="683" t="n"/>
      <c r="K326" s="683" t="n"/>
      <c r="L326" s="683" t="n"/>
      <c r="M326" s="683" t="n"/>
      <c r="N326" s="683" t="n"/>
      <c r="O326" s="683" t="n"/>
      <c r="P326" s="683" t="n"/>
      <c r="Q326" s="683" t="n"/>
      <c r="R326" s="683" t="n"/>
      <c r="S326" s="683" t="n"/>
      <c r="T326" s="683" t="n"/>
      <c r="U326" s="683" t="n"/>
      <c r="V326" s="683" t="n"/>
      <c r="W326" s="683" t="n"/>
      <c r="X326" s="683" t="n"/>
      <c r="Y326" s="683" t="n"/>
    </row>
    <row r="327">
      <c r="A327" s="683" t="n"/>
      <c r="B327" s="683" t="n"/>
      <c r="C327" s="683" t="n"/>
      <c r="D327" s="683" t="n"/>
      <c r="E327" s="683" t="n"/>
      <c r="F327" s="683" t="n"/>
      <c r="G327" s="683" t="n"/>
      <c r="H327" s="683" t="n"/>
      <c r="I327" s="683" t="n"/>
      <c r="J327" s="683" t="n"/>
      <c r="K327" s="683" t="n"/>
      <c r="L327" s="683" t="n"/>
      <c r="M327" s="683" t="n"/>
      <c r="N327" s="683" t="n"/>
      <c r="O327" s="683" t="n"/>
      <c r="P327" s="683" t="n"/>
      <c r="Q327" s="683" t="n"/>
      <c r="R327" s="683" t="n"/>
      <c r="S327" s="683" t="n"/>
      <c r="T327" s="683" t="n"/>
      <c r="U327" s="683" t="n"/>
      <c r="V327" s="683" t="n"/>
      <c r="W327" s="683" t="n"/>
      <c r="X327" s="683" t="n"/>
      <c r="Y327" s="683" t="n"/>
    </row>
    <row r="328">
      <c r="A328" s="683" t="n"/>
      <c r="B328" s="683" t="n"/>
      <c r="C328" s="683" t="n"/>
      <c r="D328" s="683" t="n"/>
      <c r="E328" s="683" t="n"/>
      <c r="F328" s="683" t="n"/>
      <c r="G328" s="683" t="n"/>
      <c r="H328" s="683" t="n"/>
      <c r="I328" s="683" t="n"/>
      <c r="J328" s="683" t="n"/>
      <c r="K328" s="683" t="n"/>
      <c r="L328" s="683" t="n"/>
      <c r="M328" s="683" t="n"/>
      <c r="N328" s="683" t="n"/>
      <c r="O328" s="683" t="n"/>
      <c r="P328" s="683" t="n"/>
      <c r="Q328" s="683" t="n"/>
      <c r="R328" s="683" t="n"/>
      <c r="S328" s="683" t="n"/>
      <c r="T328" s="683" t="n"/>
      <c r="U328" s="683" t="n"/>
      <c r="V328" s="683" t="n"/>
      <c r="W328" s="683" t="n"/>
      <c r="X328" s="683" t="n"/>
      <c r="Y328" s="683" t="n"/>
    </row>
    <row r="329">
      <c r="A329" s="683" t="n"/>
      <c r="B329" s="683" t="n"/>
      <c r="C329" s="683" t="n"/>
      <c r="D329" s="683" t="n"/>
      <c r="E329" s="683" t="n"/>
      <c r="F329" s="683" t="n"/>
      <c r="G329" s="683" t="n"/>
      <c r="H329" s="683" t="n"/>
      <c r="I329" s="683" t="n"/>
      <c r="J329" s="683" t="n"/>
      <c r="K329" s="683" t="n"/>
      <c r="L329" s="683" t="n"/>
      <c r="M329" s="683" t="n"/>
      <c r="N329" s="683" t="n"/>
      <c r="O329" s="683" t="n"/>
      <c r="P329" s="683" t="n"/>
      <c r="Q329" s="683" t="n"/>
      <c r="R329" s="683" t="n"/>
      <c r="S329" s="683" t="n"/>
      <c r="T329" s="683" t="n"/>
      <c r="U329" s="683" t="n"/>
      <c r="V329" s="683" t="n"/>
      <c r="W329" s="683" t="n"/>
      <c r="X329" s="683" t="n"/>
      <c r="Y329" s="683" t="n"/>
    </row>
    <row r="330">
      <c r="A330" s="683" t="n"/>
      <c r="B330" s="683" t="n"/>
      <c r="C330" s="683" t="n"/>
      <c r="D330" s="683" t="n"/>
      <c r="E330" s="683" t="n"/>
      <c r="F330" s="683" t="n"/>
      <c r="G330" s="683" t="n"/>
      <c r="H330" s="683" t="n"/>
      <c r="I330" s="683" t="n"/>
      <c r="J330" s="683" t="n"/>
      <c r="K330" s="683" t="n"/>
      <c r="L330" s="683" t="n"/>
      <c r="M330" s="683" t="n"/>
      <c r="N330" s="683" t="n"/>
      <c r="O330" s="683" t="n"/>
      <c r="P330" s="683" t="n"/>
      <c r="Q330" s="683" t="n"/>
      <c r="R330" s="683" t="n"/>
      <c r="S330" s="683" t="n"/>
      <c r="T330" s="683" t="n"/>
      <c r="U330" s="683" t="n"/>
      <c r="V330" s="683" t="n"/>
      <c r="W330" s="683" t="n"/>
      <c r="X330" s="683" t="n"/>
      <c r="Y330" s="683" t="n"/>
    </row>
    <row r="331">
      <c r="A331" s="683" t="n"/>
      <c r="B331" s="683" t="n"/>
      <c r="C331" s="683" t="n"/>
      <c r="D331" s="683" t="n"/>
      <c r="E331" s="683" t="n"/>
      <c r="F331" s="683" t="n"/>
      <c r="G331" s="683" t="n"/>
      <c r="H331" s="683" t="n"/>
      <c r="I331" s="683" t="n"/>
      <c r="J331" s="683" t="n"/>
      <c r="K331" s="683" t="n"/>
      <c r="L331" s="683" t="n"/>
      <c r="M331" s="683" t="n"/>
      <c r="N331" s="683" t="n"/>
      <c r="O331" s="683" t="n"/>
      <c r="P331" s="683" t="n"/>
      <c r="Q331" s="683" t="n"/>
      <c r="R331" s="683" t="n"/>
      <c r="S331" s="683" t="n"/>
      <c r="T331" s="683" t="n"/>
      <c r="U331" s="683" t="n"/>
      <c r="V331" s="683" t="n"/>
      <c r="W331" s="683" t="n"/>
      <c r="X331" s="683" t="n"/>
      <c r="Y331" s="683" t="n"/>
    </row>
    <row r="332">
      <c r="A332" s="683" t="n"/>
      <c r="B332" s="683" t="n"/>
      <c r="C332" s="683" t="n"/>
      <c r="D332" s="683" t="n"/>
      <c r="E332" s="683" t="n"/>
      <c r="F332" s="683" t="n"/>
      <c r="G332" s="683" t="n"/>
      <c r="H332" s="683" t="n"/>
      <c r="I332" s="683" t="n"/>
      <c r="J332" s="683" t="n"/>
      <c r="K332" s="683" t="n"/>
      <c r="L332" s="683" t="n"/>
      <c r="M332" s="683" t="n"/>
      <c r="N332" s="683" t="n"/>
      <c r="O332" s="683" t="n"/>
      <c r="P332" s="683" t="n"/>
      <c r="Q332" s="683" t="n"/>
      <c r="R332" s="683" t="n"/>
      <c r="S332" s="683" t="n"/>
      <c r="T332" s="683" t="n"/>
      <c r="U332" s="683" t="n"/>
      <c r="V332" s="683" t="n"/>
      <c r="W332" s="683" t="n"/>
      <c r="X332" s="683" t="n"/>
      <c r="Y332" s="683" t="n"/>
    </row>
    <row r="333">
      <c r="A333" s="683" t="n"/>
      <c r="B333" s="683" t="n"/>
      <c r="C333" s="683" t="n"/>
      <c r="D333" s="683" t="n"/>
      <c r="E333" s="683" t="n"/>
      <c r="F333" s="683" t="n"/>
      <c r="G333" s="683" t="n"/>
      <c r="H333" s="683" t="n"/>
      <c r="I333" s="683" t="n"/>
      <c r="J333" s="683" t="n"/>
      <c r="K333" s="683" t="n"/>
      <c r="L333" s="683" t="n"/>
      <c r="M333" s="683" t="n"/>
      <c r="N333" s="683" t="n"/>
      <c r="O333" s="683" t="n"/>
      <c r="P333" s="683" t="n"/>
      <c r="Q333" s="683" t="n"/>
      <c r="R333" s="683" t="n"/>
      <c r="S333" s="683" t="n"/>
      <c r="T333" s="683" t="n"/>
      <c r="U333" s="683" t="n"/>
      <c r="V333" s="683" t="n"/>
      <c r="W333" s="683" t="n"/>
      <c r="X333" s="683" t="n"/>
      <c r="Y333" s="683" t="n"/>
    </row>
    <row r="334">
      <c r="A334" s="683" t="n"/>
      <c r="B334" s="683" t="n"/>
      <c r="C334" s="683" t="n"/>
      <c r="D334" s="683" t="n"/>
      <c r="E334" s="683" t="n"/>
      <c r="F334" s="683" t="n"/>
      <c r="G334" s="683" t="n"/>
      <c r="H334" s="683" t="n"/>
      <c r="I334" s="683" t="n"/>
      <c r="J334" s="683" t="n"/>
      <c r="K334" s="683" t="n"/>
      <c r="L334" s="683" t="n"/>
      <c r="M334" s="683" t="n"/>
      <c r="N334" s="683" t="n"/>
      <c r="O334" s="683" t="n"/>
      <c r="P334" s="683" t="n"/>
      <c r="Q334" s="683" t="n"/>
      <c r="R334" s="683" t="n"/>
      <c r="S334" s="683" t="n"/>
      <c r="T334" s="683" t="n"/>
      <c r="U334" s="683" t="n"/>
      <c r="V334" s="683" t="n"/>
      <c r="W334" s="683" t="n"/>
      <c r="X334" s="683" t="n"/>
      <c r="Y334" s="683" t="n"/>
    </row>
    <row r="335">
      <c r="A335" s="683" t="n"/>
      <c r="B335" s="683" t="n"/>
      <c r="C335" s="683" t="n"/>
      <c r="D335" s="683" t="n"/>
      <c r="E335" s="683" t="n"/>
      <c r="F335" s="683" t="n"/>
      <c r="G335" s="683" t="n"/>
      <c r="H335" s="683" t="n"/>
      <c r="I335" s="683" t="n"/>
      <c r="J335" s="683" t="n"/>
      <c r="K335" s="683" t="n"/>
      <c r="L335" s="683" t="n"/>
      <c r="M335" s="683" t="n"/>
      <c r="N335" s="683" t="n"/>
      <c r="O335" s="683" t="n"/>
      <c r="P335" s="683" t="n"/>
      <c r="Q335" s="683" t="n"/>
      <c r="R335" s="683" t="n"/>
      <c r="S335" s="683" t="n"/>
      <c r="T335" s="683" t="n"/>
      <c r="U335" s="683" t="n"/>
      <c r="V335" s="683" t="n"/>
      <c r="W335" s="683" t="n"/>
      <c r="X335" s="683" t="n"/>
      <c r="Y335" s="683" t="n"/>
    </row>
    <row r="336">
      <c r="A336" s="683" t="n"/>
      <c r="B336" s="683" t="n"/>
      <c r="C336" s="683" t="n"/>
      <c r="D336" s="683" t="n"/>
      <c r="E336" s="683" t="n"/>
      <c r="F336" s="683" t="n"/>
      <c r="G336" s="683" t="n"/>
      <c r="H336" s="683" t="n"/>
      <c r="I336" s="683" t="n"/>
      <c r="J336" s="683" t="n"/>
      <c r="K336" s="683" t="n"/>
      <c r="L336" s="683" t="n"/>
      <c r="M336" s="683" t="n"/>
      <c r="N336" s="683" t="n"/>
      <c r="O336" s="683" t="n"/>
      <c r="P336" s="683" t="n"/>
      <c r="Q336" s="683" t="n"/>
      <c r="R336" s="683" t="n"/>
      <c r="S336" s="683" t="n"/>
      <c r="T336" s="683" t="n"/>
      <c r="U336" s="683" t="n"/>
      <c r="V336" s="683" t="n"/>
      <c r="W336" s="683" t="n"/>
      <c r="X336" s="683" t="n"/>
      <c r="Y336" s="683" t="n"/>
    </row>
    <row r="337">
      <c r="A337" s="683" t="n"/>
      <c r="B337" s="683" t="n"/>
      <c r="C337" s="683" t="n"/>
      <c r="D337" s="683" t="n"/>
      <c r="E337" s="683" t="n"/>
      <c r="F337" s="683" t="n"/>
      <c r="G337" s="683" t="n"/>
      <c r="H337" s="683" t="n"/>
      <c r="I337" s="683" t="n"/>
      <c r="J337" s="683" t="n"/>
      <c r="K337" s="683" t="n"/>
      <c r="L337" s="683" t="n"/>
      <c r="M337" s="683" t="n"/>
      <c r="N337" s="683" t="n"/>
      <c r="O337" s="683" t="n"/>
      <c r="P337" s="683" t="n"/>
      <c r="Q337" s="683" t="n"/>
      <c r="R337" s="683" t="n"/>
      <c r="S337" s="683" t="n"/>
      <c r="T337" s="683" t="n"/>
      <c r="U337" s="683" t="n"/>
      <c r="V337" s="683" t="n"/>
      <c r="W337" s="683" t="n"/>
      <c r="X337" s="683" t="n"/>
      <c r="Y337" s="683" t="n"/>
    </row>
    <row r="338">
      <c r="A338" s="683" t="n"/>
      <c r="B338" s="683" t="n"/>
      <c r="C338" s="683" t="n"/>
      <c r="D338" s="683" t="n"/>
      <c r="E338" s="683" t="n"/>
      <c r="F338" s="683" t="n"/>
      <c r="G338" s="683" t="n"/>
      <c r="H338" s="683" t="n"/>
      <c r="I338" s="683" t="n"/>
      <c r="J338" s="683" t="n"/>
      <c r="K338" s="683" t="n"/>
      <c r="L338" s="683" t="n"/>
      <c r="M338" s="683" t="n"/>
      <c r="N338" s="683" t="n"/>
      <c r="O338" s="683" t="n"/>
      <c r="P338" s="683" t="n"/>
      <c r="Q338" s="683" t="n"/>
      <c r="R338" s="683" t="n"/>
      <c r="S338" s="683" t="n"/>
      <c r="T338" s="683" t="n"/>
      <c r="U338" s="683" t="n"/>
      <c r="V338" s="683" t="n"/>
      <c r="W338" s="683" t="n"/>
      <c r="X338" s="683" t="n"/>
      <c r="Y338" s="683" t="n"/>
    </row>
    <row r="339">
      <c r="A339" s="683" t="n"/>
      <c r="B339" s="683" t="n"/>
      <c r="C339" s="683" t="n"/>
      <c r="D339" s="683" t="n"/>
      <c r="E339" s="683" t="n"/>
      <c r="F339" s="683" t="n"/>
      <c r="G339" s="683" t="n"/>
      <c r="H339" s="683" t="n"/>
      <c r="I339" s="683" t="n"/>
      <c r="J339" s="683" t="n"/>
      <c r="K339" s="683" t="n"/>
      <c r="L339" s="683" t="n"/>
      <c r="M339" s="683" t="n"/>
      <c r="N339" s="683" t="n"/>
      <c r="O339" s="683" t="n"/>
      <c r="P339" s="683" t="n"/>
      <c r="Q339" s="683" t="n"/>
      <c r="R339" s="683" t="n"/>
      <c r="S339" s="683" t="n"/>
      <c r="T339" s="683" t="n"/>
      <c r="U339" s="683" t="n"/>
      <c r="V339" s="683" t="n"/>
      <c r="W339" s="683" t="n"/>
      <c r="X339" s="683" t="n"/>
      <c r="Y339" s="683" t="n"/>
    </row>
    <row r="340">
      <c r="A340" s="683" t="n"/>
      <c r="B340" s="683" t="n"/>
      <c r="C340" s="683" t="n"/>
      <c r="D340" s="683" t="n"/>
      <c r="E340" s="683" t="n"/>
      <c r="F340" s="683" t="n"/>
      <c r="G340" s="683" t="n"/>
      <c r="H340" s="683" t="n"/>
      <c r="I340" s="683" t="n"/>
      <c r="J340" s="683" t="n"/>
      <c r="K340" s="683" t="n"/>
      <c r="L340" s="683" t="n"/>
      <c r="M340" s="683" t="n"/>
      <c r="N340" s="683" t="n"/>
      <c r="O340" s="683" t="n"/>
      <c r="P340" s="683" t="n"/>
      <c r="Q340" s="683" t="n"/>
      <c r="R340" s="683" t="n"/>
      <c r="S340" s="683" t="n"/>
      <c r="T340" s="683" t="n"/>
      <c r="U340" s="683" t="n"/>
      <c r="V340" s="683" t="n"/>
      <c r="W340" s="683" t="n"/>
      <c r="X340" s="683" t="n"/>
      <c r="Y340" s="683" t="n"/>
    </row>
    <row r="341">
      <c r="A341" s="683" t="n"/>
      <c r="B341" s="683" t="n"/>
      <c r="C341" s="683" t="n"/>
      <c r="D341" s="683" t="n"/>
      <c r="E341" s="683" t="n"/>
      <c r="F341" s="683" t="n"/>
      <c r="G341" s="683" t="n"/>
      <c r="H341" s="683" t="n"/>
      <c r="I341" s="683" t="n"/>
      <c r="J341" s="683" t="n"/>
      <c r="K341" s="683" t="n"/>
      <c r="L341" s="683" t="n"/>
      <c r="M341" s="683" t="n"/>
      <c r="N341" s="683" t="n"/>
      <c r="O341" s="683" t="n"/>
      <c r="P341" s="683" t="n"/>
      <c r="Q341" s="683" t="n"/>
      <c r="R341" s="683" t="n"/>
      <c r="S341" s="683" t="n"/>
      <c r="T341" s="683" t="n"/>
      <c r="U341" s="683" t="n"/>
      <c r="V341" s="683" t="n"/>
      <c r="W341" s="683" t="n"/>
      <c r="X341" s="683" t="n"/>
      <c r="Y341" s="683" t="n"/>
    </row>
    <row r="342">
      <c r="A342" s="683" t="n"/>
      <c r="B342" s="683" t="n"/>
      <c r="C342" s="683" t="n"/>
      <c r="D342" s="683" t="n"/>
      <c r="E342" s="683" t="n"/>
      <c r="F342" s="683" t="n"/>
      <c r="G342" s="683" t="n"/>
      <c r="H342" s="683" t="n"/>
      <c r="I342" s="683" t="n"/>
      <c r="J342" s="683" t="n"/>
      <c r="K342" s="683" t="n"/>
      <c r="L342" s="683" t="n"/>
      <c r="M342" s="683" t="n"/>
      <c r="N342" s="683" t="n"/>
      <c r="O342" s="683" t="n"/>
      <c r="P342" s="683" t="n"/>
      <c r="Q342" s="683" t="n"/>
      <c r="R342" s="683" t="n"/>
      <c r="S342" s="683" t="n"/>
      <c r="T342" s="683" t="n"/>
      <c r="U342" s="683" t="n"/>
      <c r="V342" s="683" t="n"/>
      <c r="W342" s="683" t="n"/>
      <c r="X342" s="683" t="n"/>
      <c r="Y342" s="683" t="n"/>
    </row>
    <row r="343">
      <c r="A343" s="683" t="n"/>
      <c r="B343" s="683" t="n"/>
      <c r="C343" s="683" t="n"/>
      <c r="D343" s="683" t="n"/>
      <c r="E343" s="683" t="n"/>
      <c r="F343" s="683" t="n"/>
      <c r="G343" s="683" t="n"/>
      <c r="H343" s="683" t="n"/>
      <c r="I343" s="683" t="n"/>
      <c r="J343" s="683" t="n"/>
      <c r="K343" s="683" t="n"/>
      <c r="L343" s="683" t="n"/>
      <c r="M343" s="683" t="n"/>
      <c r="N343" s="683" t="n"/>
      <c r="O343" s="683" t="n"/>
      <c r="P343" s="683" t="n"/>
      <c r="Q343" s="683" t="n"/>
      <c r="R343" s="683" t="n"/>
      <c r="S343" s="683" t="n"/>
      <c r="T343" s="683" t="n"/>
      <c r="U343" s="683" t="n"/>
      <c r="V343" s="683" t="n"/>
      <c r="W343" s="683" t="n"/>
      <c r="X343" s="683" t="n"/>
      <c r="Y343" s="683" t="n"/>
    </row>
    <row r="344">
      <c r="A344" s="683" t="n"/>
      <c r="B344" s="683" t="n"/>
      <c r="C344" s="683" t="n"/>
      <c r="D344" s="683" t="n"/>
      <c r="E344" s="683" t="n"/>
      <c r="F344" s="683" t="n"/>
      <c r="G344" s="683" t="n"/>
      <c r="H344" s="683" t="n"/>
      <c r="I344" s="683" t="n"/>
      <c r="J344" s="683" t="n"/>
      <c r="K344" s="683" t="n"/>
      <c r="L344" s="683" t="n"/>
      <c r="M344" s="683" t="n"/>
      <c r="N344" s="683" t="n"/>
      <c r="O344" s="683" t="n"/>
      <c r="P344" s="683" t="n"/>
      <c r="Q344" s="683" t="n"/>
      <c r="R344" s="683" t="n"/>
      <c r="S344" s="683" t="n"/>
      <c r="T344" s="683" t="n"/>
      <c r="U344" s="683" t="n"/>
      <c r="V344" s="683" t="n"/>
      <c r="W344" s="683" t="n"/>
      <c r="X344" s="683" t="n"/>
      <c r="Y344" s="683" t="n"/>
    </row>
    <row r="345">
      <c r="A345" s="683" t="n"/>
      <c r="B345" s="683" t="n"/>
      <c r="C345" s="683" t="n"/>
      <c r="D345" s="683" t="n"/>
      <c r="E345" s="683" t="n"/>
      <c r="F345" s="683" t="n"/>
      <c r="G345" s="683" t="n"/>
      <c r="H345" s="683" t="n"/>
      <c r="I345" s="683" t="n"/>
      <c r="J345" s="683" t="n"/>
      <c r="K345" s="683" t="n"/>
      <c r="L345" s="683" t="n"/>
      <c r="M345" s="683" t="n"/>
      <c r="N345" s="683" t="n"/>
      <c r="O345" s="683" t="n"/>
      <c r="P345" s="683" t="n"/>
      <c r="Q345" s="683" t="n"/>
      <c r="R345" s="683" t="n"/>
      <c r="S345" s="683" t="n"/>
      <c r="T345" s="683" t="n"/>
      <c r="U345" s="683" t="n"/>
      <c r="V345" s="683" t="n"/>
      <c r="W345" s="683" t="n"/>
      <c r="X345" s="683" t="n"/>
      <c r="Y345" s="683" t="n"/>
    </row>
    <row r="346">
      <c r="A346" s="683" t="n"/>
      <c r="B346" s="683" t="n"/>
      <c r="C346" s="683" t="n"/>
      <c r="D346" s="683" t="n"/>
      <c r="E346" s="683" t="n"/>
      <c r="F346" s="683" t="n"/>
      <c r="G346" s="683" t="n"/>
      <c r="H346" s="683" t="n"/>
      <c r="I346" s="683" t="n"/>
      <c r="J346" s="683" t="n"/>
      <c r="K346" s="683" t="n"/>
      <c r="L346" s="683" t="n"/>
      <c r="M346" s="683" t="n"/>
      <c r="N346" s="683" t="n"/>
      <c r="O346" s="683" t="n"/>
      <c r="P346" s="683" t="n"/>
      <c r="Q346" s="683" t="n"/>
      <c r="R346" s="683" t="n"/>
      <c r="S346" s="683" t="n"/>
      <c r="T346" s="683" t="n"/>
      <c r="U346" s="683" t="n"/>
      <c r="V346" s="683" t="n"/>
      <c r="W346" s="683" t="n"/>
      <c r="X346" s="683" t="n"/>
      <c r="Y346" s="683" t="n"/>
    </row>
    <row r="347">
      <c r="A347" s="683" t="n"/>
      <c r="B347" s="683" t="n"/>
      <c r="C347" s="683" t="n"/>
      <c r="D347" s="683" t="n"/>
      <c r="E347" s="683" t="n"/>
      <c r="F347" s="683" t="n"/>
      <c r="G347" s="683" t="n"/>
      <c r="H347" s="683" t="n"/>
      <c r="I347" s="683" t="n"/>
      <c r="J347" s="683" t="n"/>
      <c r="K347" s="683" t="n"/>
      <c r="L347" s="683" t="n"/>
      <c r="M347" s="683" t="n"/>
      <c r="N347" s="683" t="n"/>
      <c r="O347" s="683" t="n"/>
      <c r="P347" s="683" t="n"/>
      <c r="Q347" s="683" t="n"/>
      <c r="R347" s="683" t="n"/>
      <c r="S347" s="683" t="n"/>
      <c r="T347" s="683" t="n"/>
      <c r="U347" s="683" t="n"/>
      <c r="V347" s="683" t="n"/>
      <c r="W347" s="683" t="n"/>
      <c r="X347" s="683" t="n"/>
      <c r="Y347" s="683" t="n"/>
    </row>
    <row r="348">
      <c r="A348" s="683" t="n"/>
      <c r="B348" s="683" t="n"/>
      <c r="C348" s="683" t="n"/>
      <c r="D348" s="683" t="n"/>
      <c r="E348" s="683" t="n"/>
      <c r="F348" s="683" t="n"/>
      <c r="G348" s="683" t="n"/>
      <c r="H348" s="683" t="n"/>
      <c r="I348" s="683" t="n"/>
      <c r="J348" s="683" t="n"/>
      <c r="K348" s="683" t="n"/>
      <c r="L348" s="683" t="n"/>
      <c r="M348" s="683" t="n"/>
      <c r="N348" s="683" t="n"/>
      <c r="O348" s="683" t="n"/>
      <c r="P348" s="683" t="n"/>
      <c r="Q348" s="683" t="n"/>
      <c r="R348" s="683" t="n"/>
      <c r="S348" s="683" t="n"/>
      <c r="T348" s="683" t="n"/>
      <c r="U348" s="683" t="n"/>
      <c r="V348" s="683" t="n"/>
      <c r="W348" s="683" t="n"/>
      <c r="X348" s="683" t="n"/>
      <c r="Y348" s="683" t="n"/>
    </row>
    <row r="349">
      <c r="A349" s="683" t="n"/>
      <c r="B349" s="683" t="n"/>
      <c r="C349" s="683" t="n"/>
      <c r="D349" s="683" t="n"/>
      <c r="E349" s="683" t="n"/>
      <c r="F349" s="683" t="n"/>
      <c r="G349" s="683" t="n"/>
      <c r="H349" s="683" t="n"/>
      <c r="I349" s="683" t="n"/>
      <c r="J349" s="683" t="n"/>
      <c r="K349" s="683" t="n"/>
      <c r="L349" s="683" t="n"/>
      <c r="M349" s="683" t="n"/>
      <c r="N349" s="683" t="n"/>
      <c r="O349" s="683" t="n"/>
      <c r="P349" s="683" t="n"/>
      <c r="Q349" s="683" t="n"/>
      <c r="R349" s="683" t="n"/>
      <c r="S349" s="683" t="n"/>
      <c r="T349" s="683" t="n"/>
      <c r="U349" s="683" t="n"/>
      <c r="V349" s="683" t="n"/>
      <c r="W349" s="683" t="n"/>
      <c r="X349" s="683" t="n"/>
      <c r="Y349" s="683" t="n"/>
    </row>
    <row r="350">
      <c r="A350" s="683" t="n"/>
      <c r="B350" s="683" t="n"/>
      <c r="C350" s="683" t="n"/>
      <c r="D350" s="683" t="n"/>
      <c r="E350" s="683" t="n"/>
      <c r="F350" s="683" t="n"/>
      <c r="G350" s="683" t="n"/>
      <c r="H350" s="683" t="n"/>
      <c r="I350" s="683" t="n"/>
      <c r="J350" s="683" t="n"/>
      <c r="K350" s="683" t="n"/>
      <c r="L350" s="683" t="n"/>
      <c r="M350" s="683" t="n"/>
      <c r="N350" s="683" t="n"/>
      <c r="O350" s="683" t="n"/>
      <c r="P350" s="683" t="n"/>
      <c r="Q350" s="683" t="n"/>
      <c r="R350" s="683" t="n"/>
      <c r="S350" s="683" t="n"/>
      <c r="T350" s="683" t="n"/>
      <c r="U350" s="683" t="n"/>
      <c r="V350" s="683" t="n"/>
      <c r="W350" s="683" t="n"/>
      <c r="X350" s="683" t="n"/>
      <c r="Y350" s="683" t="n"/>
    </row>
    <row r="351">
      <c r="A351" s="683" t="n"/>
      <c r="B351" s="683" t="n"/>
      <c r="C351" s="683" t="n"/>
      <c r="D351" s="683" t="n"/>
      <c r="E351" s="683" t="n"/>
      <c r="F351" s="683" t="n"/>
      <c r="G351" s="683" t="n"/>
      <c r="H351" s="683" t="n"/>
      <c r="I351" s="683" t="n"/>
      <c r="J351" s="683" t="n"/>
      <c r="K351" s="683" t="n"/>
      <c r="L351" s="683" t="n"/>
      <c r="M351" s="683" t="n"/>
      <c r="N351" s="683" t="n"/>
      <c r="O351" s="683" t="n"/>
      <c r="P351" s="683" t="n"/>
      <c r="Q351" s="683" t="n"/>
      <c r="R351" s="683" t="n"/>
      <c r="S351" s="683" t="n"/>
      <c r="T351" s="683" t="n"/>
      <c r="U351" s="683" t="n"/>
      <c r="V351" s="683" t="n"/>
      <c r="W351" s="683" t="n"/>
      <c r="X351" s="683" t="n"/>
      <c r="Y351" s="683" t="n"/>
    </row>
    <row r="352">
      <c r="A352" s="683" t="n"/>
      <c r="B352" s="683" t="n"/>
      <c r="C352" s="683" t="n"/>
      <c r="D352" s="683" t="n"/>
      <c r="E352" s="683" t="n"/>
      <c r="F352" s="683" t="n"/>
      <c r="G352" s="683" t="n"/>
      <c r="H352" s="683" t="n"/>
      <c r="I352" s="683" t="n"/>
      <c r="J352" s="683" t="n"/>
      <c r="K352" s="683" t="n"/>
      <c r="L352" s="683" t="n"/>
      <c r="M352" s="683" t="n"/>
      <c r="N352" s="683" t="n"/>
      <c r="O352" s="683" t="n"/>
      <c r="P352" s="683" t="n"/>
      <c r="Q352" s="683" t="n"/>
      <c r="R352" s="683" t="n"/>
      <c r="S352" s="683" t="n"/>
      <c r="T352" s="683" t="n"/>
      <c r="U352" s="683" t="n"/>
      <c r="V352" s="683" t="n"/>
      <c r="W352" s="683" t="n"/>
      <c r="X352" s="683" t="n"/>
      <c r="Y352" s="683" t="n"/>
    </row>
    <row r="353">
      <c r="A353" s="683" t="n"/>
      <c r="B353" s="683" t="n"/>
      <c r="C353" s="683" t="n"/>
      <c r="D353" s="683" t="n"/>
      <c r="E353" s="683" t="n"/>
      <c r="F353" s="683" t="n"/>
      <c r="G353" s="683" t="n"/>
      <c r="H353" s="683" t="n"/>
      <c r="I353" s="683" t="n"/>
      <c r="J353" s="683" t="n"/>
      <c r="K353" s="683" t="n"/>
      <c r="L353" s="683" t="n"/>
      <c r="M353" s="683" t="n"/>
      <c r="N353" s="683" t="n"/>
      <c r="O353" s="683" t="n"/>
      <c r="P353" s="683" t="n"/>
      <c r="Q353" s="683" t="n"/>
      <c r="R353" s="683" t="n"/>
      <c r="S353" s="683" t="n"/>
      <c r="T353" s="683" t="n"/>
      <c r="U353" s="683" t="n"/>
      <c r="V353" s="683" t="n"/>
      <c r="W353" s="683" t="n"/>
      <c r="X353" s="683" t="n"/>
      <c r="Y353" s="683" t="n"/>
    </row>
    <row r="354">
      <c r="A354" s="683" t="n"/>
      <c r="B354" s="683" t="n"/>
      <c r="C354" s="683" t="n"/>
      <c r="D354" s="683" t="n"/>
      <c r="E354" s="683" t="n"/>
      <c r="F354" s="683" t="n"/>
      <c r="G354" s="683" t="n"/>
      <c r="H354" s="683" t="n"/>
      <c r="I354" s="683" t="n"/>
      <c r="J354" s="683" t="n"/>
      <c r="K354" s="683" t="n"/>
      <c r="L354" s="683" t="n"/>
      <c r="M354" s="683" t="n"/>
      <c r="N354" s="683" t="n"/>
      <c r="O354" s="683" t="n"/>
      <c r="P354" s="683" t="n"/>
      <c r="Q354" s="683" t="n"/>
      <c r="R354" s="683" t="n"/>
      <c r="S354" s="683" t="n"/>
      <c r="T354" s="683" t="n"/>
      <c r="U354" s="683" t="n"/>
      <c r="V354" s="683" t="n"/>
      <c r="W354" s="683" t="n"/>
      <c r="X354" s="683" t="n"/>
      <c r="Y354" s="683" t="n"/>
    </row>
    <row r="355">
      <c r="A355" s="683" t="n"/>
      <c r="B355" s="683" t="n"/>
      <c r="C355" s="683" t="n"/>
      <c r="D355" s="683" t="n"/>
      <c r="E355" s="683" t="n"/>
      <c r="F355" s="683" t="n"/>
      <c r="G355" s="683" t="n"/>
      <c r="H355" s="683" t="n"/>
      <c r="I355" s="683" t="n"/>
      <c r="J355" s="683" t="n"/>
      <c r="K355" s="683" t="n"/>
      <c r="L355" s="683" t="n"/>
      <c r="M355" s="683" t="n"/>
      <c r="N355" s="683" t="n"/>
      <c r="O355" s="683" t="n"/>
      <c r="P355" s="683" t="n"/>
      <c r="Q355" s="683" t="n"/>
      <c r="R355" s="683" t="n"/>
      <c r="S355" s="683" t="n"/>
      <c r="T355" s="683" t="n"/>
      <c r="U355" s="683" t="n"/>
      <c r="V355" s="683" t="n"/>
      <c r="W355" s="683" t="n"/>
      <c r="X355" s="683" t="n"/>
      <c r="Y355" s="683" t="n"/>
    </row>
    <row r="356">
      <c r="A356" s="683" t="n"/>
      <c r="B356" s="683" t="n"/>
      <c r="C356" s="683" t="n"/>
      <c r="D356" s="683" t="n"/>
      <c r="E356" s="683" t="n"/>
      <c r="F356" s="683" t="n"/>
      <c r="G356" s="683" t="n"/>
      <c r="H356" s="683" t="n"/>
      <c r="I356" s="683" t="n"/>
      <c r="J356" s="683" t="n"/>
      <c r="K356" s="683" t="n"/>
      <c r="L356" s="683" t="n"/>
      <c r="M356" s="683" t="n"/>
      <c r="N356" s="683" t="n"/>
      <c r="O356" s="683" t="n"/>
      <c r="P356" s="683" t="n"/>
      <c r="Q356" s="683" t="n"/>
      <c r="R356" s="683" t="n"/>
      <c r="S356" s="683" t="n"/>
      <c r="T356" s="683" t="n"/>
      <c r="U356" s="683" t="n"/>
      <c r="V356" s="683" t="n"/>
      <c r="W356" s="683" t="n"/>
      <c r="X356" s="683" t="n"/>
      <c r="Y356" s="683" t="n"/>
    </row>
    <row r="357">
      <c r="A357" s="683" t="n"/>
      <c r="B357" s="683" t="n"/>
      <c r="C357" s="683" t="n"/>
      <c r="D357" s="683" t="n"/>
      <c r="E357" s="683" t="n"/>
      <c r="F357" s="683" t="n"/>
      <c r="G357" s="683" t="n"/>
      <c r="H357" s="683" t="n"/>
      <c r="I357" s="683" t="n"/>
      <c r="J357" s="683" t="n"/>
      <c r="K357" s="683" t="n"/>
      <c r="L357" s="683" t="n"/>
      <c r="M357" s="683" t="n"/>
      <c r="N357" s="683" t="n"/>
      <c r="O357" s="683" t="n"/>
      <c r="P357" s="683" t="n"/>
      <c r="Q357" s="683" t="n"/>
      <c r="R357" s="683" t="n"/>
      <c r="S357" s="683" t="n"/>
      <c r="T357" s="683" t="n"/>
      <c r="U357" s="683" t="n"/>
      <c r="V357" s="683" t="n"/>
      <c r="W357" s="683" t="n"/>
      <c r="X357" s="683" t="n"/>
      <c r="Y357" s="683" t="n"/>
    </row>
    <row r="358">
      <c r="A358" s="683" t="n"/>
      <c r="B358" s="683" t="n"/>
      <c r="C358" s="683" t="n"/>
      <c r="D358" s="683" t="n"/>
      <c r="E358" s="683" t="n"/>
      <c r="F358" s="683" t="n"/>
      <c r="G358" s="683" t="n"/>
      <c r="H358" s="683" t="n"/>
      <c r="I358" s="683" t="n"/>
      <c r="J358" s="683" t="n"/>
      <c r="K358" s="683" t="n"/>
      <c r="L358" s="683" t="n"/>
      <c r="M358" s="683" t="n"/>
      <c r="N358" s="683" t="n"/>
      <c r="O358" s="683" t="n"/>
      <c r="P358" s="683" t="n"/>
      <c r="Q358" s="683" t="n"/>
      <c r="R358" s="683" t="n"/>
      <c r="S358" s="683" t="n"/>
      <c r="T358" s="683" t="n"/>
      <c r="U358" s="683" t="n"/>
      <c r="V358" s="683" t="n"/>
      <c r="W358" s="683" t="n"/>
      <c r="X358" s="683" t="n"/>
      <c r="Y358" s="683" t="n"/>
    </row>
    <row r="359">
      <c r="A359" s="683" t="n"/>
      <c r="B359" s="683" t="n"/>
      <c r="C359" s="683" t="n"/>
      <c r="D359" s="683" t="n"/>
      <c r="E359" s="683" t="n"/>
      <c r="F359" s="683" t="n"/>
      <c r="G359" s="683" t="n"/>
      <c r="H359" s="683" t="n"/>
      <c r="I359" s="683" t="n"/>
      <c r="J359" s="683" t="n"/>
      <c r="K359" s="683" t="n"/>
      <c r="L359" s="683" t="n"/>
      <c r="M359" s="683" t="n"/>
      <c r="N359" s="683" t="n"/>
      <c r="O359" s="683" t="n"/>
      <c r="P359" s="683" t="n"/>
      <c r="Q359" s="683" t="n"/>
      <c r="R359" s="683" t="n"/>
      <c r="S359" s="683" t="n"/>
      <c r="T359" s="683" t="n"/>
      <c r="U359" s="683" t="n"/>
      <c r="V359" s="683" t="n"/>
      <c r="W359" s="683" t="n"/>
      <c r="X359" s="683" t="n"/>
      <c r="Y359" s="683" t="n"/>
    </row>
    <row r="360">
      <c r="A360" s="683" t="n"/>
      <c r="B360" s="683" t="n"/>
      <c r="C360" s="683" t="n"/>
      <c r="D360" s="683" t="n"/>
      <c r="E360" s="683" t="n"/>
      <c r="F360" s="683" t="n"/>
      <c r="G360" s="683" t="n"/>
      <c r="H360" s="683" t="n"/>
      <c r="I360" s="683" t="n"/>
      <c r="J360" s="683" t="n"/>
      <c r="K360" s="683" t="n"/>
      <c r="L360" s="683" t="n"/>
      <c r="M360" s="683" t="n"/>
      <c r="N360" s="683" t="n"/>
      <c r="O360" s="683" t="n"/>
      <c r="P360" s="683" t="n"/>
      <c r="Q360" s="683" t="n"/>
      <c r="R360" s="683" t="n"/>
      <c r="S360" s="683" t="n"/>
      <c r="T360" s="683" t="n"/>
      <c r="U360" s="683" t="n"/>
      <c r="V360" s="683" t="n"/>
      <c r="W360" s="683" t="n"/>
      <c r="X360" s="683" t="n"/>
      <c r="Y360" s="683" t="n"/>
    </row>
    <row r="361">
      <c r="A361" s="683" t="n"/>
      <c r="B361" s="683" t="n"/>
      <c r="C361" s="683" t="n"/>
      <c r="D361" s="683" t="n"/>
      <c r="E361" s="683" t="n"/>
      <c r="F361" s="683" t="n"/>
      <c r="G361" s="683" t="n"/>
      <c r="H361" s="683" t="n"/>
      <c r="I361" s="683" t="n"/>
      <c r="J361" s="683" t="n"/>
      <c r="K361" s="683" t="n"/>
      <c r="L361" s="683" t="n"/>
      <c r="M361" s="683" t="n"/>
      <c r="N361" s="683" t="n"/>
      <c r="O361" s="683" t="n"/>
      <c r="P361" s="683" t="n"/>
      <c r="Q361" s="683" t="n"/>
      <c r="R361" s="683" t="n"/>
      <c r="S361" s="683" t="n"/>
      <c r="T361" s="683" t="n"/>
      <c r="U361" s="683" t="n"/>
      <c r="V361" s="683" t="n"/>
      <c r="W361" s="683" t="n"/>
      <c r="X361" s="683" t="n"/>
      <c r="Y361" s="683" t="n"/>
    </row>
    <row r="362">
      <c r="A362" s="683" t="n"/>
      <c r="B362" s="683" t="n"/>
      <c r="C362" s="683" t="n"/>
      <c r="D362" s="683" t="n"/>
      <c r="E362" s="683" t="n"/>
      <c r="F362" s="683" t="n"/>
      <c r="G362" s="683" t="n"/>
      <c r="H362" s="683" t="n"/>
      <c r="I362" s="683" t="n"/>
      <c r="J362" s="683" t="n"/>
      <c r="K362" s="683" t="n"/>
      <c r="L362" s="683" t="n"/>
      <c r="M362" s="683" t="n"/>
      <c r="N362" s="683" t="n"/>
      <c r="O362" s="683" t="n"/>
      <c r="P362" s="683" t="n"/>
      <c r="Q362" s="683" t="n"/>
      <c r="R362" s="683" t="n"/>
      <c r="S362" s="683" t="n"/>
      <c r="T362" s="683" t="n"/>
      <c r="U362" s="683" t="n"/>
      <c r="V362" s="683" t="n"/>
      <c r="W362" s="683" t="n"/>
      <c r="X362" s="683" t="n"/>
      <c r="Y362" s="683" t="n"/>
    </row>
    <row r="363">
      <c r="A363" s="683" t="n"/>
      <c r="B363" s="683" t="n"/>
      <c r="C363" s="683" t="n"/>
      <c r="D363" s="683" t="n"/>
      <c r="E363" s="683" t="n"/>
      <c r="F363" s="683" t="n"/>
      <c r="G363" s="683" t="n"/>
      <c r="H363" s="683" t="n"/>
      <c r="I363" s="683" t="n"/>
      <c r="J363" s="683" t="n"/>
      <c r="K363" s="683" t="n"/>
      <c r="L363" s="683" t="n"/>
      <c r="M363" s="683" t="n"/>
      <c r="N363" s="683" t="n"/>
      <c r="O363" s="683" t="n"/>
      <c r="P363" s="683" t="n"/>
      <c r="Q363" s="683" t="n"/>
      <c r="R363" s="683" t="n"/>
      <c r="S363" s="683" t="n"/>
      <c r="T363" s="683" t="n"/>
      <c r="U363" s="683" t="n"/>
      <c r="V363" s="683" t="n"/>
      <c r="W363" s="683" t="n"/>
      <c r="X363" s="683" t="n"/>
      <c r="Y363" s="683" t="n"/>
    </row>
    <row r="364">
      <c r="A364" s="683" t="n"/>
      <c r="B364" s="683" t="n"/>
      <c r="C364" s="683" t="n"/>
      <c r="D364" s="683" t="n"/>
      <c r="E364" s="683" t="n"/>
      <c r="F364" s="683" t="n"/>
      <c r="G364" s="683" t="n"/>
      <c r="H364" s="683" t="n"/>
      <c r="I364" s="683" t="n"/>
      <c r="J364" s="683" t="n"/>
      <c r="K364" s="683" t="n"/>
      <c r="L364" s="683" t="n"/>
      <c r="M364" s="683" t="n"/>
      <c r="N364" s="683" t="n"/>
      <c r="O364" s="683" t="n"/>
      <c r="P364" s="683" t="n"/>
      <c r="Q364" s="683" t="n"/>
      <c r="R364" s="683" t="n"/>
      <c r="S364" s="683" t="n"/>
      <c r="T364" s="683" t="n"/>
      <c r="U364" s="683" t="n"/>
      <c r="V364" s="683" t="n"/>
      <c r="W364" s="683" t="n"/>
      <c r="X364" s="683" t="n"/>
      <c r="Y364" s="683" t="n"/>
    </row>
    <row r="365">
      <c r="A365" s="683" t="n"/>
      <c r="B365" s="683" t="n"/>
      <c r="C365" s="683" t="n"/>
      <c r="D365" s="683" t="n"/>
      <c r="E365" s="683" t="n"/>
      <c r="F365" s="683" t="n"/>
      <c r="G365" s="683" t="n"/>
      <c r="H365" s="683" t="n"/>
      <c r="I365" s="683" t="n"/>
      <c r="J365" s="683" t="n"/>
      <c r="K365" s="683" t="n"/>
      <c r="L365" s="683" t="n"/>
      <c r="M365" s="683" t="n"/>
      <c r="N365" s="683" t="n"/>
      <c r="O365" s="683" t="n"/>
      <c r="P365" s="683" t="n"/>
      <c r="Q365" s="683" t="n"/>
      <c r="R365" s="683" t="n"/>
      <c r="S365" s="683" t="n"/>
      <c r="T365" s="683" t="n"/>
      <c r="U365" s="683" t="n"/>
      <c r="V365" s="683" t="n"/>
      <c r="W365" s="683" t="n"/>
      <c r="X365" s="683" t="n"/>
      <c r="Y365" s="683" t="n"/>
    </row>
    <row r="366">
      <c r="A366" s="683" t="n"/>
      <c r="B366" s="683" t="n"/>
      <c r="C366" s="683" t="n"/>
      <c r="D366" s="683" t="n"/>
      <c r="E366" s="683" t="n"/>
      <c r="F366" s="683" t="n"/>
      <c r="G366" s="683" t="n"/>
      <c r="H366" s="683" t="n"/>
      <c r="I366" s="683" t="n"/>
      <c r="J366" s="683" t="n"/>
      <c r="K366" s="683" t="n"/>
      <c r="L366" s="683" t="n"/>
      <c r="M366" s="683" t="n"/>
      <c r="N366" s="683" t="n"/>
      <c r="O366" s="683" t="n"/>
      <c r="P366" s="683" t="n"/>
      <c r="Q366" s="683" t="n"/>
      <c r="R366" s="683" t="n"/>
      <c r="S366" s="683" t="n"/>
      <c r="T366" s="683" t="n"/>
      <c r="U366" s="683" t="n"/>
      <c r="V366" s="683" t="n"/>
      <c r="W366" s="683" t="n"/>
      <c r="X366" s="683" t="n"/>
      <c r="Y366" s="683" t="n"/>
    </row>
    <row r="367">
      <c r="A367" s="683" t="n"/>
      <c r="B367" s="683" t="n"/>
      <c r="C367" s="683" t="n"/>
      <c r="D367" s="683" t="n"/>
      <c r="E367" s="683" t="n"/>
      <c r="F367" s="683" t="n"/>
      <c r="G367" s="683" t="n"/>
      <c r="H367" s="683" t="n"/>
      <c r="I367" s="683" t="n"/>
      <c r="J367" s="683" t="n"/>
      <c r="K367" s="683" t="n"/>
      <c r="L367" s="683" t="n"/>
      <c r="M367" s="683" t="n"/>
      <c r="N367" s="683" t="n"/>
      <c r="O367" s="683" t="n"/>
      <c r="P367" s="683" t="n"/>
      <c r="Q367" s="683" t="n"/>
      <c r="R367" s="683" t="n"/>
      <c r="S367" s="683" t="n"/>
      <c r="T367" s="683" t="n"/>
      <c r="U367" s="683" t="n"/>
      <c r="V367" s="683" t="n"/>
      <c r="W367" s="683" t="n"/>
      <c r="X367" s="683" t="n"/>
      <c r="Y367" s="683" t="n"/>
    </row>
    <row r="368">
      <c r="A368" s="683" t="n"/>
      <c r="B368" s="683" t="n"/>
      <c r="C368" s="683" t="n"/>
      <c r="D368" s="683" t="n"/>
      <c r="E368" s="683" t="n"/>
      <c r="F368" s="683" t="n"/>
      <c r="G368" s="683" t="n"/>
      <c r="H368" s="683" t="n"/>
      <c r="I368" s="683" t="n"/>
      <c r="J368" s="683" t="n"/>
      <c r="K368" s="683" t="n"/>
      <c r="L368" s="683" t="n"/>
      <c r="M368" s="683" t="n"/>
      <c r="N368" s="683" t="n"/>
      <c r="O368" s="683" t="n"/>
      <c r="P368" s="683" t="n"/>
      <c r="Q368" s="683" t="n"/>
      <c r="R368" s="683" t="n"/>
      <c r="S368" s="683" t="n"/>
      <c r="T368" s="683" t="n"/>
      <c r="U368" s="683" t="n"/>
      <c r="V368" s="683" t="n"/>
      <c r="W368" s="683" t="n"/>
      <c r="X368" s="683" t="n"/>
      <c r="Y368" s="683" t="n"/>
    </row>
    <row r="369">
      <c r="A369" s="683" t="n"/>
      <c r="B369" s="683" t="n"/>
      <c r="C369" s="683" t="n"/>
      <c r="D369" s="683" t="n"/>
      <c r="E369" s="683" t="n"/>
      <c r="F369" s="683" t="n"/>
      <c r="G369" s="683" t="n"/>
      <c r="H369" s="683" t="n"/>
      <c r="I369" s="683" t="n"/>
      <c r="J369" s="683" t="n"/>
      <c r="K369" s="683" t="n"/>
      <c r="L369" s="683" t="n"/>
      <c r="M369" s="683" t="n"/>
      <c r="N369" s="683" t="n"/>
      <c r="O369" s="683" t="n"/>
      <c r="P369" s="683" t="n"/>
      <c r="Q369" s="683" t="n"/>
      <c r="R369" s="683" t="n"/>
      <c r="S369" s="683" t="n"/>
      <c r="T369" s="683" t="n"/>
      <c r="U369" s="683" t="n"/>
      <c r="V369" s="683" t="n"/>
      <c r="W369" s="683" t="n"/>
      <c r="X369" s="683" t="n"/>
      <c r="Y369" s="683" t="n"/>
    </row>
    <row r="370">
      <c r="A370" s="683" t="n"/>
      <c r="B370" s="683" t="n"/>
      <c r="C370" s="683" t="n"/>
      <c r="D370" s="683" t="n"/>
      <c r="E370" s="683" t="n"/>
      <c r="F370" s="683" t="n"/>
      <c r="G370" s="683" t="n"/>
      <c r="H370" s="683" t="n"/>
      <c r="I370" s="683" t="n"/>
      <c r="J370" s="683" t="n"/>
      <c r="K370" s="683" t="n"/>
      <c r="L370" s="683" t="n"/>
      <c r="M370" s="683" t="n"/>
      <c r="N370" s="683" t="n"/>
      <c r="O370" s="683" t="n"/>
      <c r="P370" s="683" t="n"/>
      <c r="Q370" s="683" t="n"/>
      <c r="R370" s="683" t="n"/>
      <c r="S370" s="683" t="n"/>
      <c r="T370" s="683" t="n"/>
      <c r="U370" s="683" t="n"/>
      <c r="V370" s="683" t="n"/>
      <c r="W370" s="683" t="n"/>
      <c r="X370" s="683" t="n"/>
      <c r="Y370" s="683" t="n"/>
    </row>
    <row r="371">
      <c r="A371" s="683" t="n"/>
      <c r="B371" s="683" t="n"/>
      <c r="C371" s="683" t="n"/>
      <c r="D371" s="683" t="n"/>
      <c r="E371" s="683" t="n"/>
      <c r="F371" s="683" t="n"/>
      <c r="G371" s="683" t="n"/>
      <c r="H371" s="683" t="n"/>
      <c r="I371" s="683" t="n"/>
      <c r="J371" s="683" t="n"/>
      <c r="K371" s="683" t="n"/>
      <c r="L371" s="683" t="n"/>
      <c r="M371" s="683" t="n"/>
      <c r="N371" s="683" t="n"/>
      <c r="O371" s="683" t="n"/>
      <c r="P371" s="683" t="n"/>
      <c r="Q371" s="683" t="n"/>
      <c r="R371" s="683" t="n"/>
      <c r="S371" s="683" t="n"/>
      <c r="T371" s="683" t="n"/>
      <c r="U371" s="683" t="n"/>
      <c r="V371" s="683" t="n"/>
      <c r="W371" s="683" t="n"/>
      <c r="X371" s="683" t="n"/>
      <c r="Y371" s="683" t="n"/>
    </row>
    <row r="372">
      <c r="A372" s="683" t="n"/>
      <c r="B372" s="683" t="n"/>
      <c r="C372" s="683" t="n"/>
      <c r="D372" s="683" t="n"/>
      <c r="E372" s="683" t="n"/>
      <c r="F372" s="683" t="n"/>
      <c r="G372" s="683" t="n"/>
      <c r="H372" s="683" t="n"/>
      <c r="I372" s="683" t="n"/>
      <c r="J372" s="683" t="n"/>
      <c r="K372" s="683" t="n"/>
      <c r="L372" s="683" t="n"/>
      <c r="M372" s="683" t="n"/>
      <c r="N372" s="683" t="n"/>
      <c r="O372" s="683" t="n"/>
      <c r="P372" s="683" t="n"/>
      <c r="Q372" s="683" t="n"/>
      <c r="R372" s="683" t="n"/>
      <c r="S372" s="683" t="n"/>
      <c r="T372" s="683" t="n"/>
      <c r="U372" s="683" t="n"/>
      <c r="V372" s="683" t="n"/>
      <c r="W372" s="683" t="n"/>
      <c r="X372" s="683" t="n"/>
      <c r="Y372" s="683" t="n"/>
    </row>
    <row r="373">
      <c r="A373" s="683" t="n"/>
      <c r="B373" s="683" t="n"/>
      <c r="C373" s="683" t="n"/>
      <c r="D373" s="683" t="n"/>
      <c r="E373" s="683" t="n"/>
      <c r="F373" s="683" t="n"/>
      <c r="G373" s="683" t="n"/>
      <c r="H373" s="683" t="n"/>
      <c r="I373" s="683" t="n"/>
      <c r="J373" s="683" t="n"/>
      <c r="K373" s="683" t="n"/>
      <c r="L373" s="683" t="n"/>
      <c r="M373" s="683" t="n"/>
      <c r="N373" s="683" t="n"/>
      <c r="O373" s="683" t="n"/>
      <c r="P373" s="683" t="n"/>
      <c r="Q373" s="683" t="n"/>
      <c r="R373" s="683" t="n"/>
      <c r="S373" s="683" t="n"/>
      <c r="T373" s="683" t="n"/>
      <c r="U373" s="683" t="n"/>
      <c r="V373" s="683" t="n"/>
      <c r="W373" s="683" t="n"/>
      <c r="X373" s="683" t="n"/>
      <c r="Y373" s="683" t="n"/>
    </row>
    <row r="374">
      <c r="A374" s="683" t="n"/>
      <c r="B374" s="683" t="n"/>
      <c r="C374" s="683" t="n"/>
      <c r="D374" s="683" t="n"/>
      <c r="E374" s="683" t="n"/>
      <c r="F374" s="683" t="n"/>
      <c r="G374" s="683" t="n"/>
      <c r="H374" s="683" t="n"/>
      <c r="I374" s="683" t="n"/>
      <c r="J374" s="683" t="n"/>
      <c r="K374" s="683" t="n"/>
      <c r="L374" s="683" t="n"/>
      <c r="M374" s="683" t="n"/>
      <c r="N374" s="683" t="n"/>
      <c r="O374" s="683" t="n"/>
      <c r="P374" s="683" t="n"/>
      <c r="Q374" s="683" t="n"/>
      <c r="R374" s="683" t="n"/>
      <c r="S374" s="683" t="n"/>
      <c r="T374" s="683" t="n"/>
      <c r="U374" s="683" t="n"/>
      <c r="V374" s="683" t="n"/>
      <c r="W374" s="683" t="n"/>
      <c r="X374" s="683" t="n"/>
      <c r="Y374" s="683" t="n"/>
    </row>
    <row r="375">
      <c r="A375" s="683" t="n"/>
      <c r="B375" s="683" t="n"/>
      <c r="C375" s="683" t="n"/>
      <c r="D375" s="683" t="n"/>
      <c r="E375" s="683" t="n"/>
      <c r="F375" s="683" t="n"/>
      <c r="G375" s="683" t="n"/>
      <c r="H375" s="683" t="n"/>
      <c r="I375" s="683" t="n"/>
      <c r="J375" s="683" t="n"/>
      <c r="K375" s="683" t="n"/>
      <c r="L375" s="683" t="n"/>
      <c r="M375" s="683" t="n"/>
      <c r="N375" s="683" t="n"/>
      <c r="O375" s="683" t="n"/>
      <c r="P375" s="683" t="n"/>
      <c r="Q375" s="683" t="n"/>
      <c r="R375" s="683" t="n"/>
      <c r="S375" s="683" t="n"/>
      <c r="T375" s="683" t="n"/>
      <c r="U375" s="683" t="n"/>
      <c r="V375" s="683" t="n"/>
      <c r="W375" s="683" t="n"/>
      <c r="X375" s="683" t="n"/>
      <c r="Y375" s="683" t="n"/>
    </row>
    <row r="376">
      <c r="A376" s="683" t="n"/>
      <c r="B376" s="683" t="n"/>
      <c r="C376" s="683" t="n"/>
      <c r="D376" s="683" t="n"/>
      <c r="E376" s="683" t="n"/>
      <c r="F376" s="683" t="n"/>
      <c r="G376" s="683" t="n"/>
      <c r="H376" s="683" t="n"/>
      <c r="I376" s="683" t="n"/>
      <c r="J376" s="683" t="n"/>
      <c r="K376" s="683" t="n"/>
      <c r="L376" s="683" t="n"/>
      <c r="M376" s="683" t="n"/>
      <c r="N376" s="683" t="n"/>
      <c r="O376" s="683" t="n"/>
      <c r="P376" s="683" t="n"/>
      <c r="Q376" s="683" t="n"/>
      <c r="R376" s="683" t="n"/>
      <c r="S376" s="683" t="n"/>
      <c r="T376" s="683" t="n"/>
      <c r="U376" s="683" t="n"/>
      <c r="V376" s="683" t="n"/>
      <c r="W376" s="683" t="n"/>
      <c r="X376" s="683" t="n"/>
      <c r="Y376" s="683" t="n"/>
    </row>
    <row r="377">
      <c r="A377" s="683" t="n"/>
      <c r="B377" s="683" t="n"/>
      <c r="C377" s="683" t="n"/>
      <c r="D377" s="683" t="n"/>
      <c r="E377" s="683" t="n"/>
      <c r="F377" s="683" t="n"/>
      <c r="G377" s="683" t="n"/>
      <c r="H377" s="683" t="n"/>
      <c r="I377" s="683" t="n"/>
      <c r="J377" s="683" t="n"/>
      <c r="K377" s="683" t="n"/>
      <c r="L377" s="683" t="n"/>
      <c r="M377" s="683" t="n"/>
      <c r="N377" s="683" t="n"/>
      <c r="O377" s="683" t="n"/>
      <c r="P377" s="683" t="n"/>
      <c r="Q377" s="683" t="n"/>
      <c r="R377" s="683" t="n"/>
      <c r="S377" s="683" t="n"/>
      <c r="T377" s="683" t="n"/>
      <c r="U377" s="683" t="n"/>
      <c r="V377" s="683" t="n"/>
      <c r="W377" s="683" t="n"/>
      <c r="X377" s="683" t="n"/>
      <c r="Y377" s="683" t="n"/>
    </row>
    <row r="378">
      <c r="A378" s="683" t="n"/>
      <c r="B378" s="683" t="n"/>
      <c r="C378" s="683" t="n"/>
      <c r="D378" s="683" t="n"/>
      <c r="E378" s="683" t="n"/>
      <c r="F378" s="683" t="n"/>
      <c r="G378" s="683" t="n"/>
      <c r="H378" s="683" t="n"/>
      <c r="I378" s="683" t="n"/>
      <c r="J378" s="683" t="n"/>
      <c r="K378" s="683" t="n"/>
      <c r="L378" s="683" t="n"/>
      <c r="M378" s="683" t="n"/>
      <c r="N378" s="683" t="n"/>
      <c r="O378" s="683" t="n"/>
      <c r="P378" s="683" t="n"/>
      <c r="Q378" s="683" t="n"/>
      <c r="R378" s="683" t="n"/>
      <c r="S378" s="683" t="n"/>
      <c r="T378" s="683" t="n"/>
      <c r="U378" s="683" t="n"/>
      <c r="V378" s="683" t="n"/>
      <c r="W378" s="683" t="n"/>
      <c r="X378" s="683" t="n"/>
      <c r="Y378" s="683" t="n"/>
    </row>
    <row r="379">
      <c r="A379" s="683" t="n"/>
      <c r="B379" s="683" t="n"/>
      <c r="C379" s="683" t="n"/>
      <c r="D379" s="683" t="n"/>
      <c r="E379" s="683" t="n"/>
      <c r="F379" s="683" t="n"/>
      <c r="G379" s="683" t="n"/>
      <c r="H379" s="683" t="n"/>
      <c r="I379" s="683" t="n"/>
      <c r="J379" s="683" t="n"/>
      <c r="K379" s="683" t="n"/>
      <c r="L379" s="683" t="n"/>
      <c r="M379" s="683" t="n"/>
      <c r="N379" s="683" t="n"/>
      <c r="O379" s="683" t="n"/>
      <c r="P379" s="683" t="n"/>
      <c r="Q379" s="683" t="n"/>
      <c r="R379" s="683" t="n"/>
      <c r="S379" s="683" t="n"/>
      <c r="T379" s="683" t="n"/>
      <c r="U379" s="683" t="n"/>
      <c r="V379" s="683" t="n"/>
      <c r="W379" s="683" t="n"/>
      <c r="X379" s="683" t="n"/>
      <c r="Y379" s="683" t="n"/>
    </row>
    <row r="380">
      <c r="A380" s="683" t="n"/>
      <c r="B380" s="683" t="n"/>
      <c r="C380" s="683" t="n"/>
      <c r="D380" s="683" t="n"/>
      <c r="E380" s="683" t="n"/>
      <c r="F380" s="683" t="n"/>
      <c r="G380" s="683" t="n"/>
      <c r="H380" s="683" t="n"/>
      <c r="I380" s="683" t="n"/>
      <c r="J380" s="683" t="n"/>
      <c r="K380" s="683" t="n"/>
      <c r="L380" s="683" t="n"/>
      <c r="M380" s="683" t="n"/>
      <c r="N380" s="683" t="n"/>
      <c r="O380" s="683" t="n"/>
      <c r="P380" s="683" t="n"/>
      <c r="Q380" s="683" t="n"/>
      <c r="R380" s="683" t="n"/>
      <c r="S380" s="683" t="n"/>
      <c r="T380" s="683" t="n"/>
      <c r="U380" s="683" t="n"/>
      <c r="V380" s="683" t="n"/>
      <c r="W380" s="683" t="n"/>
      <c r="X380" s="683" t="n"/>
      <c r="Y380" s="683" t="n"/>
    </row>
    <row r="381">
      <c r="A381" s="683" t="n"/>
      <c r="B381" s="683" t="n"/>
      <c r="C381" s="683" t="n"/>
      <c r="D381" s="683" t="n"/>
      <c r="E381" s="683" t="n"/>
      <c r="F381" s="683" t="n"/>
      <c r="G381" s="683" t="n"/>
      <c r="H381" s="683" t="n"/>
      <c r="I381" s="683" t="n"/>
      <c r="J381" s="683" t="n"/>
      <c r="K381" s="683" t="n"/>
      <c r="L381" s="683" t="n"/>
      <c r="M381" s="683" t="n"/>
      <c r="N381" s="683" t="n"/>
      <c r="O381" s="683" t="n"/>
      <c r="P381" s="683" t="n"/>
      <c r="Q381" s="683" t="n"/>
      <c r="R381" s="683" t="n"/>
      <c r="S381" s="683" t="n"/>
      <c r="T381" s="683" t="n"/>
      <c r="U381" s="683" t="n"/>
      <c r="V381" s="683" t="n"/>
      <c r="W381" s="683" t="n"/>
      <c r="X381" s="683" t="n"/>
      <c r="Y381" s="683" t="n"/>
    </row>
    <row r="382">
      <c r="A382" s="683" t="n"/>
      <c r="B382" s="683" t="n"/>
      <c r="C382" s="683" t="n"/>
      <c r="D382" s="683" t="n"/>
      <c r="E382" s="683" t="n"/>
      <c r="F382" s="683" t="n"/>
      <c r="G382" s="683" t="n"/>
      <c r="H382" s="683" t="n"/>
      <c r="I382" s="683" t="n"/>
      <c r="J382" s="683" t="n"/>
      <c r="K382" s="683" t="n"/>
      <c r="L382" s="683" t="n"/>
      <c r="M382" s="683" t="n"/>
      <c r="N382" s="683" t="n"/>
      <c r="O382" s="683" t="n"/>
      <c r="P382" s="683" t="n"/>
      <c r="Q382" s="683" t="n"/>
      <c r="R382" s="683" t="n"/>
      <c r="S382" s="683" t="n"/>
      <c r="T382" s="683" t="n"/>
      <c r="U382" s="683" t="n"/>
      <c r="V382" s="683" t="n"/>
      <c r="W382" s="683" t="n"/>
      <c r="X382" s="683" t="n"/>
      <c r="Y382" s="683" t="n"/>
    </row>
    <row r="383">
      <c r="A383" s="683" t="n"/>
      <c r="B383" s="683" t="n"/>
      <c r="C383" s="683" t="n"/>
      <c r="D383" s="683" t="n"/>
      <c r="E383" s="683" t="n"/>
      <c r="F383" s="683" t="n"/>
      <c r="G383" s="683" t="n"/>
      <c r="H383" s="683" t="n"/>
      <c r="I383" s="683" t="n"/>
      <c r="J383" s="683" t="n"/>
      <c r="K383" s="683" t="n"/>
      <c r="L383" s="683" t="n"/>
      <c r="M383" s="683" t="n"/>
      <c r="N383" s="683" t="n"/>
      <c r="O383" s="683" t="n"/>
      <c r="P383" s="683" t="n"/>
      <c r="Q383" s="683" t="n"/>
      <c r="R383" s="683" t="n"/>
      <c r="S383" s="683" t="n"/>
      <c r="T383" s="683" t="n"/>
      <c r="U383" s="683" t="n"/>
      <c r="V383" s="683" t="n"/>
      <c r="W383" s="683" t="n"/>
      <c r="X383" s="683" t="n"/>
      <c r="Y383" s="683" t="n"/>
    </row>
    <row r="384">
      <c r="A384" s="683" t="n"/>
      <c r="B384" s="683" t="n"/>
      <c r="C384" s="683" t="n"/>
      <c r="D384" s="683" t="n"/>
      <c r="E384" s="683" t="n"/>
      <c r="F384" s="683" t="n"/>
      <c r="G384" s="683" t="n"/>
      <c r="H384" s="683" t="n"/>
      <c r="I384" s="683" t="n"/>
      <c r="J384" s="683" t="n"/>
      <c r="K384" s="683" t="n"/>
      <c r="L384" s="683" t="n"/>
      <c r="M384" s="683" t="n"/>
      <c r="N384" s="683" t="n"/>
      <c r="O384" s="683" t="n"/>
      <c r="P384" s="683" t="n"/>
      <c r="Q384" s="683" t="n"/>
      <c r="R384" s="683" t="n"/>
      <c r="S384" s="683" t="n"/>
      <c r="T384" s="683" t="n"/>
      <c r="U384" s="683" t="n"/>
      <c r="V384" s="683" t="n"/>
      <c r="W384" s="683" t="n"/>
      <c r="X384" s="683" t="n"/>
      <c r="Y384" s="683" t="n"/>
    </row>
    <row r="385">
      <c r="A385" s="683" t="n"/>
      <c r="B385" s="683" t="n"/>
      <c r="C385" s="683" t="n"/>
      <c r="D385" s="683" t="n"/>
      <c r="E385" s="683" t="n"/>
      <c r="F385" s="683" t="n"/>
      <c r="G385" s="683" t="n"/>
      <c r="H385" s="683" t="n"/>
      <c r="I385" s="683" t="n"/>
      <c r="J385" s="683" t="n"/>
      <c r="K385" s="683" t="n"/>
      <c r="L385" s="683" t="n"/>
      <c r="M385" s="683" t="n"/>
      <c r="N385" s="683" t="n"/>
      <c r="O385" s="683" t="n"/>
      <c r="P385" s="683" t="n"/>
      <c r="Q385" s="683" t="n"/>
      <c r="R385" s="683" t="n"/>
      <c r="S385" s="683" t="n"/>
      <c r="T385" s="683" t="n"/>
      <c r="U385" s="683" t="n"/>
      <c r="V385" s="683" t="n"/>
      <c r="W385" s="683" t="n"/>
      <c r="X385" s="683" t="n"/>
      <c r="Y385" s="683" t="n"/>
    </row>
    <row r="386">
      <c r="A386" s="683" t="n"/>
      <c r="B386" s="683" t="n"/>
      <c r="C386" s="683" t="n"/>
      <c r="D386" s="683" t="n"/>
      <c r="E386" s="683" t="n"/>
      <c r="F386" s="683" t="n"/>
      <c r="G386" s="683" t="n"/>
      <c r="H386" s="683" t="n"/>
      <c r="I386" s="683" t="n"/>
      <c r="J386" s="683" t="n"/>
      <c r="K386" s="683" t="n"/>
      <c r="L386" s="683" t="n"/>
      <c r="M386" s="683" t="n"/>
      <c r="N386" s="683" t="n"/>
      <c r="O386" s="683" t="n"/>
      <c r="P386" s="683" t="n"/>
      <c r="Q386" s="683" t="n"/>
      <c r="R386" s="683" t="n"/>
      <c r="S386" s="683" t="n"/>
      <c r="T386" s="683" t="n"/>
      <c r="U386" s="683" t="n"/>
      <c r="V386" s="683" t="n"/>
      <c r="W386" s="683" t="n"/>
      <c r="X386" s="683" t="n"/>
      <c r="Y386" s="683" t="n"/>
    </row>
    <row r="387">
      <c r="A387" s="683" t="n"/>
      <c r="B387" s="683" t="n"/>
      <c r="C387" s="683" t="n"/>
      <c r="D387" s="683" t="n"/>
      <c r="E387" s="683" t="n"/>
      <c r="F387" s="683" t="n"/>
      <c r="G387" s="683" t="n"/>
      <c r="H387" s="683" t="n"/>
      <c r="I387" s="683" t="n"/>
      <c r="J387" s="683" t="n"/>
      <c r="K387" s="683" t="n"/>
      <c r="L387" s="683" t="n"/>
      <c r="M387" s="683" t="n"/>
      <c r="N387" s="683" t="n"/>
      <c r="O387" s="683" t="n"/>
      <c r="P387" s="683" t="n"/>
      <c r="Q387" s="683" t="n"/>
      <c r="R387" s="683" t="n"/>
      <c r="S387" s="683" t="n"/>
      <c r="T387" s="683" t="n"/>
      <c r="U387" s="683" t="n"/>
      <c r="V387" s="683" t="n"/>
      <c r="W387" s="683" t="n"/>
      <c r="X387" s="683" t="n"/>
      <c r="Y387" s="683" t="n"/>
    </row>
    <row r="388">
      <c r="A388" s="683" t="n"/>
      <c r="B388" s="683" t="n"/>
      <c r="C388" s="683" t="n"/>
      <c r="D388" s="683" t="n"/>
      <c r="E388" s="683" t="n"/>
      <c r="F388" s="683" t="n"/>
      <c r="G388" s="683" t="n"/>
      <c r="H388" s="683" t="n"/>
      <c r="I388" s="683" t="n"/>
      <c r="J388" s="683" t="n"/>
      <c r="K388" s="683" t="n"/>
      <c r="L388" s="683" t="n"/>
      <c r="M388" s="683" t="n"/>
      <c r="N388" s="683" t="n"/>
      <c r="O388" s="683" t="n"/>
      <c r="P388" s="683" t="n"/>
      <c r="Q388" s="683" t="n"/>
      <c r="R388" s="683" t="n"/>
      <c r="S388" s="683" t="n"/>
      <c r="T388" s="683" t="n"/>
      <c r="U388" s="683" t="n"/>
      <c r="V388" s="683" t="n"/>
      <c r="W388" s="683" t="n"/>
      <c r="X388" s="683" t="n"/>
      <c r="Y388" s="683" t="n"/>
    </row>
    <row r="389">
      <c r="A389" s="683" t="n"/>
      <c r="B389" s="683" t="n"/>
      <c r="C389" s="683" t="n"/>
      <c r="D389" s="683" t="n"/>
      <c r="E389" s="683" t="n"/>
      <c r="F389" s="683" t="n"/>
      <c r="G389" s="683" t="n"/>
      <c r="H389" s="683" t="n"/>
      <c r="I389" s="683" t="n"/>
      <c r="J389" s="683" t="n"/>
      <c r="K389" s="683" t="n"/>
      <c r="L389" s="683" t="n"/>
      <c r="M389" s="683" t="n"/>
      <c r="N389" s="683" t="n"/>
      <c r="O389" s="683" t="n"/>
      <c r="P389" s="683" t="n"/>
      <c r="Q389" s="683" t="n"/>
      <c r="R389" s="683" t="n"/>
      <c r="S389" s="683" t="n"/>
      <c r="T389" s="683" t="n"/>
      <c r="U389" s="683" t="n"/>
      <c r="V389" s="683" t="n"/>
      <c r="W389" s="683" t="n"/>
      <c r="X389" s="683" t="n"/>
      <c r="Y389" s="683" t="n"/>
    </row>
    <row r="390">
      <c r="A390" s="683" t="n"/>
      <c r="B390" s="683" t="n"/>
      <c r="C390" s="683" t="n"/>
      <c r="D390" s="683" t="n"/>
      <c r="E390" s="683" t="n"/>
      <c r="F390" s="683" t="n"/>
      <c r="G390" s="683" t="n"/>
      <c r="H390" s="683" t="n"/>
      <c r="I390" s="683" t="n"/>
      <c r="J390" s="683" t="n"/>
      <c r="K390" s="683" t="n"/>
      <c r="L390" s="683" t="n"/>
      <c r="M390" s="683" t="n"/>
      <c r="N390" s="683" t="n"/>
      <c r="O390" s="683" t="n"/>
      <c r="P390" s="683" t="n"/>
      <c r="Q390" s="683" t="n"/>
      <c r="R390" s="683" t="n"/>
      <c r="S390" s="683" t="n"/>
      <c r="T390" s="683" t="n"/>
      <c r="U390" s="683" t="n"/>
      <c r="V390" s="683" t="n"/>
      <c r="W390" s="683" t="n"/>
      <c r="X390" s="683" t="n"/>
      <c r="Y390" s="683" t="n"/>
    </row>
    <row r="391">
      <c r="A391" s="683" t="n"/>
      <c r="B391" s="683" t="n"/>
      <c r="C391" s="683" t="n"/>
      <c r="D391" s="683" t="n"/>
      <c r="E391" s="683" t="n"/>
      <c r="F391" s="683" t="n"/>
      <c r="G391" s="683" t="n"/>
      <c r="H391" s="683" t="n"/>
      <c r="I391" s="683" t="n"/>
      <c r="J391" s="683" t="n"/>
      <c r="K391" s="683" t="n"/>
      <c r="L391" s="683" t="n"/>
      <c r="M391" s="683" t="n"/>
      <c r="N391" s="683" t="n"/>
      <c r="O391" s="683" t="n"/>
      <c r="P391" s="683" t="n"/>
      <c r="Q391" s="683" t="n"/>
      <c r="R391" s="683" t="n"/>
      <c r="S391" s="683" t="n"/>
      <c r="T391" s="683" t="n"/>
      <c r="U391" s="683" t="n"/>
      <c r="V391" s="683" t="n"/>
      <c r="W391" s="683" t="n"/>
      <c r="X391" s="683" t="n"/>
      <c r="Y391" s="683" t="n"/>
    </row>
    <row r="392">
      <c r="A392" s="683" t="n"/>
      <c r="B392" s="683" t="n"/>
      <c r="C392" s="683" t="n"/>
      <c r="D392" s="683" t="n"/>
      <c r="E392" s="683" t="n"/>
      <c r="F392" s="683" t="n"/>
      <c r="G392" s="683" t="n"/>
      <c r="H392" s="683" t="n"/>
      <c r="I392" s="683" t="n"/>
      <c r="J392" s="683" t="n"/>
      <c r="K392" s="683" t="n"/>
      <c r="L392" s="683" t="n"/>
      <c r="M392" s="683" t="n"/>
      <c r="N392" s="683" t="n"/>
      <c r="O392" s="683" t="n"/>
      <c r="P392" s="683" t="n"/>
      <c r="Q392" s="683" t="n"/>
      <c r="R392" s="683" t="n"/>
      <c r="S392" s="683" t="n"/>
      <c r="T392" s="683" t="n"/>
      <c r="U392" s="683" t="n"/>
      <c r="V392" s="683" t="n"/>
      <c r="W392" s="683" t="n"/>
      <c r="X392" s="683" t="n"/>
      <c r="Y392" s="683" t="n"/>
    </row>
    <row r="393">
      <c r="A393" s="683" t="n"/>
      <c r="B393" s="683" t="n"/>
      <c r="C393" s="683" t="n"/>
      <c r="D393" s="683" t="n"/>
      <c r="E393" s="683" t="n"/>
      <c r="F393" s="683" t="n"/>
      <c r="G393" s="683" t="n"/>
      <c r="H393" s="683" t="n"/>
      <c r="I393" s="683" t="n"/>
      <c r="J393" s="683" t="n"/>
      <c r="K393" s="683" t="n"/>
      <c r="L393" s="683" t="n"/>
      <c r="M393" s="683" t="n"/>
      <c r="N393" s="683" t="n"/>
      <c r="O393" s="683" t="n"/>
      <c r="P393" s="683" t="n"/>
      <c r="Q393" s="683" t="n"/>
      <c r="R393" s="683" t="n"/>
      <c r="S393" s="683" t="n"/>
      <c r="T393" s="683" t="n"/>
      <c r="U393" s="683" t="n"/>
      <c r="V393" s="683" t="n"/>
      <c r="W393" s="683" t="n"/>
      <c r="X393" s="683" t="n"/>
      <c r="Y393" s="683" t="n"/>
    </row>
    <row r="394">
      <c r="A394" s="683" t="n"/>
      <c r="B394" s="683" t="n"/>
      <c r="C394" s="683" t="n"/>
      <c r="D394" s="683" t="n"/>
      <c r="E394" s="683" t="n"/>
      <c r="F394" s="683" t="n"/>
      <c r="G394" s="683" t="n"/>
      <c r="H394" s="683" t="n"/>
      <c r="I394" s="683" t="n"/>
      <c r="J394" s="683" t="n"/>
      <c r="K394" s="683" t="n"/>
      <c r="L394" s="683" t="n"/>
      <c r="M394" s="683" t="n"/>
      <c r="N394" s="683" t="n"/>
      <c r="O394" s="683" t="n"/>
      <c r="P394" s="683" t="n"/>
      <c r="Q394" s="683" t="n"/>
      <c r="R394" s="683" t="n"/>
      <c r="S394" s="683" t="n"/>
      <c r="T394" s="683" t="n"/>
      <c r="U394" s="683" t="n"/>
      <c r="V394" s="683" t="n"/>
      <c r="W394" s="683" t="n"/>
      <c r="X394" s="683" t="n"/>
      <c r="Y394" s="683" t="n"/>
    </row>
    <row r="395">
      <c r="A395" s="683" t="n"/>
      <c r="B395" s="683" t="n"/>
      <c r="C395" s="683" t="n"/>
      <c r="D395" s="683" t="n"/>
      <c r="E395" s="683" t="n"/>
      <c r="F395" s="683" t="n"/>
      <c r="G395" s="683" t="n"/>
      <c r="H395" s="683" t="n"/>
      <c r="I395" s="683" t="n"/>
      <c r="J395" s="683" t="n"/>
      <c r="K395" s="683" t="n"/>
      <c r="L395" s="683" t="n"/>
      <c r="M395" s="683" t="n"/>
      <c r="N395" s="683" t="n"/>
      <c r="O395" s="683" t="n"/>
      <c r="P395" s="683" t="n"/>
      <c r="Q395" s="683" t="n"/>
      <c r="R395" s="683" t="n"/>
      <c r="S395" s="683" t="n"/>
      <c r="T395" s="683" t="n"/>
      <c r="U395" s="683" t="n"/>
      <c r="V395" s="683" t="n"/>
      <c r="W395" s="683" t="n"/>
      <c r="X395" s="683" t="n"/>
      <c r="Y395" s="683" t="n"/>
    </row>
    <row r="396">
      <c r="A396" s="683" t="n"/>
      <c r="B396" s="683" t="n"/>
      <c r="C396" s="683" t="n"/>
      <c r="D396" s="683" t="n"/>
      <c r="E396" s="683" t="n"/>
      <c r="F396" s="683" t="n"/>
      <c r="G396" s="683" t="n"/>
      <c r="H396" s="683" t="n"/>
      <c r="I396" s="683" t="n"/>
      <c r="J396" s="683" t="n"/>
      <c r="K396" s="683" t="n"/>
      <c r="L396" s="683" t="n"/>
      <c r="M396" s="683" t="n"/>
      <c r="N396" s="683" t="n"/>
      <c r="O396" s="683" t="n"/>
      <c r="P396" s="683" t="n"/>
      <c r="Q396" s="683" t="n"/>
      <c r="R396" s="683" t="n"/>
      <c r="S396" s="683" t="n"/>
      <c r="T396" s="683" t="n"/>
      <c r="U396" s="683" t="n"/>
      <c r="V396" s="683" t="n"/>
      <c r="W396" s="683" t="n"/>
      <c r="X396" s="683" t="n"/>
      <c r="Y396" s="683" t="n"/>
    </row>
    <row r="397">
      <c r="A397" s="683" t="n"/>
      <c r="B397" s="683" t="n"/>
      <c r="C397" s="683" t="n"/>
      <c r="D397" s="683" t="n"/>
      <c r="E397" s="683" t="n"/>
      <c r="F397" s="683" t="n"/>
      <c r="G397" s="683" t="n"/>
      <c r="H397" s="683" t="n"/>
      <c r="I397" s="683" t="n"/>
      <c r="J397" s="683" t="n"/>
      <c r="K397" s="683" t="n"/>
      <c r="L397" s="683" t="n"/>
      <c r="M397" s="683" t="n"/>
      <c r="N397" s="683" t="n"/>
      <c r="O397" s="683" t="n"/>
      <c r="P397" s="683" t="n"/>
      <c r="Q397" s="683" t="n"/>
      <c r="R397" s="683" t="n"/>
      <c r="S397" s="683" t="n"/>
      <c r="T397" s="683" t="n"/>
      <c r="U397" s="683" t="n"/>
      <c r="V397" s="683" t="n"/>
      <c r="W397" s="683" t="n"/>
      <c r="X397" s="683" t="n"/>
      <c r="Y397" s="683" t="n"/>
    </row>
    <row r="398">
      <c r="A398" s="683" t="n"/>
      <c r="B398" s="683" t="n"/>
      <c r="C398" s="683" t="n"/>
      <c r="D398" s="683" t="n"/>
      <c r="E398" s="683" t="n"/>
      <c r="F398" s="683" t="n"/>
      <c r="G398" s="683" t="n"/>
      <c r="H398" s="683" t="n"/>
      <c r="I398" s="683" t="n"/>
      <c r="J398" s="683" t="n"/>
      <c r="K398" s="683" t="n"/>
      <c r="L398" s="683" t="n"/>
      <c r="M398" s="683" t="n"/>
      <c r="N398" s="683" t="n"/>
      <c r="O398" s="683" t="n"/>
      <c r="P398" s="683" t="n"/>
      <c r="Q398" s="683" t="n"/>
      <c r="R398" s="683" t="n"/>
      <c r="S398" s="683" t="n"/>
      <c r="T398" s="683" t="n"/>
      <c r="U398" s="683" t="n"/>
      <c r="V398" s="683" t="n"/>
      <c r="W398" s="683" t="n"/>
      <c r="X398" s="683" t="n"/>
      <c r="Y398" s="683" t="n"/>
    </row>
    <row r="399">
      <c r="A399" s="683" t="n"/>
      <c r="B399" s="683" t="n"/>
      <c r="C399" s="683" t="n"/>
      <c r="D399" s="683" t="n"/>
      <c r="E399" s="683" t="n"/>
      <c r="F399" s="683" t="n"/>
      <c r="G399" s="683" t="n"/>
      <c r="H399" s="683" t="n"/>
      <c r="I399" s="683" t="n"/>
      <c r="J399" s="683" t="n"/>
      <c r="K399" s="683" t="n"/>
      <c r="L399" s="683" t="n"/>
      <c r="M399" s="683" t="n"/>
      <c r="N399" s="683" t="n"/>
      <c r="O399" s="683" t="n"/>
      <c r="P399" s="683" t="n"/>
      <c r="Q399" s="683" t="n"/>
      <c r="R399" s="683" t="n"/>
      <c r="S399" s="683" t="n"/>
      <c r="T399" s="683" t="n"/>
      <c r="U399" s="683" t="n"/>
      <c r="V399" s="683" t="n"/>
      <c r="W399" s="683" t="n"/>
      <c r="X399" s="683" t="n"/>
      <c r="Y399" s="683" t="n"/>
    </row>
    <row r="400">
      <c r="A400" s="683" t="n"/>
      <c r="B400" s="683" t="n"/>
      <c r="C400" s="683" t="n"/>
      <c r="D400" s="683" t="n"/>
      <c r="E400" s="683" t="n"/>
      <c r="F400" s="683" t="n"/>
      <c r="G400" s="683" t="n"/>
      <c r="H400" s="683" t="n"/>
      <c r="I400" s="683" t="n"/>
      <c r="J400" s="683" t="n"/>
      <c r="K400" s="683" t="n"/>
      <c r="L400" s="683" t="n"/>
      <c r="M400" s="683" t="n"/>
      <c r="N400" s="683" t="n"/>
      <c r="O400" s="683" t="n"/>
      <c r="P400" s="683" t="n"/>
      <c r="Q400" s="683" t="n"/>
      <c r="R400" s="683" t="n"/>
      <c r="S400" s="683" t="n"/>
      <c r="T400" s="683" t="n"/>
      <c r="U400" s="683" t="n"/>
      <c r="V400" s="683" t="n"/>
      <c r="W400" s="683" t="n"/>
      <c r="X400" s="683" t="n"/>
      <c r="Y400" s="683" t="n"/>
    </row>
    <row r="401">
      <c r="A401" s="683" t="n"/>
      <c r="B401" s="683" t="n"/>
      <c r="C401" s="683" t="n"/>
      <c r="D401" s="683" t="n"/>
      <c r="E401" s="683" t="n"/>
      <c r="F401" s="683" t="n"/>
      <c r="G401" s="683" t="n"/>
      <c r="H401" s="683" t="n"/>
      <c r="I401" s="683" t="n"/>
      <c r="J401" s="683" t="n"/>
      <c r="K401" s="683" t="n"/>
      <c r="L401" s="683" t="n"/>
      <c r="M401" s="683" t="n"/>
      <c r="N401" s="683" t="n"/>
      <c r="O401" s="683" t="n"/>
      <c r="P401" s="683" t="n"/>
      <c r="Q401" s="683" t="n"/>
      <c r="R401" s="683" t="n"/>
      <c r="S401" s="683" t="n"/>
      <c r="T401" s="683" t="n"/>
      <c r="U401" s="683" t="n"/>
      <c r="V401" s="683" t="n"/>
      <c r="W401" s="683" t="n"/>
      <c r="X401" s="683" t="n"/>
      <c r="Y401" s="683" t="n"/>
    </row>
    <row r="402">
      <c r="A402" s="683" t="n"/>
      <c r="B402" s="683" t="n"/>
      <c r="C402" s="683" t="n"/>
      <c r="D402" s="683" t="n"/>
      <c r="E402" s="683" t="n"/>
      <c r="F402" s="683" t="n"/>
      <c r="G402" s="683" t="n"/>
      <c r="H402" s="683" t="n"/>
      <c r="I402" s="683" t="n"/>
      <c r="J402" s="683" t="n"/>
      <c r="K402" s="683" t="n"/>
      <c r="L402" s="683" t="n"/>
      <c r="M402" s="683" t="n"/>
      <c r="N402" s="683" t="n"/>
      <c r="O402" s="683" t="n"/>
      <c r="P402" s="683" t="n"/>
      <c r="Q402" s="683" t="n"/>
      <c r="R402" s="683" t="n"/>
      <c r="S402" s="683" t="n"/>
      <c r="T402" s="683" t="n"/>
      <c r="U402" s="683" t="n"/>
      <c r="V402" s="683" t="n"/>
      <c r="W402" s="683" t="n"/>
      <c r="X402" s="683" t="n"/>
      <c r="Y402" s="683" t="n"/>
    </row>
    <row r="403">
      <c r="A403" s="683" t="n"/>
      <c r="B403" s="683" t="n"/>
      <c r="C403" s="683" t="n"/>
      <c r="D403" s="683" t="n"/>
      <c r="E403" s="683" t="n"/>
      <c r="F403" s="683" t="n"/>
      <c r="G403" s="683" t="n"/>
      <c r="H403" s="683" t="n"/>
      <c r="I403" s="683" t="n"/>
      <c r="J403" s="683" t="n"/>
      <c r="K403" s="683" t="n"/>
      <c r="L403" s="683" t="n"/>
      <c r="M403" s="683" t="n"/>
      <c r="N403" s="683" t="n"/>
      <c r="O403" s="683" t="n"/>
      <c r="P403" s="683" t="n"/>
      <c r="Q403" s="683" t="n"/>
      <c r="R403" s="683" t="n"/>
      <c r="S403" s="683" t="n"/>
      <c r="T403" s="683" t="n"/>
      <c r="U403" s="683" t="n"/>
      <c r="V403" s="683" t="n"/>
      <c r="W403" s="683" t="n"/>
      <c r="X403" s="683" t="n"/>
      <c r="Y403" s="683" t="n"/>
    </row>
    <row r="404">
      <c r="A404" s="683" t="n"/>
      <c r="B404" s="683" t="n"/>
      <c r="C404" s="683" t="n"/>
      <c r="D404" s="683" t="n"/>
      <c r="E404" s="683" t="n"/>
      <c r="F404" s="683" t="n"/>
      <c r="G404" s="683" t="n"/>
      <c r="H404" s="683" t="n"/>
      <c r="I404" s="683" t="n"/>
      <c r="J404" s="683" t="n"/>
      <c r="K404" s="683" t="n"/>
      <c r="L404" s="683" t="n"/>
      <c r="M404" s="683" t="n"/>
      <c r="N404" s="683" t="n"/>
      <c r="O404" s="683" t="n"/>
      <c r="P404" s="683" t="n"/>
      <c r="Q404" s="683" t="n"/>
      <c r="R404" s="683" t="n"/>
      <c r="S404" s="683" t="n"/>
      <c r="T404" s="683" t="n"/>
      <c r="U404" s="683" t="n"/>
      <c r="V404" s="683" t="n"/>
      <c r="W404" s="683" t="n"/>
      <c r="X404" s="683" t="n"/>
      <c r="Y404" s="683" t="n"/>
    </row>
    <row r="405">
      <c r="A405" s="683" t="n"/>
      <c r="B405" s="683" t="n"/>
      <c r="C405" s="683" t="n"/>
      <c r="D405" s="683" t="n"/>
      <c r="E405" s="683" t="n"/>
      <c r="F405" s="683" t="n"/>
      <c r="G405" s="683" t="n"/>
      <c r="H405" s="683" t="n"/>
      <c r="I405" s="683" t="n"/>
      <c r="J405" s="683" t="n"/>
      <c r="K405" s="683" t="n"/>
      <c r="L405" s="683" t="n"/>
      <c r="M405" s="683" t="n"/>
      <c r="N405" s="683" t="n"/>
      <c r="O405" s="683" t="n"/>
      <c r="P405" s="683" t="n"/>
      <c r="Q405" s="683" t="n"/>
      <c r="R405" s="683" t="n"/>
      <c r="S405" s="683" t="n"/>
      <c r="T405" s="683" t="n"/>
      <c r="U405" s="683" t="n"/>
      <c r="V405" s="683" t="n"/>
      <c r="W405" s="683" t="n"/>
      <c r="X405" s="683" t="n"/>
      <c r="Y405" s="683" t="n"/>
    </row>
    <row r="406">
      <c r="A406" s="683" t="n"/>
      <c r="B406" s="683" t="n"/>
      <c r="C406" s="683" t="n"/>
      <c r="D406" s="683" t="n"/>
      <c r="E406" s="683" t="n"/>
      <c r="F406" s="683" t="n"/>
      <c r="G406" s="683" t="n"/>
      <c r="H406" s="683" t="n"/>
      <c r="I406" s="683" t="n"/>
      <c r="J406" s="683" t="n"/>
      <c r="K406" s="683" t="n"/>
      <c r="L406" s="683" t="n"/>
      <c r="M406" s="683" t="n"/>
      <c r="N406" s="683" t="n"/>
      <c r="O406" s="683" t="n"/>
      <c r="P406" s="683" t="n"/>
      <c r="Q406" s="683" t="n"/>
      <c r="R406" s="683" t="n"/>
      <c r="S406" s="683" t="n"/>
      <c r="T406" s="683" t="n"/>
      <c r="U406" s="683" t="n"/>
      <c r="V406" s="683" t="n"/>
      <c r="W406" s="683" t="n"/>
      <c r="X406" s="683" t="n"/>
      <c r="Y406" s="683" t="n"/>
    </row>
    <row r="407">
      <c r="A407" s="683" t="n"/>
      <c r="B407" s="683" t="n"/>
      <c r="C407" s="683" t="n"/>
      <c r="D407" s="683" t="n"/>
      <c r="E407" s="683" t="n"/>
      <c r="F407" s="683" t="n"/>
      <c r="G407" s="683" t="n"/>
      <c r="H407" s="683" t="n"/>
      <c r="I407" s="683" t="n"/>
      <c r="J407" s="683" t="n"/>
      <c r="K407" s="683" t="n"/>
      <c r="L407" s="683" t="n"/>
      <c r="M407" s="683" t="n"/>
      <c r="N407" s="683" t="n"/>
      <c r="O407" s="683" t="n"/>
      <c r="P407" s="683" t="n"/>
      <c r="Q407" s="683" t="n"/>
      <c r="R407" s="683" t="n"/>
      <c r="S407" s="683" t="n"/>
      <c r="T407" s="683" t="n"/>
      <c r="U407" s="683" t="n"/>
      <c r="V407" s="683" t="n"/>
      <c r="W407" s="683" t="n"/>
      <c r="X407" s="683" t="n"/>
      <c r="Y407" s="683" t="n"/>
    </row>
    <row r="408">
      <c r="A408" s="683" t="n"/>
      <c r="B408" s="683" t="n"/>
      <c r="C408" s="683" t="n"/>
      <c r="D408" s="683" t="n"/>
      <c r="E408" s="683" t="n"/>
      <c r="F408" s="683" t="n"/>
      <c r="G408" s="683" t="n"/>
      <c r="H408" s="683" t="n"/>
      <c r="I408" s="683" t="n"/>
      <c r="J408" s="683" t="n"/>
      <c r="K408" s="683" t="n"/>
      <c r="L408" s="683" t="n"/>
      <c r="M408" s="683" t="n"/>
      <c r="N408" s="683" t="n"/>
      <c r="O408" s="683" t="n"/>
      <c r="P408" s="683" t="n"/>
      <c r="Q408" s="683" t="n"/>
      <c r="R408" s="683" t="n"/>
      <c r="S408" s="683" t="n"/>
      <c r="T408" s="683" t="n"/>
      <c r="U408" s="683" t="n"/>
      <c r="V408" s="683" t="n"/>
      <c r="W408" s="683" t="n"/>
      <c r="X408" s="683" t="n"/>
      <c r="Y408" s="683" t="n"/>
    </row>
    <row r="409">
      <c r="A409" s="683" t="n"/>
      <c r="B409" s="683" t="n"/>
      <c r="C409" s="683" t="n"/>
      <c r="D409" s="683" t="n"/>
      <c r="E409" s="683" t="n"/>
      <c r="F409" s="683" t="n"/>
      <c r="G409" s="683" t="n"/>
      <c r="H409" s="683" t="n"/>
      <c r="I409" s="683" t="n"/>
      <c r="J409" s="683" t="n"/>
      <c r="K409" s="683" t="n"/>
      <c r="L409" s="683" t="n"/>
      <c r="M409" s="683" t="n"/>
      <c r="N409" s="683" t="n"/>
      <c r="O409" s="683" t="n"/>
      <c r="P409" s="683" t="n"/>
      <c r="Q409" s="683" t="n"/>
      <c r="R409" s="683" t="n"/>
      <c r="S409" s="683" t="n"/>
      <c r="T409" s="683" t="n"/>
      <c r="U409" s="683" t="n"/>
      <c r="V409" s="683" t="n"/>
      <c r="W409" s="683" t="n"/>
      <c r="X409" s="683" t="n"/>
      <c r="Y409" s="683" t="n"/>
    </row>
    <row r="410">
      <c r="A410" s="683" t="n"/>
      <c r="B410" s="683" t="n"/>
      <c r="C410" s="683" t="n"/>
      <c r="D410" s="683" t="n"/>
      <c r="E410" s="683" t="n"/>
      <c r="F410" s="683" t="n"/>
      <c r="G410" s="683" t="n"/>
      <c r="H410" s="683" t="n"/>
      <c r="I410" s="683" t="n"/>
      <c r="J410" s="683" t="n"/>
      <c r="K410" s="683" t="n"/>
      <c r="L410" s="683" t="n"/>
      <c r="M410" s="683" t="n"/>
      <c r="N410" s="683" t="n"/>
      <c r="O410" s="683" t="n"/>
      <c r="P410" s="683" t="n"/>
      <c r="Q410" s="683" t="n"/>
      <c r="R410" s="683" t="n"/>
      <c r="S410" s="683" t="n"/>
      <c r="T410" s="683" t="n"/>
      <c r="U410" s="683" t="n"/>
      <c r="V410" s="683" t="n"/>
      <c r="W410" s="683" t="n"/>
      <c r="X410" s="683" t="n"/>
      <c r="Y410" s="683" t="n"/>
    </row>
    <row r="411">
      <c r="A411" s="683" t="n"/>
      <c r="B411" s="683" t="n"/>
      <c r="C411" s="683" t="n"/>
      <c r="D411" s="683" t="n"/>
      <c r="E411" s="683" t="n"/>
      <c r="F411" s="683" t="n"/>
      <c r="G411" s="683" t="n"/>
      <c r="H411" s="683" t="n"/>
      <c r="I411" s="683" t="n"/>
      <c r="J411" s="683" t="n"/>
      <c r="K411" s="683" t="n"/>
      <c r="L411" s="683" t="n"/>
      <c r="M411" s="683" t="n"/>
      <c r="N411" s="683" t="n"/>
      <c r="O411" s="683" t="n"/>
      <c r="P411" s="683" t="n"/>
      <c r="Q411" s="683" t="n"/>
      <c r="R411" s="683" t="n"/>
      <c r="S411" s="683" t="n"/>
      <c r="T411" s="683" t="n"/>
      <c r="U411" s="683" t="n"/>
      <c r="V411" s="683" t="n"/>
      <c r="W411" s="683" t="n"/>
      <c r="X411" s="683" t="n"/>
      <c r="Y411" s="683" t="n"/>
    </row>
    <row r="412">
      <c r="A412" s="683" t="n"/>
      <c r="B412" s="683" t="n"/>
      <c r="C412" s="683" t="n"/>
      <c r="D412" s="683" t="n"/>
      <c r="E412" s="683" t="n"/>
      <c r="F412" s="683" t="n"/>
      <c r="G412" s="683" t="n"/>
      <c r="H412" s="683" t="n"/>
      <c r="I412" s="683" t="n"/>
      <c r="J412" s="683" t="n"/>
      <c r="K412" s="683" t="n"/>
      <c r="L412" s="683" t="n"/>
      <c r="M412" s="683" t="n"/>
      <c r="N412" s="683" t="n"/>
      <c r="O412" s="683" t="n"/>
      <c r="P412" s="683" t="n"/>
      <c r="Q412" s="683" t="n"/>
      <c r="R412" s="683" t="n"/>
      <c r="S412" s="683" t="n"/>
      <c r="T412" s="683" t="n"/>
      <c r="U412" s="683" t="n"/>
      <c r="V412" s="683" t="n"/>
      <c r="W412" s="683" t="n"/>
      <c r="X412" s="683" t="n"/>
      <c r="Y412" s="683" t="n"/>
    </row>
    <row r="413">
      <c r="A413" s="683" t="n"/>
      <c r="B413" s="683" t="n"/>
      <c r="C413" s="683" t="n"/>
      <c r="D413" s="683" t="n"/>
      <c r="E413" s="683" t="n"/>
      <c r="F413" s="683" t="n"/>
      <c r="G413" s="683" t="n"/>
      <c r="H413" s="683" t="n"/>
      <c r="I413" s="683" t="n"/>
      <c r="J413" s="683" t="n"/>
      <c r="K413" s="683" t="n"/>
      <c r="L413" s="683" t="n"/>
      <c r="M413" s="683" t="n"/>
      <c r="N413" s="683" t="n"/>
      <c r="O413" s="683" t="n"/>
      <c r="P413" s="683" t="n"/>
      <c r="Q413" s="683" t="n"/>
      <c r="R413" s="683" t="n"/>
      <c r="S413" s="683" t="n"/>
      <c r="T413" s="683" t="n"/>
      <c r="U413" s="683" t="n"/>
      <c r="V413" s="683" t="n"/>
      <c r="W413" s="683" t="n"/>
      <c r="X413" s="683" t="n"/>
      <c r="Y413" s="683" t="n"/>
    </row>
    <row r="414">
      <c r="A414" s="683" t="n"/>
      <c r="B414" s="683" t="n"/>
      <c r="C414" s="683" t="n"/>
      <c r="D414" s="683" t="n"/>
      <c r="E414" s="683" t="n"/>
      <c r="F414" s="683" t="n"/>
      <c r="G414" s="683" t="n"/>
      <c r="H414" s="683" t="n"/>
      <c r="I414" s="683" t="n"/>
      <c r="J414" s="683" t="n"/>
      <c r="K414" s="683" t="n"/>
      <c r="L414" s="683" t="n"/>
      <c r="M414" s="683" t="n"/>
      <c r="N414" s="683" t="n"/>
      <c r="O414" s="683" t="n"/>
      <c r="P414" s="683" t="n"/>
      <c r="Q414" s="683" t="n"/>
      <c r="R414" s="683" t="n"/>
      <c r="S414" s="683" t="n"/>
      <c r="T414" s="683" t="n"/>
      <c r="U414" s="683" t="n"/>
      <c r="V414" s="683" t="n"/>
      <c r="W414" s="683" t="n"/>
      <c r="X414" s="683" t="n"/>
      <c r="Y414" s="683" t="n"/>
    </row>
    <row r="415">
      <c r="A415" s="683" t="n"/>
      <c r="B415" s="683" t="n"/>
      <c r="C415" s="683" t="n"/>
      <c r="D415" s="683" t="n"/>
      <c r="E415" s="683" t="n"/>
      <c r="F415" s="683" t="n"/>
      <c r="G415" s="683" t="n"/>
      <c r="H415" s="683" t="n"/>
      <c r="I415" s="683" t="n"/>
      <c r="J415" s="683" t="n"/>
      <c r="K415" s="683" t="n"/>
      <c r="L415" s="683" t="n"/>
      <c r="M415" s="683" t="n"/>
      <c r="N415" s="683" t="n"/>
      <c r="O415" s="683" t="n"/>
      <c r="P415" s="683" t="n"/>
      <c r="Q415" s="683" t="n"/>
      <c r="R415" s="683" t="n"/>
      <c r="S415" s="683" t="n"/>
      <c r="T415" s="683" t="n"/>
      <c r="U415" s="683" t="n"/>
      <c r="V415" s="683" t="n"/>
      <c r="W415" s="683" t="n"/>
      <c r="X415" s="683" t="n"/>
      <c r="Y415" s="683" t="n"/>
    </row>
    <row r="416">
      <c r="A416" s="683" t="n"/>
      <c r="B416" s="683" t="n"/>
      <c r="C416" s="683" t="n"/>
      <c r="D416" s="683" t="n"/>
      <c r="E416" s="683" t="n"/>
      <c r="F416" s="683" t="n"/>
      <c r="G416" s="683" t="n"/>
      <c r="H416" s="683" t="n"/>
      <c r="I416" s="683" t="n"/>
      <c r="J416" s="683" t="n"/>
      <c r="K416" s="683" t="n"/>
      <c r="L416" s="683" t="n"/>
      <c r="M416" s="683" t="n"/>
      <c r="N416" s="683" t="n"/>
      <c r="O416" s="683" t="n"/>
      <c r="P416" s="683" t="n"/>
      <c r="Q416" s="683" t="n"/>
      <c r="R416" s="683" t="n"/>
      <c r="S416" s="683" t="n"/>
      <c r="T416" s="683" t="n"/>
      <c r="U416" s="683" t="n"/>
      <c r="V416" s="683" t="n"/>
      <c r="W416" s="683" t="n"/>
      <c r="X416" s="683" t="n"/>
      <c r="Y416" s="683" t="n"/>
    </row>
    <row r="417">
      <c r="A417" s="683" t="n"/>
      <c r="B417" s="683" t="n"/>
      <c r="C417" s="683" t="n"/>
      <c r="D417" s="683" t="n"/>
      <c r="E417" s="683" t="n"/>
      <c r="F417" s="683" t="n"/>
      <c r="G417" s="683" t="n"/>
      <c r="H417" s="683" t="n"/>
      <c r="I417" s="683" t="n"/>
      <c r="J417" s="683" t="n"/>
      <c r="K417" s="683" t="n"/>
      <c r="L417" s="683" t="n"/>
      <c r="M417" s="683" t="n"/>
      <c r="N417" s="683" t="n"/>
      <c r="O417" s="683" t="n"/>
      <c r="P417" s="683" t="n"/>
      <c r="Q417" s="683" t="n"/>
      <c r="R417" s="683" t="n"/>
      <c r="S417" s="683" t="n"/>
      <c r="T417" s="683" t="n"/>
      <c r="U417" s="683" t="n"/>
      <c r="V417" s="683" t="n"/>
      <c r="W417" s="683" t="n"/>
      <c r="X417" s="683" t="n"/>
      <c r="Y417" s="683" t="n"/>
    </row>
    <row r="418">
      <c r="A418" s="683" t="n"/>
      <c r="B418" s="683" t="n"/>
      <c r="C418" s="683" t="n"/>
      <c r="D418" s="683" t="n"/>
      <c r="E418" s="683" t="n"/>
      <c r="F418" s="683" t="n"/>
      <c r="G418" s="683" t="n"/>
      <c r="H418" s="683" t="n"/>
      <c r="I418" s="683" t="n"/>
      <c r="J418" s="683" t="n"/>
      <c r="K418" s="683" t="n"/>
      <c r="L418" s="683" t="n"/>
      <c r="M418" s="683" t="n"/>
      <c r="N418" s="683" t="n"/>
      <c r="O418" s="683" t="n"/>
      <c r="P418" s="683" t="n"/>
      <c r="Q418" s="683" t="n"/>
      <c r="R418" s="683" t="n"/>
      <c r="S418" s="683" t="n"/>
      <c r="T418" s="683" t="n"/>
      <c r="U418" s="683" t="n"/>
      <c r="V418" s="683" t="n"/>
      <c r="W418" s="683" t="n"/>
      <c r="X418" s="683" t="n"/>
      <c r="Y418" s="683" t="n"/>
    </row>
    <row r="419">
      <c r="A419" s="683" t="n"/>
      <c r="B419" s="683" t="n"/>
      <c r="C419" s="683" t="n"/>
      <c r="D419" s="683" t="n"/>
      <c r="E419" s="683" t="n"/>
      <c r="F419" s="683" t="n"/>
      <c r="G419" s="683" t="n"/>
      <c r="H419" s="683" t="n"/>
      <c r="I419" s="683" t="n"/>
      <c r="J419" s="683" t="n"/>
      <c r="K419" s="683" t="n"/>
      <c r="L419" s="683" t="n"/>
      <c r="M419" s="683" t="n"/>
      <c r="N419" s="683" t="n"/>
      <c r="O419" s="683" t="n"/>
      <c r="P419" s="683" t="n"/>
      <c r="Q419" s="683" t="n"/>
      <c r="R419" s="683" t="n"/>
      <c r="S419" s="683" t="n"/>
      <c r="T419" s="683" t="n"/>
      <c r="U419" s="683" t="n"/>
      <c r="V419" s="683" t="n"/>
      <c r="W419" s="683" t="n"/>
      <c r="X419" s="683" t="n"/>
      <c r="Y419" s="683" t="n"/>
    </row>
    <row r="420">
      <c r="A420" s="683" t="n"/>
      <c r="B420" s="683" t="n"/>
      <c r="C420" s="683" t="n"/>
      <c r="D420" s="683" t="n"/>
      <c r="E420" s="683" t="n"/>
      <c r="F420" s="683" t="n"/>
      <c r="G420" s="683" t="n"/>
      <c r="H420" s="683" t="n"/>
      <c r="I420" s="683" t="n"/>
      <c r="J420" s="683" t="n"/>
      <c r="K420" s="683" t="n"/>
      <c r="L420" s="683" t="n"/>
      <c r="M420" s="683" t="n"/>
      <c r="N420" s="683" t="n"/>
      <c r="O420" s="683" t="n"/>
      <c r="P420" s="683" t="n"/>
      <c r="Q420" s="683" t="n"/>
      <c r="R420" s="683" t="n"/>
      <c r="S420" s="683" t="n"/>
      <c r="T420" s="683" t="n"/>
      <c r="U420" s="683" t="n"/>
      <c r="V420" s="683" t="n"/>
      <c r="W420" s="683" t="n"/>
      <c r="X420" s="683" t="n"/>
      <c r="Y420" s="683" t="n"/>
    </row>
    <row r="421">
      <c r="A421" s="683" t="n"/>
      <c r="B421" s="683" t="n"/>
      <c r="C421" s="683" t="n"/>
      <c r="D421" s="683" t="n"/>
      <c r="E421" s="683" t="n"/>
      <c r="F421" s="683" t="n"/>
      <c r="G421" s="683" t="n"/>
      <c r="H421" s="683" t="n"/>
      <c r="I421" s="683" t="n"/>
      <c r="J421" s="683" t="n"/>
      <c r="K421" s="683" t="n"/>
      <c r="L421" s="683" t="n"/>
      <c r="M421" s="683" t="n"/>
      <c r="N421" s="683" t="n"/>
      <c r="O421" s="683" t="n"/>
      <c r="P421" s="683" t="n"/>
      <c r="Q421" s="683" t="n"/>
      <c r="R421" s="683" t="n"/>
      <c r="S421" s="683" t="n"/>
      <c r="T421" s="683" t="n"/>
      <c r="U421" s="683" t="n"/>
      <c r="V421" s="683" t="n"/>
      <c r="W421" s="683" t="n"/>
      <c r="X421" s="683" t="n"/>
      <c r="Y421" s="683" t="n"/>
    </row>
    <row r="422">
      <c r="A422" s="683" t="n"/>
      <c r="B422" s="683" t="n"/>
      <c r="C422" s="683" t="n"/>
      <c r="D422" s="683" t="n"/>
      <c r="E422" s="683" t="n"/>
      <c r="F422" s="683" t="n"/>
      <c r="G422" s="683" t="n"/>
      <c r="H422" s="683" t="n"/>
      <c r="I422" s="683" t="n"/>
      <c r="J422" s="683" t="n"/>
      <c r="K422" s="683" t="n"/>
      <c r="L422" s="683" t="n"/>
      <c r="M422" s="683" t="n"/>
      <c r="N422" s="683" t="n"/>
      <c r="O422" s="683" t="n"/>
      <c r="P422" s="683" t="n"/>
      <c r="Q422" s="683" t="n"/>
      <c r="R422" s="683" t="n"/>
      <c r="S422" s="683" t="n"/>
      <c r="T422" s="683" t="n"/>
      <c r="U422" s="683" t="n"/>
      <c r="V422" s="683" t="n"/>
      <c r="W422" s="683" t="n"/>
      <c r="X422" s="683" t="n"/>
      <c r="Y422" s="683" t="n"/>
    </row>
    <row r="423">
      <c r="A423" s="683" t="n"/>
      <c r="B423" s="683" t="n"/>
      <c r="C423" s="683" t="n"/>
      <c r="D423" s="683" t="n"/>
      <c r="E423" s="683" t="n"/>
      <c r="F423" s="683" t="n"/>
      <c r="G423" s="683" t="n"/>
      <c r="H423" s="683" t="n"/>
      <c r="I423" s="683" t="n"/>
      <c r="J423" s="683" t="n"/>
      <c r="K423" s="683" t="n"/>
      <c r="L423" s="683" t="n"/>
      <c r="M423" s="683" t="n"/>
      <c r="N423" s="683" t="n"/>
      <c r="O423" s="683" t="n"/>
      <c r="P423" s="683" t="n"/>
      <c r="Q423" s="683" t="n"/>
      <c r="R423" s="683" t="n"/>
      <c r="S423" s="683" t="n"/>
      <c r="T423" s="683" t="n"/>
      <c r="U423" s="683" t="n"/>
      <c r="V423" s="683" t="n"/>
      <c r="W423" s="683" t="n"/>
      <c r="X423" s="683" t="n"/>
      <c r="Y423" s="683" t="n"/>
    </row>
    <row r="424">
      <c r="A424" s="683" t="n"/>
      <c r="B424" s="683" t="n"/>
      <c r="C424" s="683" t="n"/>
      <c r="D424" s="683" t="n"/>
      <c r="E424" s="683" t="n"/>
      <c r="F424" s="683" t="n"/>
      <c r="G424" s="683" t="n"/>
      <c r="H424" s="683" t="n"/>
      <c r="I424" s="683" t="n"/>
      <c r="J424" s="683" t="n"/>
      <c r="K424" s="683" t="n"/>
      <c r="L424" s="683" t="n"/>
      <c r="M424" s="683" t="n"/>
      <c r="N424" s="683" t="n"/>
      <c r="O424" s="683" t="n"/>
      <c r="P424" s="683" t="n"/>
      <c r="Q424" s="683" t="n"/>
      <c r="R424" s="683" t="n"/>
      <c r="S424" s="683" t="n"/>
      <c r="T424" s="683" t="n"/>
      <c r="U424" s="683" t="n"/>
      <c r="V424" s="683" t="n"/>
      <c r="W424" s="683" t="n"/>
      <c r="X424" s="683" t="n"/>
      <c r="Y424" s="683" t="n"/>
    </row>
    <row r="425">
      <c r="A425" s="683" t="n"/>
      <c r="B425" s="683" t="n"/>
      <c r="C425" s="683" t="n"/>
      <c r="D425" s="683" t="n"/>
      <c r="E425" s="683" t="n"/>
      <c r="F425" s="683" t="n"/>
      <c r="G425" s="683" t="n"/>
      <c r="H425" s="683" t="n"/>
      <c r="I425" s="683" t="n"/>
      <c r="J425" s="683" t="n"/>
      <c r="K425" s="683" t="n"/>
      <c r="L425" s="683" t="n"/>
      <c r="M425" s="683" t="n"/>
      <c r="N425" s="683" t="n"/>
      <c r="O425" s="683" t="n"/>
      <c r="P425" s="683" t="n"/>
      <c r="Q425" s="683" t="n"/>
      <c r="R425" s="683" t="n"/>
      <c r="S425" s="683" t="n"/>
      <c r="T425" s="683" t="n"/>
      <c r="U425" s="683" t="n"/>
      <c r="V425" s="683" t="n"/>
      <c r="W425" s="683" t="n"/>
      <c r="X425" s="683" t="n"/>
      <c r="Y425" s="683" t="n"/>
    </row>
    <row r="426">
      <c r="A426" s="683" t="n"/>
      <c r="B426" s="683" t="n"/>
      <c r="C426" s="683" t="n"/>
      <c r="D426" s="683" t="n"/>
      <c r="E426" s="683" t="n"/>
      <c r="F426" s="683" t="n"/>
      <c r="G426" s="683" t="n"/>
      <c r="H426" s="683" t="n"/>
      <c r="I426" s="683" t="n"/>
      <c r="J426" s="683" t="n"/>
      <c r="K426" s="683" t="n"/>
      <c r="L426" s="683" t="n"/>
      <c r="M426" s="683" t="n"/>
      <c r="N426" s="683" t="n"/>
      <c r="O426" s="683" t="n"/>
      <c r="P426" s="683" t="n"/>
      <c r="Q426" s="683" t="n"/>
      <c r="R426" s="683" t="n"/>
      <c r="S426" s="683" t="n"/>
      <c r="T426" s="683" t="n"/>
      <c r="U426" s="683" t="n"/>
      <c r="V426" s="683" t="n"/>
      <c r="W426" s="683" t="n"/>
      <c r="X426" s="683" t="n"/>
      <c r="Y426" s="683" t="n"/>
    </row>
    <row r="427">
      <c r="A427" s="683" t="n"/>
      <c r="B427" s="683" t="n"/>
      <c r="C427" s="683" t="n"/>
      <c r="D427" s="683" t="n"/>
      <c r="E427" s="683" t="n"/>
      <c r="F427" s="683" t="n"/>
      <c r="G427" s="683" t="n"/>
      <c r="H427" s="683" t="n"/>
      <c r="I427" s="683" t="n"/>
      <c r="J427" s="683" t="n"/>
      <c r="K427" s="683" t="n"/>
      <c r="L427" s="683" t="n"/>
      <c r="M427" s="683" t="n"/>
      <c r="N427" s="683" t="n"/>
      <c r="O427" s="683" t="n"/>
      <c r="P427" s="683" t="n"/>
      <c r="Q427" s="683" t="n"/>
      <c r="R427" s="683" t="n"/>
      <c r="S427" s="683" t="n"/>
      <c r="T427" s="683" t="n"/>
      <c r="U427" s="683" t="n"/>
      <c r="V427" s="683" t="n"/>
      <c r="W427" s="683" t="n"/>
      <c r="X427" s="683" t="n"/>
      <c r="Y427" s="683" t="n"/>
    </row>
    <row r="428">
      <c r="A428" s="683" t="n"/>
      <c r="B428" s="683" t="n"/>
      <c r="C428" s="683" t="n"/>
      <c r="D428" s="683" t="n"/>
      <c r="E428" s="683" t="n"/>
      <c r="F428" s="683" t="n"/>
      <c r="G428" s="683" t="n"/>
      <c r="H428" s="683" t="n"/>
      <c r="I428" s="683" t="n"/>
      <c r="J428" s="683" t="n"/>
      <c r="K428" s="683" t="n"/>
      <c r="L428" s="683" t="n"/>
      <c r="M428" s="683" t="n"/>
      <c r="N428" s="683" t="n"/>
      <c r="O428" s="683" t="n"/>
      <c r="P428" s="683" t="n"/>
      <c r="Q428" s="683" t="n"/>
      <c r="R428" s="683" t="n"/>
      <c r="S428" s="683" t="n"/>
      <c r="T428" s="683" t="n"/>
      <c r="U428" s="683" t="n"/>
      <c r="V428" s="683" t="n"/>
      <c r="W428" s="683" t="n"/>
      <c r="X428" s="683" t="n"/>
      <c r="Y428" s="683" t="n"/>
    </row>
    <row r="429">
      <c r="A429" s="683" t="n"/>
      <c r="B429" s="683" t="n"/>
      <c r="C429" s="683" t="n"/>
      <c r="D429" s="683" t="n"/>
      <c r="E429" s="683" t="n"/>
      <c r="F429" s="683" t="n"/>
      <c r="G429" s="683" t="n"/>
      <c r="H429" s="683" t="n"/>
      <c r="I429" s="683" t="n"/>
      <c r="J429" s="683" t="n"/>
      <c r="K429" s="683" t="n"/>
      <c r="L429" s="683" t="n"/>
      <c r="M429" s="683" t="n"/>
      <c r="N429" s="683" t="n"/>
      <c r="O429" s="683" t="n"/>
      <c r="P429" s="683" t="n"/>
      <c r="Q429" s="683" t="n"/>
      <c r="R429" s="683" t="n"/>
      <c r="S429" s="683" t="n"/>
      <c r="T429" s="683" t="n"/>
      <c r="U429" s="683" t="n"/>
      <c r="V429" s="683" t="n"/>
      <c r="W429" s="683" t="n"/>
      <c r="X429" s="683" t="n"/>
      <c r="Y429" s="683" t="n"/>
    </row>
    <row r="430">
      <c r="A430" s="683" t="n"/>
      <c r="B430" s="683" t="n"/>
      <c r="C430" s="683" t="n"/>
      <c r="D430" s="683" t="n"/>
      <c r="E430" s="683" t="n"/>
      <c r="F430" s="683" t="n"/>
      <c r="G430" s="683" t="n"/>
      <c r="H430" s="683" t="n"/>
      <c r="I430" s="683" t="n"/>
      <c r="J430" s="683" t="n"/>
      <c r="K430" s="683" t="n"/>
      <c r="L430" s="683" t="n"/>
      <c r="M430" s="683" t="n"/>
      <c r="N430" s="683" t="n"/>
      <c r="O430" s="683" t="n"/>
      <c r="P430" s="683" t="n"/>
      <c r="Q430" s="683" t="n"/>
      <c r="R430" s="683" t="n"/>
      <c r="S430" s="683" t="n"/>
      <c r="T430" s="683" t="n"/>
      <c r="U430" s="683" t="n"/>
      <c r="V430" s="683" t="n"/>
      <c r="W430" s="683" t="n"/>
      <c r="X430" s="683" t="n"/>
      <c r="Y430" s="683" t="n"/>
    </row>
    <row r="431">
      <c r="A431" s="683" t="n"/>
      <c r="B431" s="683" t="n"/>
      <c r="C431" s="683" t="n"/>
      <c r="D431" s="683" t="n"/>
      <c r="E431" s="683" t="n"/>
      <c r="F431" s="683" t="n"/>
      <c r="G431" s="683" t="n"/>
      <c r="H431" s="683" t="n"/>
      <c r="I431" s="683" t="n"/>
      <c r="J431" s="683" t="n"/>
      <c r="K431" s="683" t="n"/>
      <c r="L431" s="683" t="n"/>
      <c r="M431" s="683" t="n"/>
      <c r="N431" s="683" t="n"/>
      <c r="O431" s="683" t="n"/>
      <c r="P431" s="683" t="n"/>
      <c r="Q431" s="683" t="n"/>
      <c r="R431" s="683" t="n"/>
      <c r="S431" s="683" t="n"/>
      <c r="T431" s="683" t="n"/>
      <c r="U431" s="683" t="n"/>
      <c r="V431" s="683" t="n"/>
      <c r="W431" s="683" t="n"/>
      <c r="X431" s="683" t="n"/>
      <c r="Y431" s="683" t="n"/>
    </row>
    <row r="432">
      <c r="A432" s="683" t="n"/>
      <c r="B432" s="683" t="n"/>
      <c r="C432" s="683" t="n"/>
      <c r="D432" s="683" t="n"/>
      <c r="E432" s="683" t="n"/>
      <c r="F432" s="683" t="n"/>
      <c r="G432" s="683" t="n"/>
      <c r="H432" s="683" t="n"/>
      <c r="I432" s="683" t="n"/>
      <c r="J432" s="683" t="n"/>
      <c r="K432" s="683" t="n"/>
      <c r="L432" s="683" t="n"/>
      <c r="M432" s="683" t="n"/>
      <c r="N432" s="683" t="n"/>
      <c r="O432" s="683" t="n"/>
      <c r="P432" s="683" t="n"/>
      <c r="Q432" s="683" t="n"/>
      <c r="R432" s="683" t="n"/>
      <c r="S432" s="683" t="n"/>
      <c r="T432" s="683" t="n"/>
      <c r="U432" s="683" t="n"/>
      <c r="V432" s="683" t="n"/>
      <c r="W432" s="683" t="n"/>
      <c r="X432" s="683" t="n"/>
      <c r="Y432" s="683" t="n"/>
    </row>
    <row r="433">
      <c r="A433" s="683" t="n"/>
      <c r="B433" s="683" t="n"/>
      <c r="C433" s="683" t="n"/>
      <c r="D433" s="683" t="n"/>
      <c r="E433" s="683" t="n"/>
      <c r="F433" s="683" t="n"/>
      <c r="G433" s="683" t="n"/>
      <c r="H433" s="683" t="n"/>
      <c r="I433" s="683" t="n"/>
      <c r="J433" s="683" t="n"/>
      <c r="K433" s="683" t="n"/>
      <c r="L433" s="683" t="n"/>
      <c r="M433" s="683" t="n"/>
      <c r="N433" s="683" t="n"/>
      <c r="O433" s="683" t="n"/>
      <c r="P433" s="683" t="n"/>
      <c r="Q433" s="683" t="n"/>
      <c r="R433" s="683" t="n"/>
      <c r="S433" s="683" t="n"/>
      <c r="T433" s="683" t="n"/>
      <c r="U433" s="683" t="n"/>
      <c r="V433" s="683" t="n"/>
      <c r="W433" s="683" t="n"/>
      <c r="X433" s="683" t="n"/>
      <c r="Y433" s="683" t="n"/>
    </row>
    <row r="434">
      <c r="A434" s="683" t="n"/>
      <c r="B434" s="683" t="n"/>
      <c r="C434" s="683" t="n"/>
      <c r="D434" s="683" t="n"/>
      <c r="E434" s="683" t="n"/>
      <c r="F434" s="683" t="n"/>
      <c r="G434" s="683" t="n"/>
      <c r="H434" s="683" t="n"/>
      <c r="I434" s="683" t="n"/>
      <c r="J434" s="683" t="n"/>
      <c r="K434" s="683" t="n"/>
      <c r="L434" s="683" t="n"/>
      <c r="M434" s="683" t="n"/>
      <c r="N434" s="683" t="n"/>
      <c r="O434" s="683" t="n"/>
      <c r="P434" s="683" t="n"/>
      <c r="Q434" s="683" t="n"/>
      <c r="R434" s="683" t="n"/>
      <c r="S434" s="683" t="n"/>
      <c r="T434" s="683" t="n"/>
      <c r="U434" s="683" t="n"/>
      <c r="V434" s="683" t="n"/>
      <c r="W434" s="683" t="n"/>
      <c r="X434" s="683" t="n"/>
      <c r="Y434" s="683" t="n"/>
    </row>
    <row r="435">
      <c r="A435" s="683" t="n"/>
      <c r="B435" s="683" t="n"/>
      <c r="C435" s="683" t="n"/>
      <c r="D435" s="683" t="n"/>
      <c r="E435" s="683" t="n"/>
      <c r="F435" s="683" t="n"/>
      <c r="G435" s="683" t="n"/>
      <c r="H435" s="683" t="n"/>
      <c r="I435" s="683" t="n"/>
      <c r="J435" s="683" t="n"/>
      <c r="K435" s="683" t="n"/>
      <c r="L435" s="683" t="n"/>
      <c r="M435" s="683" t="n"/>
      <c r="N435" s="683" t="n"/>
      <c r="O435" s="683" t="n"/>
      <c r="P435" s="683" t="n"/>
      <c r="Q435" s="683" t="n"/>
      <c r="R435" s="683" t="n"/>
      <c r="S435" s="683" t="n"/>
      <c r="T435" s="683" t="n"/>
      <c r="U435" s="683" t="n"/>
      <c r="V435" s="683" t="n"/>
      <c r="W435" s="683" t="n"/>
      <c r="X435" s="683" t="n"/>
      <c r="Y435" s="683" t="n"/>
    </row>
    <row r="436">
      <c r="A436" s="683" t="n"/>
      <c r="B436" s="683" t="n"/>
      <c r="C436" s="683" t="n"/>
      <c r="D436" s="683" t="n"/>
      <c r="E436" s="683" t="n"/>
      <c r="F436" s="683" t="n"/>
      <c r="G436" s="683" t="n"/>
      <c r="H436" s="683" t="n"/>
      <c r="I436" s="683" t="n"/>
      <c r="J436" s="683" t="n"/>
      <c r="K436" s="683" t="n"/>
      <c r="L436" s="683" t="n"/>
      <c r="M436" s="683" t="n"/>
      <c r="N436" s="683" t="n"/>
      <c r="O436" s="683" t="n"/>
      <c r="P436" s="683" t="n"/>
      <c r="Q436" s="683" t="n"/>
      <c r="R436" s="683" t="n"/>
      <c r="S436" s="683" t="n"/>
      <c r="T436" s="683" t="n"/>
      <c r="U436" s="683" t="n"/>
      <c r="V436" s="683" t="n"/>
      <c r="W436" s="683" t="n"/>
      <c r="X436" s="683" t="n"/>
      <c r="Y436" s="683" t="n"/>
    </row>
    <row r="437">
      <c r="A437" s="683" t="n"/>
      <c r="B437" s="683" t="n"/>
      <c r="C437" s="683" t="n"/>
      <c r="D437" s="683" t="n"/>
      <c r="E437" s="683" t="n"/>
      <c r="F437" s="683" t="n"/>
      <c r="G437" s="683" t="n"/>
      <c r="H437" s="683" t="n"/>
      <c r="I437" s="683" t="n"/>
      <c r="J437" s="683" t="n"/>
      <c r="K437" s="683" t="n"/>
      <c r="L437" s="683" t="n"/>
      <c r="M437" s="683" t="n"/>
      <c r="N437" s="683" t="n"/>
      <c r="O437" s="683" t="n"/>
      <c r="P437" s="683" t="n"/>
      <c r="Q437" s="683" t="n"/>
      <c r="R437" s="683" t="n"/>
      <c r="S437" s="683" t="n"/>
      <c r="T437" s="683" t="n"/>
      <c r="U437" s="683" t="n"/>
      <c r="V437" s="683" t="n"/>
      <c r="W437" s="683" t="n"/>
      <c r="X437" s="683" t="n"/>
      <c r="Y437" s="683" t="n"/>
    </row>
    <row r="438">
      <c r="A438" s="683" t="n"/>
      <c r="B438" s="683" t="n"/>
      <c r="C438" s="683" t="n"/>
      <c r="D438" s="683" t="n"/>
      <c r="E438" s="683" t="n"/>
      <c r="F438" s="683" t="n"/>
      <c r="G438" s="683" t="n"/>
      <c r="H438" s="683" t="n"/>
      <c r="I438" s="683" t="n"/>
      <c r="J438" s="683" t="n"/>
      <c r="K438" s="683" t="n"/>
      <c r="L438" s="683" t="n"/>
      <c r="M438" s="683" t="n"/>
      <c r="N438" s="683" t="n"/>
      <c r="O438" s="683" t="n"/>
      <c r="P438" s="683" t="n"/>
      <c r="Q438" s="683" t="n"/>
      <c r="R438" s="683" t="n"/>
      <c r="S438" s="683" t="n"/>
      <c r="T438" s="683" t="n"/>
      <c r="U438" s="683" t="n"/>
      <c r="V438" s="683" t="n"/>
      <c r="W438" s="683" t="n"/>
      <c r="X438" s="683" t="n"/>
      <c r="Y438" s="683" t="n"/>
    </row>
    <row r="439">
      <c r="A439" s="683" t="n"/>
      <c r="B439" s="683" t="n"/>
      <c r="C439" s="683" t="n"/>
      <c r="D439" s="683" t="n"/>
      <c r="E439" s="683" t="n"/>
      <c r="F439" s="683" t="n"/>
      <c r="G439" s="683" t="n"/>
      <c r="H439" s="683" t="n"/>
      <c r="I439" s="683" t="n"/>
      <c r="J439" s="683" t="n"/>
      <c r="K439" s="683" t="n"/>
      <c r="L439" s="683" t="n"/>
      <c r="M439" s="683" t="n"/>
      <c r="N439" s="683" t="n"/>
      <c r="O439" s="683" t="n"/>
      <c r="P439" s="683" t="n"/>
      <c r="Q439" s="683" t="n"/>
      <c r="R439" s="683" t="n"/>
      <c r="S439" s="683" t="n"/>
      <c r="T439" s="683" t="n"/>
      <c r="U439" s="683" t="n"/>
      <c r="V439" s="683" t="n"/>
      <c r="W439" s="683" t="n"/>
      <c r="X439" s="683" t="n"/>
      <c r="Y439" s="683" t="n"/>
    </row>
    <row r="440">
      <c r="A440" s="683" t="n"/>
      <c r="B440" s="683" t="n"/>
      <c r="C440" s="683" t="n"/>
      <c r="D440" s="683" t="n"/>
      <c r="E440" s="683" t="n"/>
      <c r="F440" s="683" t="n"/>
      <c r="G440" s="683" t="n"/>
      <c r="H440" s="683" t="n"/>
      <c r="I440" s="683" t="n"/>
      <c r="J440" s="683" t="n"/>
      <c r="K440" s="683" t="n"/>
      <c r="L440" s="683" t="n"/>
      <c r="M440" s="683" t="n"/>
      <c r="N440" s="683" t="n"/>
      <c r="O440" s="683" t="n"/>
      <c r="P440" s="683" t="n"/>
      <c r="Q440" s="683" t="n"/>
      <c r="R440" s="683" t="n"/>
      <c r="S440" s="683" t="n"/>
      <c r="T440" s="683" t="n"/>
      <c r="U440" s="683" t="n"/>
      <c r="V440" s="683" t="n"/>
      <c r="W440" s="683" t="n"/>
      <c r="X440" s="683" t="n"/>
      <c r="Y440" s="683" t="n"/>
    </row>
    <row r="441">
      <c r="A441" s="683" t="n"/>
      <c r="B441" s="683" t="n"/>
      <c r="C441" s="683" t="n"/>
      <c r="D441" s="683" t="n"/>
      <c r="E441" s="683" t="n"/>
      <c r="F441" s="683" t="n"/>
      <c r="G441" s="683" t="n"/>
      <c r="H441" s="683" t="n"/>
      <c r="I441" s="683" t="n"/>
      <c r="J441" s="683" t="n"/>
      <c r="K441" s="683" t="n"/>
      <c r="L441" s="683" t="n"/>
      <c r="M441" s="683" t="n"/>
      <c r="N441" s="683" t="n"/>
      <c r="O441" s="683" t="n"/>
      <c r="P441" s="683" t="n"/>
      <c r="Q441" s="683" t="n"/>
      <c r="R441" s="683" t="n"/>
      <c r="S441" s="683" t="n"/>
      <c r="T441" s="683" t="n"/>
      <c r="U441" s="683" t="n"/>
      <c r="V441" s="683" t="n"/>
      <c r="W441" s="683" t="n"/>
      <c r="X441" s="683" t="n"/>
      <c r="Y441" s="683" t="n"/>
    </row>
    <row r="442">
      <c r="A442" s="683" t="n"/>
      <c r="B442" s="683" t="n"/>
      <c r="C442" s="683" t="n"/>
      <c r="D442" s="683" t="n"/>
      <c r="E442" s="683" t="n"/>
      <c r="F442" s="683" t="n"/>
      <c r="G442" s="683" t="n"/>
      <c r="H442" s="683" t="n"/>
      <c r="I442" s="683" t="n"/>
      <c r="J442" s="683" t="n"/>
      <c r="K442" s="683" t="n"/>
      <c r="L442" s="683" t="n"/>
      <c r="M442" s="683" t="n"/>
      <c r="N442" s="683" t="n"/>
      <c r="O442" s="683" t="n"/>
      <c r="P442" s="683" t="n"/>
      <c r="Q442" s="683" t="n"/>
      <c r="R442" s="683" t="n"/>
      <c r="S442" s="683" t="n"/>
      <c r="T442" s="683" t="n"/>
      <c r="U442" s="683" t="n"/>
      <c r="V442" s="683" t="n"/>
      <c r="W442" s="683" t="n"/>
      <c r="X442" s="683" t="n"/>
      <c r="Y442" s="683" t="n"/>
    </row>
    <row r="443">
      <c r="A443" s="683" t="n"/>
      <c r="B443" s="683" t="n"/>
      <c r="C443" s="683" t="n"/>
      <c r="D443" s="683" t="n"/>
      <c r="E443" s="683" t="n"/>
      <c r="F443" s="683" t="n"/>
      <c r="G443" s="683" t="n"/>
      <c r="H443" s="683" t="n"/>
      <c r="I443" s="683" t="n"/>
      <c r="J443" s="683" t="n"/>
      <c r="K443" s="683" t="n"/>
      <c r="L443" s="683" t="n"/>
      <c r="M443" s="683" t="n"/>
      <c r="N443" s="683" t="n"/>
      <c r="O443" s="683" t="n"/>
      <c r="P443" s="683" t="n"/>
      <c r="Q443" s="683" t="n"/>
      <c r="R443" s="683" t="n"/>
      <c r="S443" s="683" t="n"/>
      <c r="T443" s="683" t="n"/>
      <c r="U443" s="683" t="n"/>
      <c r="V443" s="683" t="n"/>
      <c r="W443" s="683" t="n"/>
      <c r="X443" s="683" t="n"/>
      <c r="Y443" s="683" t="n"/>
    </row>
    <row r="444">
      <c r="A444" s="683" t="n"/>
      <c r="B444" s="683" t="n"/>
      <c r="C444" s="683" t="n"/>
      <c r="D444" s="683" t="n"/>
      <c r="E444" s="683" t="n"/>
      <c r="F444" s="683" t="n"/>
      <c r="G444" s="683" t="n"/>
      <c r="H444" s="683" t="n"/>
      <c r="I444" s="683" t="n"/>
      <c r="J444" s="683" t="n"/>
      <c r="K444" s="683" t="n"/>
      <c r="L444" s="683" t="n"/>
      <c r="M444" s="683" t="n"/>
      <c r="N444" s="683" t="n"/>
      <c r="O444" s="683" t="n"/>
      <c r="P444" s="683" t="n"/>
      <c r="Q444" s="683" t="n"/>
      <c r="R444" s="683" t="n"/>
      <c r="S444" s="683" t="n"/>
      <c r="T444" s="683" t="n"/>
      <c r="U444" s="683" t="n"/>
      <c r="V444" s="683" t="n"/>
      <c r="W444" s="683" t="n"/>
      <c r="X444" s="683" t="n"/>
      <c r="Y444" s="683" t="n"/>
    </row>
    <row r="445">
      <c r="A445" s="683" t="n"/>
      <c r="B445" s="683" t="n"/>
      <c r="C445" s="683" t="n"/>
      <c r="D445" s="683" t="n"/>
      <c r="E445" s="683" t="n"/>
      <c r="F445" s="683" t="n"/>
      <c r="G445" s="683" t="n"/>
      <c r="H445" s="683" t="n"/>
      <c r="I445" s="683" t="n"/>
      <c r="J445" s="683" t="n"/>
      <c r="K445" s="683" t="n"/>
      <c r="L445" s="683" t="n"/>
      <c r="M445" s="683" t="n"/>
      <c r="N445" s="683" t="n"/>
      <c r="O445" s="683" t="n"/>
      <c r="P445" s="683" t="n"/>
      <c r="Q445" s="683" t="n"/>
      <c r="R445" s="683" t="n"/>
      <c r="S445" s="683" t="n"/>
      <c r="T445" s="683" t="n"/>
      <c r="U445" s="683" t="n"/>
      <c r="V445" s="683" t="n"/>
      <c r="W445" s="683" t="n"/>
      <c r="X445" s="683" t="n"/>
      <c r="Y445" s="683" t="n"/>
    </row>
    <row r="446">
      <c r="A446" s="683" t="n"/>
      <c r="B446" s="683" t="n"/>
      <c r="C446" s="683" t="n"/>
      <c r="D446" s="683" t="n"/>
      <c r="E446" s="683" t="n"/>
      <c r="F446" s="683" t="n"/>
      <c r="G446" s="683" t="n"/>
      <c r="H446" s="683" t="n"/>
      <c r="I446" s="683" t="n"/>
      <c r="J446" s="683" t="n"/>
      <c r="K446" s="683" t="n"/>
      <c r="L446" s="683" t="n"/>
      <c r="M446" s="683" t="n"/>
      <c r="N446" s="683" t="n"/>
      <c r="O446" s="683" t="n"/>
      <c r="P446" s="683" t="n"/>
      <c r="Q446" s="683" t="n"/>
      <c r="R446" s="683" t="n"/>
      <c r="S446" s="683" t="n"/>
      <c r="T446" s="683" t="n"/>
      <c r="U446" s="683" t="n"/>
      <c r="V446" s="683" t="n"/>
      <c r="W446" s="683" t="n"/>
      <c r="X446" s="683" t="n"/>
      <c r="Y446" s="683" t="n"/>
    </row>
    <row r="447">
      <c r="A447" s="683" t="n"/>
      <c r="B447" s="683" t="n"/>
      <c r="C447" s="683" t="n"/>
      <c r="D447" s="683" t="n"/>
      <c r="E447" s="683" t="n"/>
      <c r="F447" s="683" t="n"/>
      <c r="G447" s="683" t="n"/>
      <c r="H447" s="683" t="n"/>
      <c r="I447" s="683" t="n"/>
      <c r="J447" s="683" t="n"/>
      <c r="K447" s="683" t="n"/>
      <c r="L447" s="683" t="n"/>
      <c r="M447" s="683" t="n"/>
      <c r="N447" s="683" t="n"/>
      <c r="O447" s="683" t="n"/>
      <c r="P447" s="683" t="n"/>
      <c r="Q447" s="683" t="n"/>
      <c r="R447" s="683" t="n"/>
      <c r="S447" s="683" t="n"/>
      <c r="T447" s="683" t="n"/>
      <c r="U447" s="683" t="n"/>
      <c r="V447" s="683" t="n"/>
      <c r="W447" s="683" t="n"/>
      <c r="X447" s="683" t="n"/>
      <c r="Y447" s="683" t="n"/>
    </row>
    <row r="448">
      <c r="A448" s="683" t="n"/>
      <c r="B448" s="683" t="n"/>
      <c r="C448" s="683" t="n"/>
      <c r="D448" s="683" t="n"/>
      <c r="E448" s="683" t="n"/>
      <c r="F448" s="683" t="n"/>
      <c r="G448" s="683" t="n"/>
      <c r="H448" s="683" t="n"/>
      <c r="I448" s="683" t="n"/>
      <c r="J448" s="683" t="n"/>
      <c r="K448" s="683" t="n"/>
      <c r="L448" s="683" t="n"/>
      <c r="M448" s="683" t="n"/>
      <c r="N448" s="683" t="n"/>
      <c r="O448" s="683" t="n"/>
      <c r="P448" s="683" t="n"/>
      <c r="Q448" s="683" t="n"/>
      <c r="R448" s="683" t="n"/>
      <c r="S448" s="683" t="n"/>
      <c r="T448" s="683" t="n"/>
      <c r="U448" s="683" t="n"/>
      <c r="V448" s="683" t="n"/>
      <c r="W448" s="683" t="n"/>
      <c r="X448" s="683" t="n"/>
      <c r="Y448" s="683" t="n"/>
    </row>
    <row r="449">
      <c r="A449" s="683" t="n"/>
      <c r="B449" s="683" t="n"/>
      <c r="C449" s="683" t="n"/>
      <c r="D449" s="683" t="n"/>
      <c r="E449" s="683" t="n"/>
      <c r="F449" s="683" t="n"/>
      <c r="G449" s="683" t="n"/>
      <c r="H449" s="683" t="n"/>
      <c r="I449" s="683" t="n"/>
      <c r="J449" s="683" t="n"/>
      <c r="K449" s="683" t="n"/>
      <c r="L449" s="683" t="n"/>
      <c r="M449" s="683" t="n"/>
      <c r="N449" s="683" t="n"/>
      <c r="O449" s="683" t="n"/>
      <c r="P449" s="683" t="n"/>
      <c r="Q449" s="683" t="n"/>
      <c r="R449" s="683" t="n"/>
      <c r="S449" s="683" t="n"/>
      <c r="T449" s="683" t="n"/>
      <c r="U449" s="683" t="n"/>
      <c r="V449" s="683" t="n"/>
      <c r="W449" s="683" t="n"/>
      <c r="X449" s="683" t="n"/>
      <c r="Y449" s="683" t="n"/>
    </row>
    <row r="450">
      <c r="A450" s="683" t="n"/>
      <c r="B450" s="683" t="n"/>
      <c r="C450" s="683" t="n"/>
      <c r="D450" s="683" t="n"/>
      <c r="E450" s="683" t="n"/>
      <c r="F450" s="683" t="n"/>
      <c r="G450" s="683" t="n"/>
      <c r="H450" s="683" t="n"/>
      <c r="I450" s="683" t="n"/>
      <c r="J450" s="683" t="n"/>
      <c r="K450" s="683" t="n"/>
      <c r="L450" s="683" t="n"/>
      <c r="M450" s="683" t="n"/>
      <c r="N450" s="683" t="n"/>
      <c r="O450" s="683" t="n"/>
      <c r="P450" s="683" t="n"/>
      <c r="Q450" s="683" t="n"/>
      <c r="R450" s="683" t="n"/>
      <c r="S450" s="683" t="n"/>
      <c r="T450" s="683" t="n"/>
      <c r="U450" s="683" t="n"/>
      <c r="V450" s="683" t="n"/>
      <c r="W450" s="683" t="n"/>
      <c r="X450" s="683" t="n"/>
      <c r="Y450" s="683" t="n"/>
    </row>
    <row r="451">
      <c r="A451" s="683" t="n"/>
      <c r="B451" s="683" t="n"/>
      <c r="C451" s="683" t="n"/>
      <c r="D451" s="683" t="n"/>
      <c r="E451" s="683" t="n"/>
      <c r="F451" s="683" t="n"/>
      <c r="G451" s="683" t="n"/>
      <c r="H451" s="683" t="n"/>
      <c r="I451" s="683" t="n"/>
      <c r="J451" s="683" t="n"/>
      <c r="K451" s="683" t="n"/>
      <c r="L451" s="683" t="n"/>
      <c r="M451" s="683" t="n"/>
      <c r="N451" s="683" t="n"/>
      <c r="O451" s="683" t="n"/>
      <c r="P451" s="683" t="n"/>
      <c r="Q451" s="683" t="n"/>
      <c r="R451" s="683" t="n"/>
      <c r="S451" s="683" t="n"/>
      <c r="T451" s="683" t="n"/>
      <c r="U451" s="683" t="n"/>
      <c r="V451" s="683" t="n"/>
      <c r="W451" s="683" t="n"/>
      <c r="X451" s="683" t="n"/>
      <c r="Y451" s="683" t="n"/>
    </row>
    <row r="452">
      <c r="A452" s="683" t="n"/>
      <c r="B452" s="683" t="n"/>
      <c r="C452" s="683" t="n"/>
      <c r="D452" s="683" t="n"/>
      <c r="E452" s="683" t="n"/>
      <c r="F452" s="683" t="n"/>
      <c r="G452" s="683" t="n"/>
      <c r="H452" s="683" t="n"/>
      <c r="I452" s="683" t="n"/>
      <c r="J452" s="683" t="n"/>
      <c r="K452" s="683" t="n"/>
      <c r="L452" s="683" t="n"/>
      <c r="M452" s="683" t="n"/>
      <c r="N452" s="683" t="n"/>
      <c r="O452" s="683" t="n"/>
      <c r="P452" s="683" t="n"/>
      <c r="Q452" s="683" t="n"/>
      <c r="R452" s="683" t="n"/>
      <c r="S452" s="683" t="n"/>
      <c r="T452" s="683" t="n"/>
      <c r="U452" s="683" t="n"/>
      <c r="V452" s="683" t="n"/>
      <c r="W452" s="683" t="n"/>
      <c r="X452" s="683" t="n"/>
      <c r="Y452" s="683" t="n"/>
    </row>
    <row r="453">
      <c r="A453" s="683" t="n"/>
      <c r="B453" s="683" t="n"/>
      <c r="C453" s="683" t="n"/>
      <c r="D453" s="683" t="n"/>
      <c r="E453" s="683" t="n"/>
      <c r="F453" s="683" t="n"/>
      <c r="G453" s="683" t="n"/>
      <c r="H453" s="683" t="n"/>
      <c r="I453" s="683" t="n"/>
      <c r="J453" s="683" t="n"/>
      <c r="K453" s="683" t="n"/>
      <c r="L453" s="683" t="n"/>
      <c r="M453" s="683" t="n"/>
      <c r="N453" s="683" t="n"/>
      <c r="O453" s="683" t="n"/>
      <c r="P453" s="683" t="n"/>
      <c r="Q453" s="683" t="n"/>
      <c r="R453" s="683" t="n"/>
      <c r="S453" s="683" t="n"/>
      <c r="T453" s="683" t="n"/>
      <c r="U453" s="683" t="n"/>
      <c r="V453" s="683" t="n"/>
      <c r="W453" s="683" t="n"/>
      <c r="X453" s="683" t="n"/>
      <c r="Y453" s="683" t="n"/>
    </row>
    <row r="454">
      <c r="A454" s="683" t="n"/>
      <c r="B454" s="683" t="n"/>
      <c r="C454" s="683" t="n"/>
      <c r="D454" s="683" t="n"/>
      <c r="E454" s="683" t="n"/>
      <c r="F454" s="683" t="n"/>
      <c r="G454" s="683" t="n"/>
      <c r="H454" s="683" t="n"/>
      <c r="I454" s="683" t="n"/>
      <c r="J454" s="683" t="n"/>
      <c r="K454" s="683" t="n"/>
      <c r="L454" s="683" t="n"/>
      <c r="M454" s="683" t="n"/>
      <c r="N454" s="683" t="n"/>
      <c r="O454" s="683" t="n"/>
      <c r="P454" s="683" t="n"/>
      <c r="Q454" s="683" t="n"/>
      <c r="R454" s="683" t="n"/>
      <c r="S454" s="683" t="n"/>
      <c r="T454" s="683" t="n"/>
      <c r="U454" s="683" t="n"/>
      <c r="V454" s="683" t="n"/>
      <c r="W454" s="683" t="n"/>
      <c r="X454" s="683" t="n"/>
      <c r="Y454" s="683" t="n"/>
    </row>
    <row r="455">
      <c r="A455" s="683" t="n"/>
      <c r="B455" s="683" t="n"/>
      <c r="C455" s="683" t="n"/>
      <c r="D455" s="683" t="n"/>
      <c r="E455" s="683" t="n"/>
      <c r="F455" s="683" t="n"/>
      <c r="G455" s="683" t="n"/>
      <c r="H455" s="683" t="n"/>
      <c r="I455" s="683" t="n"/>
      <c r="J455" s="683" t="n"/>
      <c r="K455" s="683" t="n"/>
      <c r="L455" s="683" t="n"/>
      <c r="M455" s="683" t="n"/>
      <c r="N455" s="683" t="n"/>
      <c r="O455" s="683" t="n"/>
      <c r="P455" s="683" t="n"/>
      <c r="Q455" s="683" t="n"/>
      <c r="R455" s="683" t="n"/>
      <c r="S455" s="683" t="n"/>
      <c r="T455" s="683" t="n"/>
      <c r="U455" s="683" t="n"/>
      <c r="V455" s="683" t="n"/>
      <c r="W455" s="683" t="n"/>
      <c r="X455" s="683" t="n"/>
      <c r="Y455" s="683" t="n"/>
    </row>
    <row r="456">
      <c r="A456" s="683" t="n"/>
      <c r="B456" s="683" t="n"/>
      <c r="C456" s="683" t="n"/>
      <c r="D456" s="683" t="n"/>
      <c r="E456" s="683" t="n"/>
      <c r="F456" s="683" t="n"/>
      <c r="G456" s="683" t="n"/>
      <c r="H456" s="683" t="n"/>
      <c r="I456" s="683" t="n"/>
      <c r="J456" s="683" t="n"/>
      <c r="K456" s="683" t="n"/>
      <c r="L456" s="683" t="n"/>
      <c r="M456" s="683" t="n"/>
      <c r="N456" s="683" t="n"/>
      <c r="O456" s="683" t="n"/>
      <c r="P456" s="683" t="n"/>
      <c r="Q456" s="683" t="n"/>
      <c r="R456" s="683" t="n"/>
      <c r="S456" s="683" t="n"/>
      <c r="T456" s="683" t="n"/>
      <c r="U456" s="683" t="n"/>
      <c r="V456" s="683" t="n"/>
      <c r="W456" s="683" t="n"/>
      <c r="X456" s="683" t="n"/>
      <c r="Y456" s="683" t="n"/>
    </row>
    <row r="457">
      <c r="A457" s="683" t="n"/>
      <c r="B457" s="683" t="n"/>
      <c r="C457" s="683" t="n"/>
      <c r="D457" s="683" t="n"/>
      <c r="E457" s="683" t="n"/>
      <c r="F457" s="683" t="n"/>
      <c r="G457" s="683" t="n"/>
      <c r="H457" s="683" t="n"/>
      <c r="I457" s="683" t="n"/>
      <c r="J457" s="683" t="n"/>
      <c r="K457" s="683" t="n"/>
      <c r="L457" s="683" t="n"/>
      <c r="M457" s="683" t="n"/>
      <c r="N457" s="683" t="n"/>
      <c r="O457" s="683" t="n"/>
      <c r="P457" s="683" t="n"/>
      <c r="Q457" s="683" t="n"/>
      <c r="R457" s="683" t="n"/>
      <c r="S457" s="683" t="n"/>
      <c r="T457" s="683" t="n"/>
      <c r="U457" s="683" t="n"/>
      <c r="V457" s="683" t="n"/>
      <c r="W457" s="683" t="n"/>
      <c r="X457" s="683" t="n"/>
      <c r="Y457" s="683" t="n"/>
    </row>
    <row r="458">
      <c r="A458" s="683" t="n"/>
      <c r="B458" s="683" t="n"/>
      <c r="C458" s="683" t="n"/>
      <c r="D458" s="683" t="n"/>
      <c r="E458" s="683" t="n"/>
      <c r="F458" s="683" t="n"/>
      <c r="G458" s="683" t="n"/>
      <c r="H458" s="683" t="n"/>
      <c r="I458" s="683" t="n"/>
      <c r="J458" s="683" t="n"/>
      <c r="K458" s="683" t="n"/>
      <c r="L458" s="683" t="n"/>
      <c r="M458" s="683" t="n"/>
      <c r="N458" s="683" t="n"/>
      <c r="O458" s="683" t="n"/>
      <c r="P458" s="683" t="n"/>
      <c r="Q458" s="683" t="n"/>
      <c r="R458" s="683" t="n"/>
      <c r="S458" s="683" t="n"/>
      <c r="T458" s="683" t="n"/>
      <c r="U458" s="683" t="n"/>
      <c r="V458" s="683" t="n"/>
      <c r="W458" s="683" t="n"/>
      <c r="X458" s="683" t="n"/>
      <c r="Y458" s="683" t="n"/>
    </row>
    <row r="459">
      <c r="A459" s="683" t="n"/>
      <c r="B459" s="683" t="n"/>
      <c r="C459" s="683" t="n"/>
      <c r="D459" s="683" t="n"/>
      <c r="E459" s="683" t="n"/>
      <c r="F459" s="683" t="n"/>
      <c r="G459" s="683" t="n"/>
      <c r="H459" s="683" t="n"/>
      <c r="I459" s="683" t="n"/>
      <c r="J459" s="683" t="n"/>
      <c r="K459" s="683" t="n"/>
      <c r="L459" s="683" t="n"/>
      <c r="M459" s="683" t="n"/>
      <c r="N459" s="683" t="n"/>
      <c r="O459" s="683" t="n"/>
      <c r="P459" s="683" t="n"/>
      <c r="Q459" s="683" t="n"/>
      <c r="R459" s="683" t="n"/>
      <c r="S459" s="683" t="n"/>
      <c r="T459" s="683" t="n"/>
      <c r="U459" s="683" t="n"/>
      <c r="V459" s="683" t="n"/>
      <c r="W459" s="683" t="n"/>
      <c r="X459" s="683" t="n"/>
      <c r="Y459" s="683" t="n"/>
    </row>
    <row r="460">
      <c r="A460" s="683" t="n"/>
      <c r="B460" s="683" t="n"/>
      <c r="C460" s="683" t="n"/>
      <c r="D460" s="683" t="n"/>
      <c r="E460" s="683" t="n"/>
      <c r="F460" s="683" t="n"/>
      <c r="G460" s="683" t="n"/>
      <c r="H460" s="683" t="n"/>
      <c r="I460" s="683" t="n"/>
      <c r="J460" s="683" t="n"/>
      <c r="K460" s="683" t="n"/>
      <c r="L460" s="683" t="n"/>
      <c r="M460" s="683" t="n"/>
      <c r="N460" s="683" t="n"/>
      <c r="O460" s="683" t="n"/>
      <c r="P460" s="683" t="n"/>
      <c r="Q460" s="683" t="n"/>
      <c r="R460" s="683" t="n"/>
      <c r="S460" s="683" t="n"/>
      <c r="T460" s="683" t="n"/>
      <c r="U460" s="683" t="n"/>
      <c r="V460" s="683" t="n"/>
      <c r="W460" s="683" t="n"/>
      <c r="X460" s="683" t="n"/>
      <c r="Y460" s="683" t="n"/>
    </row>
    <row r="461">
      <c r="A461" s="683" t="n"/>
      <c r="B461" s="683" t="n"/>
      <c r="C461" s="683" t="n"/>
      <c r="D461" s="683" t="n"/>
      <c r="E461" s="683" t="n"/>
      <c r="F461" s="683" t="n"/>
      <c r="G461" s="683" t="n"/>
      <c r="H461" s="683" t="n"/>
      <c r="I461" s="683" t="n"/>
      <c r="J461" s="683" t="n"/>
      <c r="K461" s="683" t="n"/>
      <c r="L461" s="683" t="n"/>
      <c r="M461" s="683" t="n"/>
      <c r="N461" s="683" t="n"/>
      <c r="O461" s="683" t="n"/>
      <c r="P461" s="683" t="n"/>
      <c r="Q461" s="683" t="n"/>
      <c r="R461" s="683" t="n"/>
      <c r="S461" s="683" t="n"/>
      <c r="T461" s="683" t="n"/>
      <c r="U461" s="683" t="n"/>
      <c r="V461" s="683" t="n"/>
      <c r="W461" s="683" t="n"/>
      <c r="X461" s="683" t="n"/>
      <c r="Y461" s="683" t="n"/>
    </row>
    <row r="462">
      <c r="A462" s="683" t="n"/>
      <c r="B462" s="683" t="n"/>
      <c r="C462" s="683" t="n"/>
      <c r="D462" s="683" t="n"/>
      <c r="E462" s="683" t="n"/>
      <c r="F462" s="683" t="n"/>
      <c r="G462" s="683" t="n"/>
      <c r="H462" s="683" t="n"/>
      <c r="I462" s="683" t="n"/>
      <c r="J462" s="683" t="n"/>
      <c r="K462" s="683" t="n"/>
      <c r="L462" s="683" t="n"/>
      <c r="M462" s="683" t="n"/>
      <c r="N462" s="683" t="n"/>
      <c r="O462" s="683" t="n"/>
      <c r="P462" s="683" t="n"/>
      <c r="Q462" s="683" t="n"/>
      <c r="R462" s="683" t="n"/>
      <c r="S462" s="683" t="n"/>
      <c r="T462" s="683" t="n"/>
      <c r="U462" s="683" t="n"/>
      <c r="V462" s="683" t="n"/>
      <c r="W462" s="683" t="n"/>
      <c r="X462" s="683" t="n"/>
      <c r="Y462" s="683" t="n"/>
    </row>
    <row r="463">
      <c r="A463" s="683" t="n"/>
      <c r="B463" s="683" t="n"/>
      <c r="C463" s="683" t="n"/>
      <c r="D463" s="683" t="n"/>
      <c r="E463" s="683" t="n"/>
      <c r="F463" s="683" t="n"/>
      <c r="G463" s="683" t="n"/>
      <c r="H463" s="683" t="n"/>
      <c r="I463" s="683" t="n"/>
      <c r="J463" s="683" t="n"/>
      <c r="K463" s="683" t="n"/>
      <c r="L463" s="683" t="n"/>
      <c r="M463" s="683" t="n"/>
      <c r="N463" s="683" t="n"/>
      <c r="O463" s="683" t="n"/>
      <c r="P463" s="683" t="n"/>
      <c r="Q463" s="683" t="n"/>
      <c r="R463" s="683" t="n"/>
      <c r="S463" s="683" t="n"/>
      <c r="T463" s="683" t="n"/>
      <c r="U463" s="683" t="n"/>
      <c r="V463" s="683" t="n"/>
      <c r="W463" s="683" t="n"/>
      <c r="X463" s="683" t="n"/>
      <c r="Y463" s="683" t="n"/>
    </row>
    <row r="464">
      <c r="A464" s="683" t="n"/>
      <c r="B464" s="683" t="n"/>
      <c r="C464" s="683" t="n"/>
      <c r="D464" s="683" t="n"/>
      <c r="E464" s="683" t="n"/>
      <c r="F464" s="683" t="n"/>
      <c r="G464" s="683" t="n"/>
      <c r="H464" s="683" t="n"/>
      <c r="I464" s="683" t="n"/>
      <c r="J464" s="683" t="n"/>
      <c r="K464" s="683" t="n"/>
      <c r="L464" s="683" t="n"/>
      <c r="M464" s="683" t="n"/>
      <c r="N464" s="683" t="n"/>
      <c r="O464" s="683" t="n"/>
      <c r="P464" s="683" t="n"/>
      <c r="Q464" s="683" t="n"/>
      <c r="R464" s="683" t="n"/>
      <c r="S464" s="683" t="n"/>
      <c r="T464" s="683" t="n"/>
      <c r="U464" s="683" t="n"/>
      <c r="V464" s="683" t="n"/>
      <c r="W464" s="683" t="n"/>
      <c r="X464" s="683" t="n"/>
      <c r="Y464" s="683" t="n"/>
    </row>
    <row r="465">
      <c r="A465" s="683" t="n"/>
      <c r="B465" s="683" t="n"/>
      <c r="C465" s="683" t="n"/>
      <c r="D465" s="683" t="n"/>
      <c r="E465" s="683" t="n"/>
      <c r="F465" s="683" t="n"/>
      <c r="G465" s="683" t="n"/>
      <c r="H465" s="683" t="n"/>
      <c r="I465" s="683" t="n"/>
      <c r="J465" s="683" t="n"/>
      <c r="K465" s="683" t="n"/>
      <c r="L465" s="683" t="n"/>
      <c r="M465" s="683" t="n"/>
      <c r="N465" s="683" t="n"/>
      <c r="O465" s="683" t="n"/>
      <c r="P465" s="683" t="n"/>
      <c r="Q465" s="683" t="n"/>
      <c r="R465" s="683" t="n"/>
      <c r="S465" s="683" t="n"/>
      <c r="T465" s="683" t="n"/>
      <c r="U465" s="683" t="n"/>
      <c r="V465" s="683" t="n"/>
      <c r="W465" s="683" t="n"/>
      <c r="X465" s="683" t="n"/>
      <c r="Y465" s="683" t="n"/>
    </row>
    <row r="466">
      <c r="A466" s="683" t="n"/>
      <c r="B466" s="683" t="n"/>
      <c r="C466" s="683" t="n"/>
      <c r="D466" s="683" t="n"/>
      <c r="E466" s="683" t="n"/>
      <c r="F466" s="683" t="n"/>
      <c r="G466" s="683" t="n"/>
      <c r="H466" s="683" t="n"/>
      <c r="I466" s="683" t="n"/>
      <c r="J466" s="683" t="n"/>
      <c r="K466" s="683" t="n"/>
      <c r="L466" s="683" t="n"/>
      <c r="M466" s="683" t="n"/>
      <c r="N466" s="683" t="n"/>
      <c r="O466" s="683" t="n"/>
      <c r="P466" s="683" t="n"/>
      <c r="Q466" s="683" t="n"/>
      <c r="R466" s="683" t="n"/>
      <c r="S466" s="683" t="n"/>
      <c r="T466" s="683" t="n"/>
      <c r="U466" s="683" t="n"/>
      <c r="V466" s="683" t="n"/>
      <c r="W466" s="683" t="n"/>
      <c r="X466" s="683" t="n"/>
      <c r="Y466" s="683" t="n"/>
    </row>
    <row r="467">
      <c r="A467" s="683" t="n"/>
      <c r="B467" s="683" t="n"/>
      <c r="C467" s="683" t="n"/>
      <c r="D467" s="683" t="n"/>
      <c r="E467" s="683" t="n"/>
      <c r="F467" s="683" t="n"/>
      <c r="G467" s="683" t="n"/>
      <c r="H467" s="683" t="n"/>
      <c r="I467" s="683" t="n"/>
      <c r="J467" s="683" t="n"/>
      <c r="K467" s="683" t="n"/>
      <c r="L467" s="683" t="n"/>
      <c r="M467" s="683" t="n"/>
      <c r="N467" s="683" t="n"/>
      <c r="O467" s="683" t="n"/>
      <c r="P467" s="683" t="n"/>
      <c r="Q467" s="683" t="n"/>
      <c r="R467" s="683" t="n"/>
      <c r="S467" s="683" t="n"/>
      <c r="T467" s="683" t="n"/>
      <c r="U467" s="683" t="n"/>
      <c r="V467" s="683" t="n"/>
      <c r="W467" s="683" t="n"/>
      <c r="X467" s="683" t="n"/>
      <c r="Y467" s="683" t="n"/>
    </row>
    <row r="468">
      <c r="A468" s="683" t="n"/>
      <c r="B468" s="683" t="n"/>
      <c r="C468" s="683" t="n"/>
      <c r="D468" s="683" t="n"/>
      <c r="E468" s="683" t="n"/>
      <c r="F468" s="683" t="n"/>
      <c r="G468" s="683" t="n"/>
      <c r="H468" s="683" t="n"/>
      <c r="I468" s="683" t="n"/>
      <c r="J468" s="683" t="n"/>
      <c r="K468" s="683" t="n"/>
      <c r="L468" s="683" t="n"/>
      <c r="M468" s="683" t="n"/>
      <c r="N468" s="683" t="n"/>
      <c r="O468" s="683" t="n"/>
      <c r="P468" s="683" t="n"/>
      <c r="Q468" s="683" t="n"/>
      <c r="R468" s="683" t="n"/>
      <c r="S468" s="683" t="n"/>
      <c r="T468" s="683" t="n"/>
      <c r="U468" s="683" t="n"/>
      <c r="V468" s="683" t="n"/>
      <c r="W468" s="683" t="n"/>
      <c r="X468" s="683" t="n"/>
      <c r="Y468" s="683" t="n"/>
    </row>
    <row r="469">
      <c r="A469" s="683" t="n"/>
      <c r="B469" s="683" t="n"/>
      <c r="C469" s="683" t="n"/>
      <c r="D469" s="683" t="n"/>
      <c r="E469" s="683" t="n"/>
      <c r="F469" s="683" t="n"/>
      <c r="G469" s="683" t="n"/>
      <c r="H469" s="683" t="n"/>
      <c r="I469" s="683" t="n"/>
      <c r="J469" s="683" t="n"/>
      <c r="K469" s="683" t="n"/>
      <c r="L469" s="683" t="n"/>
      <c r="M469" s="683" t="n"/>
      <c r="N469" s="683" t="n"/>
      <c r="O469" s="683" t="n"/>
      <c r="P469" s="683" t="n"/>
      <c r="Q469" s="683" t="n"/>
      <c r="R469" s="683" t="n"/>
      <c r="S469" s="683" t="n"/>
      <c r="T469" s="683" t="n"/>
      <c r="U469" s="683" t="n"/>
      <c r="V469" s="683" t="n"/>
      <c r="W469" s="683" t="n"/>
      <c r="X469" s="683" t="n"/>
      <c r="Y469" s="683" t="n"/>
    </row>
    <row r="470">
      <c r="A470" s="683" t="n"/>
      <c r="B470" s="683" t="n"/>
      <c r="C470" s="683" t="n"/>
      <c r="D470" s="683" t="n"/>
      <c r="E470" s="683" t="n"/>
      <c r="F470" s="683" t="n"/>
      <c r="G470" s="683" t="n"/>
      <c r="H470" s="683" t="n"/>
      <c r="I470" s="683" t="n"/>
      <c r="J470" s="683" t="n"/>
      <c r="K470" s="683" t="n"/>
      <c r="L470" s="683" t="n"/>
      <c r="M470" s="683" t="n"/>
      <c r="N470" s="683" t="n"/>
      <c r="O470" s="683" t="n"/>
      <c r="P470" s="683" t="n"/>
      <c r="Q470" s="683" t="n"/>
      <c r="R470" s="683" t="n"/>
      <c r="S470" s="683" t="n"/>
      <c r="T470" s="683" t="n"/>
      <c r="U470" s="683" t="n"/>
      <c r="V470" s="683" t="n"/>
      <c r="W470" s="683" t="n"/>
      <c r="X470" s="683" t="n"/>
      <c r="Y470" s="683" t="n"/>
    </row>
    <row r="471">
      <c r="A471" s="683" t="n"/>
      <c r="B471" s="683" t="n"/>
      <c r="C471" s="683" t="n"/>
      <c r="D471" s="683" t="n"/>
      <c r="E471" s="683" t="n"/>
      <c r="F471" s="683" t="n"/>
      <c r="G471" s="683" t="n"/>
      <c r="H471" s="683" t="n"/>
      <c r="I471" s="683" t="n"/>
      <c r="J471" s="683" t="n"/>
      <c r="K471" s="683" t="n"/>
      <c r="L471" s="683" t="n"/>
      <c r="M471" s="683" t="n"/>
      <c r="N471" s="683" t="n"/>
      <c r="O471" s="683" t="n"/>
      <c r="P471" s="683" t="n"/>
      <c r="Q471" s="683" t="n"/>
      <c r="R471" s="683" t="n"/>
      <c r="S471" s="683" t="n"/>
      <c r="T471" s="683" t="n"/>
      <c r="U471" s="683" t="n"/>
      <c r="V471" s="683" t="n"/>
      <c r="W471" s="683" t="n"/>
      <c r="X471" s="683" t="n"/>
      <c r="Y471" s="683" t="n"/>
    </row>
    <row r="472">
      <c r="A472" s="683" t="n"/>
      <c r="B472" s="683" t="n"/>
      <c r="C472" s="683" t="n"/>
      <c r="D472" s="683" t="n"/>
      <c r="E472" s="683" t="n"/>
      <c r="F472" s="683" t="n"/>
      <c r="G472" s="683" t="n"/>
      <c r="H472" s="683" t="n"/>
      <c r="I472" s="683" t="n"/>
      <c r="J472" s="683" t="n"/>
      <c r="K472" s="683" t="n"/>
      <c r="L472" s="683" t="n"/>
      <c r="M472" s="683" t="n"/>
      <c r="N472" s="683" t="n"/>
      <c r="O472" s="683" t="n"/>
      <c r="P472" s="683" t="n"/>
      <c r="Q472" s="683" t="n"/>
      <c r="R472" s="683" t="n"/>
      <c r="S472" s="683" t="n"/>
      <c r="T472" s="683" t="n"/>
      <c r="U472" s="683" t="n"/>
      <c r="V472" s="683" t="n"/>
      <c r="W472" s="683" t="n"/>
      <c r="X472" s="683" t="n"/>
      <c r="Y472" s="683" t="n"/>
    </row>
    <row r="473">
      <c r="A473" s="683" t="n"/>
      <c r="B473" s="683" t="n"/>
      <c r="C473" s="683" t="n"/>
      <c r="D473" s="683" t="n"/>
      <c r="E473" s="683" t="n"/>
      <c r="F473" s="683" t="n"/>
      <c r="G473" s="683" t="n"/>
      <c r="H473" s="683" t="n"/>
      <c r="I473" s="683" t="n"/>
      <c r="J473" s="683" t="n"/>
      <c r="K473" s="683" t="n"/>
      <c r="L473" s="683" t="n"/>
      <c r="M473" s="683" t="n"/>
      <c r="N473" s="683" t="n"/>
      <c r="O473" s="683" t="n"/>
      <c r="P473" s="683" t="n"/>
      <c r="Q473" s="683" t="n"/>
      <c r="R473" s="683" t="n"/>
      <c r="S473" s="683" t="n"/>
      <c r="T473" s="683" t="n"/>
      <c r="U473" s="683" t="n"/>
      <c r="V473" s="683" t="n"/>
      <c r="W473" s="683" t="n"/>
      <c r="X473" s="683" t="n"/>
      <c r="Y473" s="683" t="n"/>
    </row>
    <row r="474">
      <c r="A474" s="683" t="n"/>
      <c r="B474" s="683" t="n"/>
      <c r="C474" s="683" t="n"/>
      <c r="D474" s="683" t="n"/>
      <c r="E474" s="683" t="n"/>
      <c r="F474" s="683" t="n"/>
      <c r="G474" s="683" t="n"/>
      <c r="H474" s="683" t="n"/>
      <c r="I474" s="683" t="n"/>
      <c r="J474" s="683" t="n"/>
      <c r="K474" s="683" t="n"/>
      <c r="L474" s="683" t="n"/>
      <c r="M474" s="683" t="n"/>
      <c r="N474" s="683" t="n"/>
      <c r="O474" s="683" t="n"/>
      <c r="P474" s="683" t="n"/>
      <c r="Q474" s="683" t="n"/>
      <c r="R474" s="683" t="n"/>
      <c r="S474" s="683" t="n"/>
      <c r="T474" s="683" t="n"/>
      <c r="U474" s="683" t="n"/>
      <c r="V474" s="683" t="n"/>
      <c r="W474" s="683" t="n"/>
      <c r="X474" s="683" t="n"/>
      <c r="Y474" s="683" t="n"/>
    </row>
    <row r="475">
      <c r="A475" s="683" t="n"/>
      <c r="B475" s="683" t="n"/>
      <c r="C475" s="683" t="n"/>
      <c r="D475" s="683" t="n"/>
      <c r="E475" s="683" t="n"/>
      <c r="F475" s="683" t="n"/>
      <c r="G475" s="683" t="n"/>
      <c r="H475" s="683" t="n"/>
      <c r="I475" s="683" t="n"/>
      <c r="J475" s="683" t="n"/>
      <c r="K475" s="683" t="n"/>
      <c r="L475" s="683" t="n"/>
      <c r="M475" s="683" t="n"/>
      <c r="N475" s="683" t="n"/>
      <c r="O475" s="683" t="n"/>
      <c r="P475" s="683" t="n"/>
      <c r="Q475" s="683" t="n"/>
      <c r="R475" s="683" t="n"/>
      <c r="S475" s="683" t="n"/>
      <c r="T475" s="683" t="n"/>
      <c r="U475" s="683" t="n"/>
      <c r="V475" s="683" t="n"/>
      <c r="W475" s="683" t="n"/>
      <c r="X475" s="683" t="n"/>
      <c r="Y475" s="683" t="n"/>
    </row>
    <row r="476">
      <c r="A476" s="683" t="n"/>
      <c r="B476" s="683" t="n"/>
      <c r="C476" s="683" t="n"/>
      <c r="D476" s="683" t="n"/>
      <c r="E476" s="683" t="n"/>
      <c r="F476" s="683" t="n"/>
      <c r="G476" s="683" t="n"/>
      <c r="H476" s="683" t="n"/>
      <c r="I476" s="683" t="n"/>
      <c r="J476" s="683" t="n"/>
      <c r="K476" s="683" t="n"/>
      <c r="L476" s="683" t="n"/>
      <c r="M476" s="683" t="n"/>
      <c r="N476" s="683" t="n"/>
      <c r="O476" s="683" t="n"/>
      <c r="P476" s="683" t="n"/>
      <c r="Q476" s="683" t="n"/>
      <c r="R476" s="683" t="n"/>
      <c r="S476" s="683" t="n"/>
      <c r="T476" s="683" t="n"/>
      <c r="U476" s="683" t="n"/>
      <c r="V476" s="683" t="n"/>
      <c r="W476" s="683" t="n"/>
      <c r="X476" s="683" t="n"/>
      <c r="Y476" s="683" t="n"/>
    </row>
    <row r="477">
      <c r="A477" s="683" t="n"/>
      <c r="B477" s="683" t="n"/>
      <c r="C477" s="683" t="n"/>
      <c r="D477" s="683" t="n"/>
      <c r="E477" s="683" t="n"/>
      <c r="F477" s="683" t="n"/>
      <c r="G477" s="683" t="n"/>
      <c r="H477" s="683" t="n"/>
      <c r="I477" s="683" t="n"/>
      <c r="J477" s="683" t="n"/>
      <c r="K477" s="683" t="n"/>
      <c r="L477" s="683" t="n"/>
      <c r="M477" s="683" t="n"/>
      <c r="N477" s="683" t="n"/>
      <c r="O477" s="683" t="n"/>
      <c r="P477" s="683" t="n"/>
      <c r="Q477" s="683" t="n"/>
      <c r="R477" s="683" t="n"/>
      <c r="S477" s="683" t="n"/>
      <c r="T477" s="683" t="n"/>
      <c r="U477" s="683" t="n"/>
      <c r="V477" s="683" t="n"/>
      <c r="W477" s="683" t="n"/>
      <c r="X477" s="683" t="n"/>
      <c r="Y477" s="683" t="n"/>
    </row>
    <row r="478">
      <c r="A478" s="683" t="n"/>
      <c r="B478" s="683" t="n"/>
      <c r="C478" s="683" t="n"/>
      <c r="D478" s="683" t="n"/>
      <c r="E478" s="683" t="n"/>
      <c r="F478" s="683" t="n"/>
      <c r="G478" s="683" t="n"/>
      <c r="H478" s="683" t="n"/>
      <c r="I478" s="683" t="n"/>
      <c r="J478" s="683" t="n"/>
      <c r="K478" s="683" t="n"/>
      <c r="L478" s="683" t="n"/>
      <c r="M478" s="683" t="n"/>
      <c r="N478" s="683" t="n"/>
      <c r="O478" s="683" t="n"/>
      <c r="P478" s="683" t="n"/>
      <c r="Q478" s="683" t="n"/>
      <c r="R478" s="683" t="n"/>
      <c r="S478" s="683" t="n"/>
      <c r="T478" s="683" t="n"/>
      <c r="U478" s="683" t="n"/>
      <c r="V478" s="683" t="n"/>
      <c r="W478" s="683" t="n"/>
      <c r="X478" s="683" t="n"/>
      <c r="Y478" s="683" t="n"/>
    </row>
    <row r="479">
      <c r="A479" s="683" t="n"/>
      <c r="B479" s="683" t="n"/>
      <c r="C479" s="683" t="n"/>
      <c r="D479" s="683" t="n"/>
      <c r="E479" s="683" t="n"/>
      <c r="F479" s="683" t="n"/>
      <c r="G479" s="683" t="n"/>
      <c r="H479" s="683" t="n"/>
      <c r="I479" s="683" t="n"/>
      <c r="J479" s="683" t="n"/>
      <c r="K479" s="683" t="n"/>
      <c r="L479" s="683" t="n"/>
      <c r="M479" s="683" t="n"/>
      <c r="N479" s="683" t="n"/>
      <c r="O479" s="683" t="n"/>
      <c r="P479" s="683" t="n"/>
      <c r="Q479" s="683" t="n"/>
      <c r="R479" s="683" t="n"/>
      <c r="S479" s="683" t="n"/>
      <c r="T479" s="683" t="n"/>
      <c r="U479" s="683" t="n"/>
      <c r="V479" s="683" t="n"/>
      <c r="W479" s="683" t="n"/>
      <c r="X479" s="683" t="n"/>
      <c r="Y479" s="683" t="n"/>
    </row>
    <row r="480">
      <c r="A480" s="683" t="n"/>
      <c r="B480" s="683" t="n"/>
      <c r="C480" s="683" t="n"/>
      <c r="D480" s="683" t="n"/>
      <c r="E480" s="683" t="n"/>
      <c r="F480" s="683" t="n"/>
      <c r="G480" s="683" t="n"/>
      <c r="H480" s="683" t="n"/>
      <c r="I480" s="683" t="n"/>
      <c r="J480" s="683" t="n"/>
      <c r="K480" s="683" t="n"/>
      <c r="L480" s="683" t="n"/>
      <c r="M480" s="683" t="n"/>
      <c r="N480" s="683" t="n"/>
      <c r="O480" s="683" t="n"/>
      <c r="P480" s="683" t="n"/>
      <c r="Q480" s="683" t="n"/>
      <c r="R480" s="683" t="n"/>
      <c r="S480" s="683" t="n"/>
      <c r="T480" s="683" t="n"/>
      <c r="U480" s="683" t="n"/>
      <c r="V480" s="683" t="n"/>
      <c r="W480" s="683" t="n"/>
      <c r="X480" s="683" t="n"/>
      <c r="Y480" s="683" t="n"/>
    </row>
    <row r="481">
      <c r="A481" s="683" t="n"/>
      <c r="B481" s="683" t="n"/>
      <c r="C481" s="683" t="n"/>
      <c r="D481" s="683" t="n"/>
      <c r="E481" s="683" t="n"/>
      <c r="F481" s="683" t="n"/>
      <c r="G481" s="683" t="n"/>
      <c r="H481" s="683" t="n"/>
      <c r="I481" s="683" t="n"/>
      <c r="J481" s="683" t="n"/>
      <c r="K481" s="683" t="n"/>
      <c r="L481" s="683" t="n"/>
      <c r="M481" s="683" t="n"/>
      <c r="N481" s="683" t="n"/>
      <c r="O481" s="683" t="n"/>
      <c r="P481" s="683" t="n"/>
      <c r="Q481" s="683" t="n"/>
      <c r="R481" s="683" t="n"/>
      <c r="S481" s="683" t="n"/>
      <c r="T481" s="683" t="n"/>
      <c r="U481" s="683" t="n"/>
      <c r="V481" s="683" t="n"/>
      <c r="W481" s="683" t="n"/>
      <c r="X481" s="683" t="n"/>
      <c r="Y481" s="683" t="n"/>
    </row>
    <row r="482">
      <c r="A482" s="683" t="n"/>
      <c r="B482" s="683" t="n"/>
      <c r="C482" s="683" t="n"/>
      <c r="D482" s="683" t="n"/>
      <c r="E482" s="683" t="n"/>
      <c r="F482" s="683" t="n"/>
      <c r="G482" s="683" t="n"/>
      <c r="H482" s="683" t="n"/>
      <c r="I482" s="683" t="n"/>
      <c r="J482" s="683" t="n"/>
      <c r="K482" s="683" t="n"/>
      <c r="L482" s="683" t="n"/>
      <c r="M482" s="683" t="n"/>
      <c r="N482" s="683" t="n"/>
      <c r="O482" s="683" t="n"/>
      <c r="P482" s="683" t="n"/>
      <c r="Q482" s="683" t="n"/>
      <c r="R482" s="683" t="n"/>
      <c r="S482" s="683" t="n"/>
      <c r="T482" s="683" t="n"/>
      <c r="U482" s="683" t="n"/>
      <c r="V482" s="683" t="n"/>
      <c r="W482" s="683" t="n"/>
      <c r="X482" s="683" t="n"/>
      <c r="Y482" s="683" t="n"/>
    </row>
    <row r="483">
      <c r="A483" s="683" t="n"/>
      <c r="B483" s="683" t="n"/>
      <c r="C483" s="683" t="n"/>
      <c r="D483" s="683" t="n"/>
      <c r="E483" s="683" t="n"/>
      <c r="F483" s="683" t="n"/>
      <c r="G483" s="683" t="n"/>
      <c r="H483" s="683" t="n"/>
      <c r="I483" s="683" t="n"/>
      <c r="J483" s="683" t="n"/>
      <c r="K483" s="683" t="n"/>
      <c r="L483" s="683" t="n"/>
      <c r="M483" s="683" t="n"/>
      <c r="N483" s="683" t="n"/>
      <c r="O483" s="683" t="n"/>
      <c r="P483" s="683" t="n"/>
      <c r="Q483" s="683" t="n"/>
      <c r="R483" s="683" t="n"/>
      <c r="S483" s="683" t="n"/>
      <c r="T483" s="683" t="n"/>
      <c r="U483" s="683" t="n"/>
      <c r="V483" s="683" t="n"/>
      <c r="W483" s="683" t="n"/>
      <c r="X483" s="683" t="n"/>
      <c r="Y483" s="683" t="n"/>
    </row>
    <row r="484">
      <c r="A484" s="683" t="n"/>
      <c r="B484" s="683" t="n"/>
      <c r="C484" s="683" t="n"/>
      <c r="D484" s="683" t="n"/>
      <c r="E484" s="683" t="n"/>
      <c r="F484" s="683" t="n"/>
      <c r="G484" s="683" t="n"/>
      <c r="H484" s="683" t="n"/>
      <c r="I484" s="683" t="n"/>
      <c r="J484" s="683" t="n"/>
      <c r="K484" s="683" t="n"/>
      <c r="L484" s="683" t="n"/>
      <c r="M484" s="683" t="n"/>
      <c r="N484" s="683" t="n"/>
      <c r="O484" s="683" t="n"/>
      <c r="P484" s="683" t="n"/>
      <c r="Q484" s="683" t="n"/>
      <c r="R484" s="683" t="n"/>
      <c r="S484" s="683" t="n"/>
      <c r="T484" s="683" t="n"/>
      <c r="U484" s="683" t="n"/>
      <c r="V484" s="683" t="n"/>
      <c r="W484" s="683" t="n"/>
      <c r="X484" s="683" t="n"/>
      <c r="Y484" s="683" t="n"/>
    </row>
    <row r="485">
      <c r="A485" s="683" t="n"/>
      <c r="B485" s="683" t="n"/>
      <c r="C485" s="683" t="n"/>
      <c r="D485" s="683" t="n"/>
      <c r="E485" s="683" t="n"/>
      <c r="F485" s="683" t="n"/>
      <c r="G485" s="683" t="n"/>
      <c r="H485" s="683" t="n"/>
      <c r="I485" s="683" t="n"/>
      <c r="J485" s="683" t="n"/>
      <c r="K485" s="683" t="n"/>
      <c r="L485" s="683" t="n"/>
      <c r="M485" s="683" t="n"/>
      <c r="N485" s="683" t="n"/>
      <c r="O485" s="683" t="n"/>
      <c r="P485" s="683" t="n"/>
      <c r="Q485" s="683" t="n"/>
      <c r="R485" s="683" t="n"/>
      <c r="S485" s="683" t="n"/>
      <c r="T485" s="683" t="n"/>
      <c r="U485" s="683" t="n"/>
      <c r="V485" s="683" t="n"/>
      <c r="W485" s="683" t="n"/>
      <c r="X485" s="683" t="n"/>
      <c r="Y485" s="683" t="n"/>
    </row>
    <row r="486">
      <c r="A486" s="683" t="n"/>
      <c r="B486" s="683" t="n"/>
      <c r="C486" s="683" t="n"/>
      <c r="D486" s="683" t="n"/>
      <c r="E486" s="683" t="n"/>
      <c r="F486" s="683" t="n"/>
      <c r="G486" s="683" t="n"/>
      <c r="H486" s="683" t="n"/>
      <c r="I486" s="683" t="n"/>
      <c r="J486" s="683" t="n"/>
      <c r="K486" s="683" t="n"/>
      <c r="L486" s="683" t="n"/>
      <c r="M486" s="683" t="n"/>
      <c r="N486" s="683" t="n"/>
      <c r="O486" s="683" t="n"/>
      <c r="P486" s="683" t="n"/>
      <c r="Q486" s="683" t="n"/>
      <c r="R486" s="683" t="n"/>
      <c r="S486" s="683" t="n"/>
      <c r="T486" s="683" t="n"/>
      <c r="U486" s="683" t="n"/>
      <c r="V486" s="683" t="n"/>
      <c r="W486" s="683" t="n"/>
      <c r="X486" s="683" t="n"/>
      <c r="Y486" s="683" t="n"/>
    </row>
    <row r="487">
      <c r="A487" s="683" t="n"/>
      <c r="B487" s="683" t="n"/>
      <c r="C487" s="683" t="n"/>
      <c r="D487" s="683" t="n"/>
      <c r="E487" s="683" t="n"/>
      <c r="F487" s="683" t="n"/>
      <c r="G487" s="683" t="n"/>
      <c r="H487" s="683" t="n"/>
      <c r="I487" s="683" t="n"/>
      <c r="J487" s="683" t="n"/>
      <c r="K487" s="683" t="n"/>
      <c r="L487" s="683" t="n"/>
      <c r="M487" s="683" t="n"/>
      <c r="N487" s="683" t="n"/>
      <c r="O487" s="683" t="n"/>
      <c r="P487" s="683" t="n"/>
      <c r="Q487" s="683" t="n"/>
      <c r="R487" s="683" t="n"/>
      <c r="S487" s="683" t="n"/>
      <c r="T487" s="683" t="n"/>
      <c r="U487" s="683" t="n"/>
      <c r="V487" s="683" t="n"/>
      <c r="W487" s="683" t="n"/>
      <c r="X487" s="683" t="n"/>
      <c r="Y487" s="683" t="n"/>
    </row>
    <row r="488">
      <c r="A488" s="683" t="n"/>
      <c r="B488" s="683" t="n"/>
      <c r="C488" s="683" t="n"/>
      <c r="D488" s="683" t="n"/>
      <c r="E488" s="683" t="n"/>
      <c r="F488" s="683" t="n"/>
      <c r="G488" s="683" t="n"/>
      <c r="H488" s="683" t="n"/>
      <c r="I488" s="683" t="n"/>
      <c r="J488" s="683" t="n"/>
      <c r="K488" s="683" t="n"/>
      <c r="L488" s="683" t="n"/>
      <c r="M488" s="683" t="n"/>
      <c r="N488" s="683" t="n"/>
      <c r="O488" s="683" t="n"/>
      <c r="P488" s="683" t="n"/>
      <c r="Q488" s="683" t="n"/>
      <c r="R488" s="683" t="n"/>
      <c r="S488" s="683" t="n"/>
      <c r="T488" s="683" t="n"/>
      <c r="U488" s="683" t="n"/>
      <c r="V488" s="683" t="n"/>
      <c r="W488" s="683" t="n"/>
      <c r="X488" s="683" t="n"/>
      <c r="Y488" s="683" t="n"/>
    </row>
    <row r="489">
      <c r="A489" s="683" t="n"/>
      <c r="B489" s="683" t="n"/>
      <c r="C489" s="683" t="n"/>
      <c r="D489" s="683" t="n"/>
      <c r="E489" s="683" t="n"/>
      <c r="F489" s="683" t="n"/>
      <c r="G489" s="683" t="n"/>
      <c r="H489" s="683" t="n"/>
      <c r="I489" s="683" t="n"/>
      <c r="J489" s="683" t="n"/>
      <c r="K489" s="683" t="n"/>
      <c r="L489" s="683" t="n"/>
      <c r="M489" s="683" t="n"/>
      <c r="N489" s="683" t="n"/>
      <c r="O489" s="683" t="n"/>
      <c r="P489" s="683" t="n"/>
      <c r="Q489" s="683" t="n"/>
      <c r="R489" s="683" t="n"/>
      <c r="S489" s="683" t="n"/>
      <c r="T489" s="683" t="n"/>
      <c r="U489" s="683" t="n"/>
      <c r="V489" s="683" t="n"/>
      <c r="W489" s="683" t="n"/>
      <c r="X489" s="683" t="n"/>
      <c r="Y489" s="683" t="n"/>
    </row>
    <row r="490">
      <c r="A490" s="683" t="n"/>
      <c r="B490" s="683" t="n"/>
      <c r="C490" s="683" t="n"/>
      <c r="D490" s="683" t="n"/>
      <c r="E490" s="683" t="n"/>
      <c r="F490" s="683" t="n"/>
      <c r="G490" s="683" t="n"/>
      <c r="H490" s="683" t="n"/>
      <c r="I490" s="683" t="n"/>
      <c r="J490" s="683" t="n"/>
      <c r="K490" s="683" t="n"/>
      <c r="L490" s="683" t="n"/>
      <c r="M490" s="683" t="n"/>
      <c r="N490" s="683" t="n"/>
      <c r="O490" s="683" t="n"/>
      <c r="P490" s="683" t="n"/>
      <c r="Q490" s="683" t="n"/>
      <c r="R490" s="683" t="n"/>
      <c r="S490" s="683" t="n"/>
      <c r="T490" s="683" t="n"/>
      <c r="U490" s="683" t="n"/>
      <c r="V490" s="683" t="n"/>
      <c r="W490" s="683" t="n"/>
      <c r="X490" s="683" t="n"/>
      <c r="Y490" s="683" t="n"/>
    </row>
    <row r="491">
      <c r="A491" s="683" t="n"/>
      <c r="B491" s="683" t="n"/>
      <c r="C491" s="683" t="n"/>
      <c r="D491" s="683" t="n"/>
      <c r="E491" s="683" t="n"/>
      <c r="F491" s="683" t="n"/>
      <c r="G491" s="683" t="n"/>
      <c r="H491" s="683" t="n"/>
      <c r="I491" s="683" t="n"/>
      <c r="J491" s="683" t="n"/>
      <c r="K491" s="683" t="n"/>
      <c r="L491" s="683" t="n"/>
      <c r="M491" s="683" t="n"/>
      <c r="N491" s="683" t="n"/>
      <c r="O491" s="683" t="n"/>
      <c r="P491" s="683" t="n"/>
      <c r="Q491" s="683" t="n"/>
      <c r="R491" s="683" t="n"/>
      <c r="S491" s="683" t="n"/>
      <c r="T491" s="683" t="n"/>
      <c r="U491" s="683" t="n"/>
      <c r="V491" s="683" t="n"/>
      <c r="W491" s="683" t="n"/>
      <c r="X491" s="683" t="n"/>
      <c r="Y491" s="683" t="n"/>
    </row>
    <row r="492">
      <c r="A492" s="683" t="n"/>
      <c r="B492" s="683" t="n"/>
      <c r="C492" s="683" t="n"/>
      <c r="D492" s="683" t="n"/>
      <c r="E492" s="683" t="n"/>
      <c r="F492" s="683" t="n"/>
      <c r="G492" s="683" t="n"/>
      <c r="H492" s="683" t="n"/>
      <c r="I492" s="683" t="n"/>
      <c r="J492" s="683" t="n"/>
      <c r="K492" s="683" t="n"/>
      <c r="L492" s="683" t="n"/>
      <c r="M492" s="683" t="n"/>
      <c r="N492" s="683" t="n"/>
      <c r="O492" s="683" t="n"/>
      <c r="P492" s="683" t="n"/>
      <c r="Q492" s="683" t="n"/>
      <c r="R492" s="683" t="n"/>
      <c r="S492" s="683" t="n"/>
      <c r="T492" s="683" t="n"/>
      <c r="U492" s="683" t="n"/>
      <c r="V492" s="683" t="n"/>
      <c r="W492" s="683" t="n"/>
      <c r="X492" s="683" t="n"/>
      <c r="Y492" s="683" t="n"/>
    </row>
    <row r="493">
      <c r="A493" s="683" t="n"/>
      <c r="B493" s="683" t="n"/>
      <c r="C493" s="683" t="n"/>
      <c r="D493" s="683" t="n"/>
      <c r="E493" s="683" t="n"/>
      <c r="F493" s="683" t="n"/>
      <c r="G493" s="683" t="n"/>
      <c r="H493" s="683" t="n"/>
      <c r="I493" s="683" t="n"/>
      <c r="J493" s="683" t="n"/>
      <c r="K493" s="683" t="n"/>
      <c r="L493" s="683" t="n"/>
      <c r="M493" s="683" t="n"/>
      <c r="N493" s="683" t="n"/>
      <c r="O493" s="683" t="n"/>
      <c r="P493" s="683" t="n"/>
      <c r="Q493" s="683" t="n"/>
      <c r="R493" s="683" t="n"/>
      <c r="S493" s="683" t="n"/>
      <c r="T493" s="683" t="n"/>
      <c r="U493" s="683" t="n"/>
      <c r="V493" s="683" t="n"/>
      <c r="W493" s="683" t="n"/>
      <c r="X493" s="683" t="n"/>
      <c r="Y493" s="683" t="n"/>
    </row>
    <row r="494">
      <c r="A494" s="683" t="n"/>
      <c r="B494" s="683" t="n"/>
      <c r="C494" s="683" t="n"/>
      <c r="D494" s="683" t="n"/>
      <c r="E494" s="683" t="n"/>
      <c r="F494" s="683" t="n"/>
      <c r="G494" s="683" t="n"/>
      <c r="H494" s="683" t="n"/>
      <c r="I494" s="683" t="n"/>
      <c r="J494" s="683" t="n"/>
      <c r="K494" s="683" t="n"/>
      <c r="L494" s="683" t="n"/>
      <c r="M494" s="683" t="n"/>
      <c r="N494" s="683" t="n"/>
      <c r="O494" s="683" t="n"/>
      <c r="P494" s="683" t="n"/>
      <c r="Q494" s="683" t="n"/>
      <c r="R494" s="683" t="n"/>
      <c r="S494" s="683" t="n"/>
      <c r="T494" s="683" t="n"/>
      <c r="U494" s="683" t="n"/>
      <c r="V494" s="683" t="n"/>
      <c r="W494" s="683" t="n"/>
      <c r="X494" s="683" t="n"/>
      <c r="Y494" s="683" t="n"/>
    </row>
    <row r="495">
      <c r="A495" s="683" t="n"/>
      <c r="B495" s="683" t="n"/>
      <c r="C495" s="683" t="n"/>
      <c r="D495" s="683" t="n"/>
      <c r="E495" s="683" t="n"/>
      <c r="F495" s="683" t="n"/>
      <c r="G495" s="683" t="n"/>
      <c r="H495" s="683" t="n"/>
      <c r="I495" s="683" t="n"/>
      <c r="J495" s="683" t="n"/>
      <c r="K495" s="683" t="n"/>
      <c r="L495" s="683" t="n"/>
      <c r="M495" s="683" t="n"/>
      <c r="N495" s="683" t="n"/>
      <c r="O495" s="683" t="n"/>
      <c r="P495" s="683" t="n"/>
      <c r="Q495" s="683" t="n"/>
      <c r="R495" s="683" t="n"/>
      <c r="S495" s="683" t="n"/>
      <c r="T495" s="683" t="n"/>
      <c r="U495" s="683" t="n"/>
      <c r="V495" s="683" t="n"/>
      <c r="W495" s="683" t="n"/>
      <c r="X495" s="683" t="n"/>
      <c r="Y495" s="683" t="n"/>
    </row>
    <row r="496">
      <c r="A496" s="683" t="n"/>
      <c r="B496" s="683" t="n"/>
      <c r="C496" s="683" t="n"/>
      <c r="D496" s="683" t="n"/>
      <c r="E496" s="683" t="n"/>
      <c r="F496" s="683" t="n"/>
      <c r="G496" s="683" t="n"/>
      <c r="H496" s="683" t="n"/>
      <c r="I496" s="683" t="n"/>
      <c r="J496" s="683" t="n"/>
      <c r="K496" s="683" t="n"/>
      <c r="L496" s="683" t="n"/>
      <c r="M496" s="683" t="n"/>
      <c r="N496" s="683" t="n"/>
      <c r="O496" s="683" t="n"/>
      <c r="P496" s="683" t="n"/>
      <c r="Q496" s="683" t="n"/>
      <c r="R496" s="683" t="n"/>
      <c r="S496" s="683" t="n"/>
      <c r="T496" s="683" t="n"/>
      <c r="U496" s="683" t="n"/>
      <c r="V496" s="683" t="n"/>
      <c r="W496" s="683" t="n"/>
      <c r="X496" s="683" t="n"/>
      <c r="Y496" s="683" t="n"/>
    </row>
    <row r="497">
      <c r="A497" s="683" t="n"/>
      <c r="B497" s="683" t="n"/>
      <c r="C497" s="683" t="n"/>
      <c r="D497" s="683" t="n"/>
      <c r="E497" s="683" t="n"/>
      <c r="F497" s="683" t="n"/>
      <c r="G497" s="683" t="n"/>
      <c r="H497" s="683" t="n"/>
      <c r="I497" s="683" t="n"/>
      <c r="J497" s="683" t="n"/>
      <c r="K497" s="683" t="n"/>
      <c r="L497" s="683" t="n"/>
      <c r="M497" s="683" t="n"/>
      <c r="N497" s="683" t="n"/>
      <c r="O497" s="683" t="n"/>
      <c r="P497" s="683" t="n"/>
      <c r="Q497" s="683" t="n"/>
      <c r="R497" s="683" t="n"/>
      <c r="S497" s="683" t="n"/>
      <c r="T497" s="683" t="n"/>
      <c r="U497" s="683" t="n"/>
      <c r="V497" s="683" t="n"/>
      <c r="W497" s="683" t="n"/>
      <c r="X497" s="683" t="n"/>
      <c r="Y497" s="683" t="n"/>
    </row>
    <row r="498">
      <c r="A498" s="683" t="n"/>
      <c r="B498" s="683" t="n"/>
      <c r="C498" s="683" t="n"/>
      <c r="D498" s="683" t="n"/>
      <c r="E498" s="683" t="n"/>
      <c r="F498" s="683" t="n"/>
      <c r="G498" s="683" t="n"/>
      <c r="H498" s="683" t="n"/>
      <c r="I498" s="683" t="n"/>
      <c r="J498" s="683" t="n"/>
      <c r="K498" s="683" t="n"/>
      <c r="L498" s="683" t="n"/>
      <c r="M498" s="683" t="n"/>
      <c r="N498" s="683" t="n"/>
      <c r="O498" s="683" t="n"/>
      <c r="P498" s="683" t="n"/>
      <c r="Q498" s="683" t="n"/>
      <c r="R498" s="683" t="n"/>
      <c r="S498" s="683" t="n"/>
      <c r="T498" s="683" t="n"/>
      <c r="U498" s="683" t="n"/>
      <c r="V498" s="683" t="n"/>
      <c r="W498" s="683" t="n"/>
      <c r="X498" s="683" t="n"/>
      <c r="Y498" s="683" t="n"/>
    </row>
    <row r="499">
      <c r="A499" s="683" t="n"/>
      <c r="B499" s="683" t="n"/>
      <c r="C499" s="683" t="n"/>
      <c r="D499" s="683" t="n"/>
      <c r="E499" s="683" t="n"/>
      <c r="F499" s="683" t="n"/>
      <c r="G499" s="683" t="n"/>
      <c r="H499" s="683" t="n"/>
      <c r="I499" s="683" t="n"/>
      <c r="J499" s="683" t="n"/>
      <c r="K499" s="683" t="n"/>
      <c r="L499" s="683" t="n"/>
      <c r="M499" s="683" t="n"/>
      <c r="N499" s="683" t="n"/>
      <c r="O499" s="683" t="n"/>
      <c r="P499" s="683" t="n"/>
      <c r="Q499" s="683" t="n"/>
      <c r="R499" s="683" t="n"/>
      <c r="S499" s="683" t="n"/>
      <c r="T499" s="683" t="n"/>
      <c r="U499" s="683" t="n"/>
      <c r="V499" s="683" t="n"/>
      <c r="W499" s="683" t="n"/>
      <c r="X499" s="683" t="n"/>
      <c r="Y499" s="683" t="n"/>
    </row>
    <row r="500">
      <c r="A500" s="683" t="n"/>
      <c r="B500" s="683" t="n"/>
      <c r="C500" s="683" t="n"/>
      <c r="D500" s="683" t="n"/>
      <c r="E500" s="683" t="n"/>
      <c r="F500" s="683" t="n"/>
      <c r="G500" s="683" t="n"/>
      <c r="H500" s="683" t="n"/>
      <c r="I500" s="683" t="n"/>
      <c r="J500" s="683" t="n"/>
      <c r="K500" s="683" t="n"/>
      <c r="L500" s="683" t="n"/>
      <c r="M500" s="683" t="n"/>
      <c r="N500" s="683" t="n"/>
      <c r="O500" s="683" t="n"/>
      <c r="P500" s="683" t="n"/>
      <c r="Q500" s="683" t="n"/>
      <c r="R500" s="683" t="n"/>
      <c r="S500" s="683" t="n"/>
      <c r="T500" s="683" t="n"/>
      <c r="U500" s="683" t="n"/>
      <c r="V500" s="683" t="n"/>
      <c r="W500" s="683" t="n"/>
      <c r="X500" s="683" t="n"/>
      <c r="Y500" s="683" t="n"/>
    </row>
    <row r="501">
      <c r="A501" s="683" t="n"/>
      <c r="B501" s="683" t="n"/>
      <c r="C501" s="683" t="n"/>
      <c r="D501" s="683" t="n"/>
      <c r="E501" s="683" t="n"/>
      <c r="F501" s="683" t="n"/>
      <c r="G501" s="683" t="n"/>
      <c r="H501" s="683" t="n"/>
      <c r="I501" s="683" t="n"/>
      <c r="J501" s="683" t="n"/>
      <c r="K501" s="683" t="n"/>
      <c r="L501" s="683" t="n"/>
      <c r="M501" s="683" t="n"/>
      <c r="N501" s="683" t="n"/>
      <c r="O501" s="683" t="n"/>
      <c r="P501" s="683" t="n"/>
      <c r="Q501" s="683" t="n"/>
      <c r="R501" s="683" t="n"/>
      <c r="S501" s="683" t="n"/>
      <c r="T501" s="683" t="n"/>
      <c r="U501" s="683" t="n"/>
      <c r="V501" s="683" t="n"/>
      <c r="W501" s="683" t="n"/>
      <c r="X501" s="683" t="n"/>
      <c r="Y501" s="683" t="n"/>
    </row>
    <row r="502">
      <c r="A502" s="683" t="n"/>
      <c r="B502" s="683" t="n"/>
      <c r="C502" s="683" t="n"/>
      <c r="D502" s="683" t="n"/>
      <c r="E502" s="683" t="n"/>
      <c r="F502" s="683" t="n"/>
      <c r="G502" s="683" t="n"/>
      <c r="H502" s="683" t="n"/>
      <c r="I502" s="683" t="n"/>
      <c r="J502" s="683" t="n"/>
      <c r="K502" s="683" t="n"/>
      <c r="L502" s="683" t="n"/>
      <c r="M502" s="683" t="n"/>
      <c r="N502" s="683" t="n"/>
      <c r="O502" s="683" t="n"/>
      <c r="P502" s="683" t="n"/>
      <c r="Q502" s="683" t="n"/>
      <c r="R502" s="683" t="n"/>
      <c r="S502" s="683" t="n"/>
      <c r="T502" s="683" t="n"/>
      <c r="U502" s="683" t="n"/>
      <c r="V502" s="683" t="n"/>
      <c r="W502" s="683" t="n"/>
      <c r="X502" s="683" t="n"/>
      <c r="Y502" s="683" t="n"/>
    </row>
    <row r="503">
      <c r="A503" s="683" t="n"/>
      <c r="B503" s="683" t="n"/>
      <c r="C503" s="683" t="n"/>
      <c r="D503" s="683" t="n"/>
      <c r="E503" s="683" t="n"/>
      <c r="F503" s="683" t="n"/>
      <c r="G503" s="683" t="n"/>
      <c r="H503" s="683" t="n"/>
      <c r="I503" s="683" t="n"/>
      <c r="J503" s="683" t="n"/>
      <c r="K503" s="683" t="n"/>
      <c r="L503" s="683" t="n"/>
      <c r="M503" s="683" t="n"/>
      <c r="N503" s="683" t="n"/>
      <c r="O503" s="683" t="n"/>
      <c r="P503" s="683" t="n"/>
      <c r="Q503" s="683" t="n"/>
      <c r="R503" s="683" t="n"/>
      <c r="S503" s="683" t="n"/>
      <c r="T503" s="683" t="n"/>
      <c r="U503" s="683" t="n"/>
      <c r="V503" s="683" t="n"/>
      <c r="W503" s="683" t="n"/>
      <c r="X503" s="683" t="n"/>
      <c r="Y503" s="683" t="n"/>
    </row>
    <row r="504">
      <c r="A504" s="683" t="n"/>
      <c r="B504" s="683" t="n"/>
      <c r="C504" s="683" t="n"/>
      <c r="D504" s="683" t="n"/>
      <c r="E504" s="683" t="n"/>
      <c r="F504" s="683" t="n"/>
      <c r="G504" s="683" t="n"/>
      <c r="H504" s="683" t="n"/>
      <c r="I504" s="683" t="n"/>
      <c r="J504" s="683" t="n"/>
      <c r="K504" s="683" t="n"/>
      <c r="L504" s="683" t="n"/>
      <c r="M504" s="683" t="n"/>
      <c r="N504" s="683" t="n"/>
      <c r="O504" s="683" t="n"/>
      <c r="P504" s="683" t="n"/>
      <c r="Q504" s="683" t="n"/>
      <c r="R504" s="683" t="n"/>
      <c r="S504" s="683" t="n"/>
      <c r="T504" s="683" t="n"/>
      <c r="U504" s="683" t="n"/>
      <c r="V504" s="683" t="n"/>
      <c r="W504" s="683" t="n"/>
      <c r="X504" s="683" t="n"/>
      <c r="Y504" s="683" t="n"/>
    </row>
    <row r="505">
      <c r="A505" s="683" t="n"/>
      <c r="B505" s="683" t="n"/>
      <c r="C505" s="683" t="n"/>
      <c r="D505" s="683" t="n"/>
      <c r="E505" s="683" t="n"/>
      <c r="F505" s="683" t="n"/>
      <c r="G505" s="683" t="n"/>
      <c r="H505" s="683" t="n"/>
      <c r="I505" s="683" t="n"/>
      <c r="J505" s="683" t="n"/>
      <c r="K505" s="683" t="n"/>
      <c r="L505" s="683" t="n"/>
      <c r="M505" s="683" t="n"/>
      <c r="N505" s="683" t="n"/>
      <c r="O505" s="683" t="n"/>
      <c r="P505" s="683" t="n"/>
      <c r="Q505" s="683" t="n"/>
      <c r="R505" s="683" t="n"/>
      <c r="S505" s="683" t="n"/>
      <c r="T505" s="683" t="n"/>
      <c r="U505" s="683" t="n"/>
      <c r="V505" s="683" t="n"/>
      <c r="W505" s="683" t="n"/>
      <c r="X505" s="683" t="n"/>
      <c r="Y505" s="683" t="n"/>
    </row>
    <row r="506">
      <c r="A506" s="683" t="n"/>
      <c r="B506" s="683" t="n"/>
      <c r="C506" s="683" t="n"/>
      <c r="D506" s="683" t="n"/>
      <c r="E506" s="683" t="n"/>
      <c r="F506" s="683" t="n"/>
      <c r="G506" s="683" t="n"/>
      <c r="H506" s="683" t="n"/>
      <c r="I506" s="683" t="n"/>
      <c r="J506" s="683" t="n"/>
      <c r="K506" s="683" t="n"/>
      <c r="L506" s="683" t="n"/>
      <c r="M506" s="683" t="n"/>
      <c r="N506" s="683" t="n"/>
      <c r="O506" s="683" t="n"/>
      <c r="P506" s="683" t="n"/>
      <c r="Q506" s="683" t="n"/>
      <c r="R506" s="683" t="n"/>
      <c r="S506" s="683" t="n"/>
      <c r="T506" s="683" t="n"/>
      <c r="U506" s="683" t="n"/>
      <c r="V506" s="683" t="n"/>
      <c r="W506" s="683" t="n"/>
      <c r="X506" s="683" t="n"/>
      <c r="Y506" s="683" t="n"/>
    </row>
    <row r="507">
      <c r="A507" s="683" t="n"/>
      <c r="B507" s="683" t="n"/>
      <c r="C507" s="683" t="n"/>
      <c r="D507" s="683" t="n"/>
      <c r="E507" s="683" t="n"/>
      <c r="F507" s="683" t="n"/>
      <c r="G507" s="683" t="n"/>
      <c r="H507" s="683" t="n"/>
      <c r="I507" s="683" t="n"/>
      <c r="J507" s="683" t="n"/>
      <c r="K507" s="683" t="n"/>
      <c r="L507" s="683" t="n"/>
      <c r="M507" s="683" t="n"/>
      <c r="N507" s="683" t="n"/>
      <c r="O507" s="683" t="n"/>
      <c r="P507" s="683" t="n"/>
      <c r="Q507" s="683" t="n"/>
      <c r="R507" s="683" t="n"/>
      <c r="S507" s="683" t="n"/>
      <c r="T507" s="683" t="n"/>
      <c r="U507" s="683" t="n"/>
      <c r="V507" s="683" t="n"/>
      <c r="W507" s="683" t="n"/>
      <c r="X507" s="683" t="n"/>
      <c r="Y507" s="683" t="n"/>
    </row>
    <row r="508">
      <c r="A508" s="683" t="n"/>
      <c r="B508" s="683" t="n"/>
      <c r="C508" s="683" t="n"/>
      <c r="D508" s="683" t="n"/>
      <c r="E508" s="683" t="n"/>
      <c r="F508" s="683" t="n"/>
      <c r="G508" s="683" t="n"/>
      <c r="H508" s="683" t="n"/>
      <c r="I508" s="683" t="n"/>
      <c r="J508" s="683" t="n"/>
      <c r="K508" s="683" t="n"/>
      <c r="L508" s="683" t="n"/>
      <c r="M508" s="683" t="n"/>
      <c r="N508" s="683" t="n"/>
      <c r="O508" s="683" t="n"/>
      <c r="P508" s="683" t="n"/>
      <c r="Q508" s="683" t="n"/>
      <c r="R508" s="683" t="n"/>
      <c r="S508" s="683" t="n"/>
      <c r="T508" s="683" t="n"/>
      <c r="U508" s="683" t="n"/>
      <c r="V508" s="683" t="n"/>
      <c r="W508" s="683" t="n"/>
      <c r="X508" s="683" t="n"/>
      <c r="Y508" s="683" t="n"/>
    </row>
    <row r="509">
      <c r="A509" s="683" t="n"/>
      <c r="B509" s="683" t="n"/>
      <c r="C509" s="683" t="n"/>
      <c r="D509" s="683" t="n"/>
      <c r="E509" s="683" t="n"/>
      <c r="F509" s="683" t="n"/>
      <c r="G509" s="683" t="n"/>
      <c r="H509" s="683" t="n"/>
      <c r="I509" s="683" t="n"/>
      <c r="J509" s="683" t="n"/>
      <c r="K509" s="683" t="n"/>
      <c r="L509" s="683" t="n"/>
      <c r="M509" s="683" t="n"/>
      <c r="N509" s="683" t="n"/>
      <c r="O509" s="683" t="n"/>
      <c r="P509" s="683" t="n"/>
      <c r="Q509" s="683" t="n"/>
      <c r="R509" s="683" t="n"/>
      <c r="S509" s="683" t="n"/>
      <c r="T509" s="683" t="n"/>
      <c r="U509" s="683" t="n"/>
      <c r="V509" s="683" t="n"/>
      <c r="W509" s="683" t="n"/>
      <c r="X509" s="683" t="n"/>
      <c r="Y509" s="683" t="n"/>
    </row>
    <row r="510">
      <c r="A510" s="683" t="n"/>
      <c r="B510" s="683" t="n"/>
      <c r="C510" s="683" t="n"/>
      <c r="D510" s="683" t="n"/>
      <c r="E510" s="683" t="n"/>
      <c r="F510" s="683" t="n"/>
      <c r="G510" s="683" t="n"/>
      <c r="H510" s="683" t="n"/>
      <c r="I510" s="683" t="n"/>
      <c r="J510" s="683" t="n"/>
      <c r="K510" s="683" t="n"/>
      <c r="L510" s="683" t="n"/>
      <c r="M510" s="683" t="n"/>
      <c r="N510" s="683" t="n"/>
      <c r="O510" s="683" t="n"/>
      <c r="P510" s="683" t="n"/>
      <c r="Q510" s="683" t="n"/>
      <c r="R510" s="683" t="n"/>
      <c r="S510" s="683" t="n"/>
      <c r="T510" s="683" t="n"/>
      <c r="U510" s="683" t="n"/>
      <c r="V510" s="683" t="n"/>
      <c r="W510" s="683" t="n"/>
      <c r="X510" s="683" t="n"/>
      <c r="Y510" s="683" t="n"/>
    </row>
    <row r="511">
      <c r="A511" s="683" t="n"/>
      <c r="B511" s="683" t="n"/>
      <c r="C511" s="683" t="n"/>
      <c r="D511" s="683" t="n"/>
      <c r="E511" s="683" t="n"/>
      <c r="F511" s="683" t="n"/>
      <c r="G511" s="683" t="n"/>
      <c r="H511" s="683" t="n"/>
      <c r="I511" s="683" t="n"/>
      <c r="J511" s="683" t="n"/>
      <c r="K511" s="683" t="n"/>
      <c r="L511" s="683" t="n"/>
      <c r="M511" s="683" t="n"/>
      <c r="N511" s="683" t="n"/>
      <c r="O511" s="683" t="n"/>
      <c r="P511" s="683" t="n"/>
      <c r="Q511" s="683" t="n"/>
      <c r="R511" s="683" t="n"/>
      <c r="S511" s="683" t="n"/>
      <c r="T511" s="683" t="n"/>
      <c r="U511" s="683" t="n"/>
      <c r="V511" s="683" t="n"/>
      <c r="W511" s="683" t="n"/>
      <c r="X511" s="683" t="n"/>
      <c r="Y511" s="683" t="n"/>
    </row>
    <row r="512">
      <c r="A512" s="683" t="n"/>
      <c r="B512" s="683" t="n"/>
      <c r="C512" s="683" t="n"/>
      <c r="D512" s="683" t="n"/>
      <c r="E512" s="683" t="n"/>
      <c r="F512" s="683" t="n"/>
      <c r="G512" s="683" t="n"/>
      <c r="H512" s="683" t="n"/>
      <c r="I512" s="683" t="n"/>
      <c r="J512" s="683" t="n"/>
      <c r="K512" s="683" t="n"/>
      <c r="L512" s="683" t="n"/>
      <c r="M512" s="683" t="n"/>
      <c r="N512" s="683" t="n"/>
      <c r="O512" s="683" t="n"/>
      <c r="P512" s="683" t="n"/>
      <c r="Q512" s="683" t="n"/>
      <c r="R512" s="683" t="n"/>
      <c r="S512" s="683" t="n"/>
      <c r="T512" s="683" t="n"/>
      <c r="U512" s="683" t="n"/>
      <c r="V512" s="683" t="n"/>
      <c r="W512" s="683" t="n"/>
      <c r="X512" s="683" t="n"/>
      <c r="Y512" s="683" t="n"/>
    </row>
    <row r="513">
      <c r="A513" s="683" t="n"/>
      <c r="B513" s="683" t="n"/>
      <c r="C513" s="683" t="n"/>
      <c r="D513" s="683" t="n"/>
      <c r="E513" s="683" t="n"/>
      <c r="F513" s="683" t="n"/>
      <c r="G513" s="683" t="n"/>
      <c r="H513" s="683" t="n"/>
      <c r="I513" s="683" t="n"/>
      <c r="J513" s="683" t="n"/>
      <c r="K513" s="683" t="n"/>
      <c r="L513" s="683" t="n"/>
      <c r="M513" s="683" t="n"/>
      <c r="N513" s="683" t="n"/>
      <c r="O513" s="683" t="n"/>
      <c r="P513" s="683" t="n"/>
      <c r="Q513" s="683" t="n"/>
      <c r="R513" s="683" t="n"/>
      <c r="S513" s="683" t="n"/>
      <c r="T513" s="683" t="n"/>
      <c r="U513" s="683" t="n"/>
      <c r="V513" s="683" t="n"/>
      <c r="W513" s="683" t="n"/>
      <c r="X513" s="683" t="n"/>
      <c r="Y513" s="683" t="n"/>
    </row>
    <row r="514">
      <c r="A514" s="683" t="n"/>
      <c r="B514" s="683" t="n"/>
      <c r="C514" s="683" t="n"/>
      <c r="D514" s="683" t="n"/>
      <c r="E514" s="683" t="n"/>
      <c r="F514" s="683" t="n"/>
      <c r="G514" s="683" t="n"/>
      <c r="H514" s="683" t="n"/>
      <c r="I514" s="683" t="n"/>
      <c r="J514" s="683" t="n"/>
      <c r="K514" s="683" t="n"/>
      <c r="L514" s="683" t="n"/>
      <c r="M514" s="683" t="n"/>
      <c r="N514" s="683" t="n"/>
      <c r="O514" s="683" t="n"/>
      <c r="P514" s="683" t="n"/>
      <c r="Q514" s="683" t="n"/>
      <c r="R514" s="683" t="n"/>
      <c r="S514" s="683" t="n"/>
      <c r="T514" s="683" t="n"/>
      <c r="U514" s="683" t="n"/>
      <c r="V514" s="683" t="n"/>
      <c r="W514" s="683" t="n"/>
      <c r="X514" s="683" t="n"/>
      <c r="Y514" s="683" t="n"/>
    </row>
    <row r="515">
      <c r="A515" s="683" t="n"/>
      <c r="B515" s="683" t="n"/>
      <c r="C515" s="683" t="n"/>
      <c r="D515" s="683" t="n"/>
      <c r="E515" s="683" t="n"/>
      <c r="F515" s="683" t="n"/>
      <c r="G515" s="683" t="n"/>
      <c r="H515" s="683" t="n"/>
      <c r="I515" s="683" t="n"/>
      <c r="J515" s="683" t="n"/>
      <c r="K515" s="683" t="n"/>
      <c r="L515" s="683" t="n"/>
      <c r="M515" s="683" t="n"/>
      <c r="N515" s="683" t="n"/>
      <c r="O515" s="683" t="n"/>
      <c r="P515" s="683" t="n"/>
      <c r="Q515" s="683" t="n"/>
      <c r="R515" s="683" t="n"/>
      <c r="S515" s="683" t="n"/>
      <c r="T515" s="683" t="n"/>
      <c r="U515" s="683" t="n"/>
      <c r="V515" s="683" t="n"/>
      <c r="W515" s="683" t="n"/>
      <c r="X515" s="683" t="n"/>
      <c r="Y515" s="683" t="n"/>
    </row>
    <row r="516">
      <c r="A516" s="683" t="n"/>
      <c r="B516" s="683" t="n"/>
      <c r="C516" s="683" t="n"/>
      <c r="D516" s="683" t="n"/>
      <c r="E516" s="683" t="n"/>
      <c r="F516" s="683" t="n"/>
      <c r="G516" s="683" t="n"/>
      <c r="H516" s="683" t="n"/>
      <c r="I516" s="683" t="n"/>
      <c r="J516" s="683" t="n"/>
      <c r="K516" s="683" t="n"/>
      <c r="L516" s="683" t="n"/>
      <c r="M516" s="683" t="n"/>
      <c r="N516" s="683" t="n"/>
      <c r="O516" s="683" t="n"/>
      <c r="P516" s="683" t="n"/>
      <c r="Q516" s="683" t="n"/>
      <c r="R516" s="683" t="n"/>
      <c r="S516" s="683" t="n"/>
      <c r="T516" s="683" t="n"/>
      <c r="U516" s="683" t="n"/>
      <c r="V516" s="683" t="n"/>
      <c r="W516" s="683" t="n"/>
      <c r="X516" s="683" t="n"/>
      <c r="Y516" s="683" t="n"/>
    </row>
    <row r="517">
      <c r="A517" s="683" t="n"/>
      <c r="B517" s="683" t="n"/>
      <c r="C517" s="683" t="n"/>
      <c r="D517" s="683" t="n"/>
      <c r="E517" s="683" t="n"/>
      <c r="F517" s="683" t="n"/>
      <c r="G517" s="683" t="n"/>
      <c r="H517" s="683" t="n"/>
      <c r="I517" s="683" t="n"/>
      <c r="J517" s="683" t="n"/>
      <c r="K517" s="683" t="n"/>
      <c r="L517" s="683" t="n"/>
      <c r="M517" s="683" t="n"/>
      <c r="N517" s="683" t="n"/>
      <c r="O517" s="683" t="n"/>
      <c r="P517" s="683" t="n"/>
      <c r="Q517" s="683" t="n"/>
      <c r="R517" s="683" t="n"/>
      <c r="S517" s="683" t="n"/>
      <c r="T517" s="683" t="n"/>
      <c r="U517" s="683" t="n"/>
      <c r="V517" s="683" t="n"/>
      <c r="W517" s="683" t="n"/>
      <c r="X517" s="683" t="n"/>
      <c r="Y517" s="683" t="n"/>
    </row>
    <row r="518">
      <c r="A518" s="683" t="n"/>
      <c r="B518" s="683" t="n"/>
      <c r="C518" s="683" t="n"/>
      <c r="D518" s="683" t="n"/>
      <c r="E518" s="683" t="n"/>
      <c r="F518" s="683" t="n"/>
      <c r="G518" s="683" t="n"/>
      <c r="H518" s="683" t="n"/>
      <c r="I518" s="683" t="n"/>
      <c r="J518" s="683" t="n"/>
      <c r="K518" s="683" t="n"/>
      <c r="L518" s="683" t="n"/>
      <c r="M518" s="683" t="n"/>
      <c r="N518" s="683" t="n"/>
      <c r="O518" s="683" t="n"/>
      <c r="P518" s="683" t="n"/>
      <c r="Q518" s="683" t="n"/>
      <c r="R518" s="683" t="n"/>
      <c r="S518" s="683" t="n"/>
      <c r="T518" s="683" t="n"/>
      <c r="U518" s="683" t="n"/>
      <c r="V518" s="683" t="n"/>
      <c r="W518" s="683" t="n"/>
      <c r="X518" s="683" t="n"/>
      <c r="Y518" s="683" t="n"/>
    </row>
    <row r="519">
      <c r="A519" s="683" t="n"/>
      <c r="B519" s="683" t="n"/>
      <c r="C519" s="683" t="n"/>
      <c r="D519" s="683" t="n"/>
      <c r="E519" s="683" t="n"/>
      <c r="F519" s="683" t="n"/>
      <c r="G519" s="683" t="n"/>
      <c r="H519" s="683" t="n"/>
      <c r="I519" s="683" t="n"/>
      <c r="J519" s="683" t="n"/>
      <c r="K519" s="683" t="n"/>
      <c r="L519" s="683" t="n"/>
      <c r="M519" s="683" t="n"/>
      <c r="N519" s="683" t="n"/>
      <c r="O519" s="683" t="n"/>
      <c r="P519" s="683" t="n"/>
      <c r="Q519" s="683" t="n"/>
      <c r="R519" s="683" t="n"/>
      <c r="S519" s="683" t="n"/>
      <c r="T519" s="683" t="n"/>
      <c r="U519" s="683" t="n"/>
      <c r="V519" s="683" t="n"/>
      <c r="W519" s="683" t="n"/>
      <c r="X519" s="683" t="n"/>
      <c r="Y519" s="683" t="n"/>
    </row>
    <row r="520">
      <c r="A520" s="683" t="n"/>
      <c r="B520" s="683" t="n"/>
      <c r="C520" s="683" t="n"/>
      <c r="D520" s="683" t="n"/>
      <c r="E520" s="683" t="n"/>
      <c r="F520" s="683" t="n"/>
      <c r="G520" s="683" t="n"/>
      <c r="H520" s="683" t="n"/>
      <c r="I520" s="683" t="n"/>
      <c r="J520" s="683" t="n"/>
      <c r="K520" s="683" t="n"/>
      <c r="L520" s="683" t="n"/>
      <c r="M520" s="683" t="n"/>
      <c r="N520" s="683" t="n"/>
      <c r="O520" s="683" t="n"/>
      <c r="P520" s="683" t="n"/>
      <c r="Q520" s="683" t="n"/>
      <c r="R520" s="683" t="n"/>
      <c r="S520" s="683" t="n"/>
      <c r="T520" s="683" t="n"/>
      <c r="U520" s="683" t="n"/>
      <c r="V520" s="683" t="n"/>
      <c r="W520" s="683" t="n"/>
      <c r="X520" s="683" t="n"/>
      <c r="Y520" s="683" t="n"/>
    </row>
    <row r="521">
      <c r="A521" s="683" t="n"/>
      <c r="B521" s="683" t="n"/>
      <c r="C521" s="683" t="n"/>
      <c r="D521" s="683" t="n"/>
      <c r="E521" s="683" t="n"/>
      <c r="F521" s="683" t="n"/>
      <c r="G521" s="683" t="n"/>
      <c r="H521" s="683" t="n"/>
      <c r="I521" s="683" t="n"/>
      <c r="J521" s="683" t="n"/>
      <c r="K521" s="683" t="n"/>
      <c r="L521" s="683" t="n"/>
      <c r="M521" s="683" t="n"/>
      <c r="N521" s="683" t="n"/>
      <c r="O521" s="683" t="n"/>
      <c r="P521" s="683" t="n"/>
      <c r="Q521" s="683" t="n"/>
      <c r="R521" s="683" t="n"/>
      <c r="S521" s="683" t="n"/>
      <c r="T521" s="683" t="n"/>
      <c r="U521" s="683" t="n"/>
      <c r="V521" s="683" t="n"/>
      <c r="W521" s="683" t="n"/>
      <c r="X521" s="683" t="n"/>
      <c r="Y521" s="683" t="n"/>
    </row>
    <row r="522">
      <c r="A522" s="683" t="n"/>
      <c r="B522" s="683" t="n"/>
      <c r="C522" s="683" t="n"/>
      <c r="D522" s="683" t="n"/>
      <c r="E522" s="683" t="n"/>
      <c r="F522" s="683" t="n"/>
      <c r="G522" s="683" t="n"/>
      <c r="H522" s="683" t="n"/>
      <c r="I522" s="683" t="n"/>
      <c r="J522" s="683" t="n"/>
      <c r="K522" s="683" t="n"/>
      <c r="L522" s="683" t="n"/>
      <c r="M522" s="683" t="n"/>
      <c r="N522" s="683" t="n"/>
      <c r="O522" s="683" t="n"/>
      <c r="P522" s="683" t="n"/>
      <c r="Q522" s="683" t="n"/>
      <c r="R522" s="683" t="n"/>
      <c r="S522" s="683" t="n"/>
      <c r="T522" s="683" t="n"/>
      <c r="U522" s="683" t="n"/>
      <c r="V522" s="683" t="n"/>
      <c r="W522" s="683" t="n"/>
      <c r="X522" s="683" t="n"/>
      <c r="Y522" s="683" t="n"/>
    </row>
    <row r="523">
      <c r="A523" s="683" t="n"/>
      <c r="B523" s="683" t="n"/>
      <c r="C523" s="683" t="n"/>
      <c r="D523" s="683" t="n"/>
      <c r="E523" s="683" t="n"/>
      <c r="F523" s="683" t="n"/>
      <c r="G523" s="683" t="n"/>
      <c r="H523" s="683" t="n"/>
      <c r="I523" s="683" t="n"/>
      <c r="J523" s="683" t="n"/>
      <c r="K523" s="683" t="n"/>
      <c r="L523" s="683" t="n"/>
      <c r="M523" s="683" t="n"/>
      <c r="N523" s="683" t="n"/>
      <c r="O523" s="683" t="n"/>
      <c r="P523" s="683" t="n"/>
      <c r="Q523" s="683" t="n"/>
      <c r="R523" s="683" t="n"/>
      <c r="S523" s="683" t="n"/>
      <c r="T523" s="683" t="n"/>
      <c r="U523" s="683" t="n"/>
      <c r="V523" s="683" t="n"/>
      <c r="W523" s="683" t="n"/>
      <c r="X523" s="683" t="n"/>
      <c r="Y523" s="683" t="n"/>
    </row>
    <row r="524">
      <c r="A524" s="683" t="n"/>
      <c r="B524" s="683" t="n"/>
      <c r="C524" s="683" t="n"/>
      <c r="D524" s="683" t="n"/>
      <c r="E524" s="683" t="n"/>
      <c r="F524" s="683" t="n"/>
      <c r="G524" s="683" t="n"/>
      <c r="H524" s="683" t="n"/>
      <c r="I524" s="683" t="n"/>
      <c r="J524" s="683" t="n"/>
      <c r="K524" s="683" t="n"/>
      <c r="L524" s="683" t="n"/>
      <c r="M524" s="683" t="n"/>
      <c r="N524" s="683" t="n"/>
      <c r="O524" s="683" t="n"/>
      <c r="P524" s="683" t="n"/>
      <c r="Q524" s="683" t="n"/>
      <c r="R524" s="683" t="n"/>
      <c r="S524" s="683" t="n"/>
      <c r="T524" s="683" t="n"/>
      <c r="U524" s="683" t="n"/>
      <c r="V524" s="683" t="n"/>
      <c r="W524" s="683" t="n"/>
      <c r="X524" s="683" t="n"/>
      <c r="Y524" s="683" t="n"/>
    </row>
    <row r="525">
      <c r="A525" s="683" t="n"/>
      <c r="B525" s="683" t="n"/>
      <c r="C525" s="683" t="n"/>
      <c r="D525" s="683" t="n"/>
      <c r="E525" s="683" t="n"/>
      <c r="F525" s="683" t="n"/>
      <c r="G525" s="683" t="n"/>
      <c r="H525" s="683" t="n"/>
      <c r="I525" s="683" t="n"/>
      <c r="J525" s="683" t="n"/>
      <c r="K525" s="683" t="n"/>
      <c r="L525" s="683" t="n"/>
      <c r="M525" s="683" t="n"/>
      <c r="N525" s="683" t="n"/>
      <c r="O525" s="683" t="n"/>
      <c r="P525" s="683" t="n"/>
      <c r="Q525" s="683" t="n"/>
      <c r="R525" s="683" t="n"/>
      <c r="S525" s="683" t="n"/>
      <c r="T525" s="683" t="n"/>
      <c r="U525" s="683" t="n"/>
      <c r="V525" s="683" t="n"/>
      <c r="W525" s="683" t="n"/>
      <c r="X525" s="683" t="n"/>
      <c r="Y525" s="683" t="n"/>
    </row>
    <row r="526">
      <c r="A526" s="683" t="n"/>
      <c r="B526" s="683" t="n"/>
      <c r="C526" s="683" t="n"/>
      <c r="D526" s="683" t="n"/>
      <c r="E526" s="683" t="n"/>
      <c r="F526" s="683" t="n"/>
      <c r="G526" s="683" t="n"/>
      <c r="H526" s="683" t="n"/>
      <c r="I526" s="683" t="n"/>
      <c r="J526" s="683" t="n"/>
      <c r="K526" s="683" t="n"/>
      <c r="L526" s="683" t="n"/>
      <c r="M526" s="683" t="n"/>
      <c r="N526" s="683" t="n"/>
      <c r="O526" s="683" t="n"/>
      <c r="P526" s="683" t="n"/>
      <c r="Q526" s="683" t="n"/>
      <c r="R526" s="683" t="n"/>
      <c r="S526" s="683" t="n"/>
      <c r="T526" s="683" t="n"/>
      <c r="U526" s="683" t="n"/>
      <c r="V526" s="683" t="n"/>
      <c r="W526" s="683" t="n"/>
      <c r="X526" s="683" t="n"/>
      <c r="Y526" s="683" t="n"/>
    </row>
    <row r="527">
      <c r="A527" s="683" t="n"/>
      <c r="B527" s="683" t="n"/>
      <c r="C527" s="683" t="n"/>
      <c r="D527" s="683" t="n"/>
      <c r="E527" s="683" t="n"/>
      <c r="F527" s="683" t="n"/>
      <c r="G527" s="683" t="n"/>
      <c r="H527" s="683" t="n"/>
      <c r="I527" s="683" t="n"/>
      <c r="J527" s="683" t="n"/>
      <c r="K527" s="683" t="n"/>
      <c r="L527" s="683" t="n"/>
      <c r="M527" s="683" t="n"/>
      <c r="N527" s="683" t="n"/>
      <c r="O527" s="683" t="n"/>
      <c r="P527" s="683" t="n"/>
      <c r="Q527" s="683" t="n"/>
      <c r="R527" s="683" t="n"/>
      <c r="S527" s="683" t="n"/>
      <c r="T527" s="683" t="n"/>
      <c r="U527" s="683" t="n"/>
      <c r="V527" s="683" t="n"/>
      <c r="W527" s="683" t="n"/>
      <c r="X527" s="683" t="n"/>
      <c r="Y527" s="683" t="n"/>
    </row>
    <row r="528">
      <c r="A528" s="683" t="n"/>
      <c r="B528" s="683" t="n"/>
      <c r="C528" s="683" t="n"/>
      <c r="D528" s="683" t="n"/>
      <c r="E528" s="683" t="n"/>
      <c r="F528" s="683" t="n"/>
      <c r="G528" s="683" t="n"/>
      <c r="H528" s="683" t="n"/>
      <c r="I528" s="683" t="n"/>
      <c r="J528" s="683" t="n"/>
      <c r="K528" s="683" t="n"/>
      <c r="L528" s="683" t="n"/>
      <c r="M528" s="683" t="n"/>
      <c r="N528" s="683" t="n"/>
      <c r="O528" s="683" t="n"/>
      <c r="P528" s="683" t="n"/>
      <c r="Q528" s="683" t="n"/>
      <c r="R528" s="683" t="n"/>
      <c r="S528" s="683" t="n"/>
      <c r="T528" s="683" t="n"/>
      <c r="U528" s="683" t="n"/>
      <c r="V528" s="683" t="n"/>
      <c r="W528" s="683" t="n"/>
      <c r="X528" s="683" t="n"/>
      <c r="Y528" s="683" t="n"/>
    </row>
    <row r="529">
      <c r="A529" s="683" t="n"/>
      <c r="B529" s="683" t="n"/>
      <c r="C529" s="683" t="n"/>
      <c r="D529" s="683" t="n"/>
      <c r="E529" s="683" t="n"/>
      <c r="F529" s="683" t="n"/>
      <c r="G529" s="683" t="n"/>
      <c r="H529" s="683" t="n"/>
      <c r="I529" s="683" t="n"/>
      <c r="J529" s="683" t="n"/>
      <c r="K529" s="683" t="n"/>
      <c r="L529" s="683" t="n"/>
      <c r="M529" s="683" t="n"/>
      <c r="N529" s="683" t="n"/>
      <c r="O529" s="683" t="n"/>
      <c r="P529" s="683" t="n"/>
      <c r="Q529" s="683" t="n"/>
      <c r="R529" s="683" t="n"/>
      <c r="S529" s="683" t="n"/>
      <c r="T529" s="683" t="n"/>
      <c r="U529" s="683" t="n"/>
      <c r="V529" s="683" t="n"/>
      <c r="W529" s="683" t="n"/>
      <c r="X529" s="683" t="n"/>
      <c r="Y529" s="683" t="n"/>
    </row>
    <row r="530">
      <c r="A530" s="683" t="n"/>
      <c r="B530" s="683" t="n"/>
      <c r="C530" s="683" t="n"/>
      <c r="D530" s="683" t="n"/>
      <c r="E530" s="683" t="n"/>
      <c r="F530" s="683" t="n"/>
      <c r="G530" s="683" t="n"/>
      <c r="H530" s="683" t="n"/>
      <c r="I530" s="683" t="n"/>
      <c r="J530" s="683" t="n"/>
      <c r="K530" s="683" t="n"/>
      <c r="L530" s="683" t="n"/>
      <c r="M530" s="683" t="n"/>
      <c r="N530" s="683" t="n"/>
      <c r="O530" s="683" t="n"/>
      <c r="P530" s="683" t="n"/>
      <c r="Q530" s="683" t="n"/>
      <c r="R530" s="683" t="n"/>
      <c r="S530" s="683" t="n"/>
      <c r="T530" s="683" t="n"/>
      <c r="U530" s="683" t="n"/>
      <c r="V530" s="683" t="n"/>
      <c r="W530" s="683" t="n"/>
      <c r="X530" s="683" t="n"/>
      <c r="Y530" s="683" t="n"/>
    </row>
    <row r="531">
      <c r="A531" s="683" t="n"/>
      <c r="B531" s="683" t="n"/>
      <c r="C531" s="683" t="n"/>
      <c r="D531" s="683" t="n"/>
      <c r="E531" s="683" t="n"/>
      <c r="F531" s="683" t="n"/>
      <c r="G531" s="683" t="n"/>
      <c r="H531" s="683" t="n"/>
      <c r="I531" s="683" t="n"/>
      <c r="J531" s="683" t="n"/>
      <c r="K531" s="683" t="n"/>
      <c r="L531" s="683" t="n"/>
      <c r="M531" s="683" t="n"/>
      <c r="N531" s="683" t="n"/>
      <c r="O531" s="683" t="n"/>
      <c r="P531" s="683" t="n"/>
      <c r="Q531" s="683" t="n"/>
      <c r="R531" s="683" t="n"/>
      <c r="S531" s="683" t="n"/>
      <c r="T531" s="683" t="n"/>
      <c r="U531" s="683" t="n"/>
      <c r="V531" s="683" t="n"/>
      <c r="W531" s="683" t="n"/>
      <c r="X531" s="683" t="n"/>
      <c r="Y531" s="683" t="n"/>
    </row>
    <row r="532">
      <c r="A532" s="683" t="n"/>
      <c r="B532" s="683" t="n"/>
      <c r="C532" s="683" t="n"/>
      <c r="D532" s="683" t="n"/>
      <c r="E532" s="683" t="n"/>
      <c r="F532" s="683" t="n"/>
      <c r="G532" s="683" t="n"/>
      <c r="H532" s="683" t="n"/>
      <c r="I532" s="683" t="n"/>
      <c r="J532" s="683" t="n"/>
      <c r="K532" s="683" t="n"/>
      <c r="L532" s="683" t="n"/>
      <c r="M532" s="683" t="n"/>
      <c r="N532" s="683" t="n"/>
      <c r="O532" s="683" t="n"/>
      <c r="P532" s="683" t="n"/>
      <c r="Q532" s="683" t="n"/>
      <c r="R532" s="683" t="n"/>
      <c r="S532" s="683" t="n"/>
      <c r="T532" s="683" t="n"/>
      <c r="U532" s="683" t="n"/>
      <c r="V532" s="683" t="n"/>
      <c r="W532" s="683" t="n"/>
      <c r="X532" s="683" t="n"/>
      <c r="Y532" s="683" t="n"/>
    </row>
    <row r="533">
      <c r="A533" s="683" t="n"/>
      <c r="B533" s="683" t="n"/>
      <c r="C533" s="683" t="n"/>
      <c r="D533" s="683" t="n"/>
      <c r="E533" s="683" t="n"/>
      <c r="F533" s="683" t="n"/>
      <c r="G533" s="683" t="n"/>
      <c r="H533" s="683" t="n"/>
      <c r="I533" s="683" t="n"/>
      <c r="J533" s="683" t="n"/>
      <c r="K533" s="683" t="n"/>
      <c r="L533" s="683" t="n"/>
      <c r="M533" s="683" t="n"/>
      <c r="N533" s="683" t="n"/>
      <c r="O533" s="683" t="n"/>
      <c r="P533" s="683" t="n"/>
      <c r="Q533" s="683" t="n"/>
      <c r="R533" s="683" t="n"/>
      <c r="S533" s="683" t="n"/>
      <c r="T533" s="683" t="n"/>
      <c r="U533" s="683" t="n"/>
      <c r="V533" s="683" t="n"/>
      <c r="W533" s="683" t="n"/>
      <c r="X533" s="683" t="n"/>
      <c r="Y533" s="683" t="n"/>
    </row>
    <row r="534">
      <c r="A534" s="683" t="n"/>
      <c r="B534" s="683" t="n"/>
      <c r="C534" s="683" t="n"/>
      <c r="D534" s="683" t="n"/>
      <c r="E534" s="683" t="n"/>
      <c r="F534" s="683" t="n"/>
      <c r="G534" s="683" t="n"/>
      <c r="H534" s="683" t="n"/>
      <c r="I534" s="683" t="n"/>
      <c r="J534" s="683" t="n"/>
      <c r="K534" s="683" t="n"/>
      <c r="L534" s="683" t="n"/>
      <c r="M534" s="683" t="n"/>
      <c r="N534" s="683" t="n"/>
      <c r="O534" s="683" t="n"/>
      <c r="P534" s="683" t="n"/>
      <c r="Q534" s="683" t="n"/>
      <c r="R534" s="683" t="n"/>
      <c r="S534" s="683" t="n"/>
      <c r="T534" s="683" t="n"/>
      <c r="U534" s="683" t="n"/>
      <c r="V534" s="683" t="n"/>
      <c r="W534" s="683" t="n"/>
      <c r="X534" s="683" t="n"/>
      <c r="Y534" s="683" t="n"/>
    </row>
    <row r="535">
      <c r="A535" s="683" t="n"/>
      <c r="B535" s="683" t="n"/>
      <c r="C535" s="683" t="n"/>
      <c r="D535" s="683" t="n"/>
      <c r="E535" s="683" t="n"/>
      <c r="F535" s="683" t="n"/>
      <c r="G535" s="683" t="n"/>
      <c r="H535" s="683" t="n"/>
      <c r="I535" s="683" t="n"/>
      <c r="J535" s="683" t="n"/>
      <c r="K535" s="683" t="n"/>
      <c r="L535" s="683" t="n"/>
      <c r="M535" s="683" t="n"/>
      <c r="N535" s="683" t="n"/>
      <c r="O535" s="683" t="n"/>
      <c r="P535" s="683" t="n"/>
      <c r="Q535" s="683" t="n"/>
      <c r="R535" s="683" t="n"/>
      <c r="S535" s="683" t="n"/>
      <c r="T535" s="683" t="n"/>
      <c r="U535" s="683" t="n"/>
      <c r="V535" s="683" t="n"/>
      <c r="W535" s="683" t="n"/>
      <c r="X535" s="683" t="n"/>
      <c r="Y535" s="683" t="n"/>
    </row>
    <row r="536">
      <c r="A536" s="683" t="n"/>
      <c r="B536" s="683" t="n"/>
      <c r="C536" s="683" t="n"/>
      <c r="D536" s="683" t="n"/>
      <c r="E536" s="683" t="n"/>
      <c r="F536" s="683" t="n"/>
      <c r="G536" s="683" t="n"/>
      <c r="H536" s="683" t="n"/>
      <c r="I536" s="683" t="n"/>
      <c r="J536" s="683" t="n"/>
      <c r="K536" s="683" t="n"/>
      <c r="L536" s="683" t="n"/>
      <c r="M536" s="683" t="n"/>
      <c r="N536" s="683" t="n"/>
      <c r="O536" s="683" t="n"/>
      <c r="P536" s="683" t="n"/>
      <c r="Q536" s="683" t="n"/>
      <c r="R536" s="683" t="n"/>
      <c r="S536" s="683" t="n"/>
      <c r="T536" s="683" t="n"/>
      <c r="U536" s="683" t="n"/>
      <c r="V536" s="683" t="n"/>
      <c r="W536" s="683" t="n"/>
      <c r="X536" s="683" t="n"/>
      <c r="Y536" s="683" t="n"/>
    </row>
    <row r="537">
      <c r="A537" s="683" t="n"/>
      <c r="B537" s="683" t="n"/>
      <c r="C537" s="683" t="n"/>
      <c r="D537" s="683" t="n"/>
      <c r="E537" s="683" t="n"/>
      <c r="F537" s="683" t="n"/>
      <c r="G537" s="683" t="n"/>
      <c r="H537" s="683" t="n"/>
      <c r="I537" s="683" t="n"/>
      <c r="J537" s="683" t="n"/>
      <c r="K537" s="683" t="n"/>
      <c r="L537" s="683" t="n"/>
      <c r="M537" s="683" t="n"/>
      <c r="N537" s="683" t="n"/>
      <c r="O537" s="683" t="n"/>
      <c r="P537" s="683" t="n"/>
      <c r="Q537" s="683" t="n"/>
      <c r="R537" s="683" t="n"/>
      <c r="S537" s="683" t="n"/>
      <c r="T537" s="683" t="n"/>
      <c r="U537" s="683" t="n"/>
      <c r="V537" s="683" t="n"/>
      <c r="W537" s="683" t="n"/>
      <c r="X537" s="683" t="n"/>
      <c r="Y537" s="683" t="n"/>
    </row>
    <row r="538">
      <c r="A538" s="683" t="n"/>
      <c r="B538" s="683" t="n"/>
      <c r="C538" s="683" t="n"/>
      <c r="D538" s="683" t="n"/>
      <c r="E538" s="683" t="n"/>
      <c r="F538" s="683" t="n"/>
      <c r="G538" s="683" t="n"/>
      <c r="H538" s="683" t="n"/>
      <c r="I538" s="683" t="n"/>
      <c r="J538" s="683" t="n"/>
      <c r="K538" s="683" t="n"/>
      <c r="L538" s="683" t="n"/>
      <c r="M538" s="683" t="n"/>
      <c r="N538" s="683" t="n"/>
      <c r="O538" s="683" t="n"/>
      <c r="P538" s="683" t="n"/>
      <c r="Q538" s="683" t="n"/>
      <c r="R538" s="683" t="n"/>
      <c r="S538" s="683" t="n"/>
      <c r="T538" s="683" t="n"/>
      <c r="U538" s="683" t="n"/>
      <c r="V538" s="683" t="n"/>
      <c r="W538" s="683" t="n"/>
      <c r="X538" s="683" t="n"/>
      <c r="Y538" s="683" t="n"/>
    </row>
    <row r="539">
      <c r="A539" s="683" t="n"/>
      <c r="B539" s="683" t="n"/>
      <c r="C539" s="683" t="n"/>
      <c r="D539" s="683" t="n"/>
      <c r="E539" s="683" t="n"/>
      <c r="F539" s="683" t="n"/>
      <c r="G539" s="683" t="n"/>
      <c r="H539" s="683" t="n"/>
      <c r="I539" s="683" t="n"/>
      <c r="J539" s="683" t="n"/>
      <c r="K539" s="683" t="n"/>
      <c r="L539" s="683" t="n"/>
      <c r="M539" s="683" t="n"/>
      <c r="N539" s="683" t="n"/>
      <c r="O539" s="683" t="n"/>
      <c r="P539" s="683" t="n"/>
      <c r="Q539" s="683" t="n"/>
      <c r="R539" s="683" t="n"/>
      <c r="S539" s="683" t="n"/>
      <c r="T539" s="683" t="n"/>
      <c r="U539" s="683" t="n"/>
      <c r="V539" s="683" t="n"/>
      <c r="W539" s="683" t="n"/>
      <c r="X539" s="683" t="n"/>
      <c r="Y539" s="683" t="n"/>
    </row>
    <row r="540">
      <c r="A540" s="683" t="n"/>
      <c r="B540" s="683" t="n"/>
      <c r="C540" s="683" t="n"/>
      <c r="D540" s="683" t="n"/>
      <c r="E540" s="683" t="n"/>
      <c r="F540" s="683" t="n"/>
      <c r="G540" s="683" t="n"/>
      <c r="H540" s="683" t="n"/>
      <c r="I540" s="683" t="n"/>
      <c r="J540" s="683" t="n"/>
      <c r="K540" s="683" t="n"/>
      <c r="L540" s="683" t="n"/>
      <c r="M540" s="683" t="n"/>
      <c r="N540" s="683" t="n"/>
      <c r="O540" s="683" t="n"/>
      <c r="P540" s="683" t="n"/>
      <c r="Q540" s="683" t="n"/>
      <c r="R540" s="683" t="n"/>
      <c r="S540" s="683" t="n"/>
      <c r="T540" s="683" t="n"/>
      <c r="U540" s="683" t="n"/>
      <c r="V540" s="683" t="n"/>
      <c r="W540" s="683" t="n"/>
      <c r="X540" s="683" t="n"/>
      <c r="Y540" s="683" t="n"/>
    </row>
    <row r="541">
      <c r="A541" s="683" t="n"/>
      <c r="B541" s="683" t="n"/>
      <c r="C541" s="683" t="n"/>
      <c r="D541" s="683" t="n"/>
      <c r="E541" s="683" t="n"/>
      <c r="F541" s="683" t="n"/>
      <c r="G541" s="683" t="n"/>
      <c r="H541" s="683" t="n"/>
      <c r="I541" s="683" t="n"/>
      <c r="J541" s="683" t="n"/>
      <c r="K541" s="683" t="n"/>
      <c r="L541" s="683" t="n"/>
      <c r="M541" s="683" t="n"/>
      <c r="N541" s="683" t="n"/>
      <c r="O541" s="683" t="n"/>
      <c r="P541" s="683" t="n"/>
      <c r="Q541" s="683" t="n"/>
      <c r="R541" s="683" t="n"/>
      <c r="S541" s="683" t="n"/>
      <c r="T541" s="683" t="n"/>
      <c r="U541" s="683" t="n"/>
      <c r="V541" s="683" t="n"/>
      <c r="W541" s="683" t="n"/>
      <c r="X541" s="683" t="n"/>
      <c r="Y541" s="683" t="n"/>
    </row>
    <row r="542">
      <c r="A542" s="683" t="n"/>
      <c r="B542" s="683" t="n"/>
      <c r="C542" s="683" t="n"/>
      <c r="D542" s="683" t="n"/>
      <c r="E542" s="683" t="n"/>
      <c r="F542" s="683" t="n"/>
      <c r="G542" s="683" t="n"/>
      <c r="H542" s="683" t="n"/>
      <c r="I542" s="683" t="n"/>
      <c r="J542" s="683" t="n"/>
      <c r="K542" s="683" t="n"/>
      <c r="L542" s="683" t="n"/>
      <c r="M542" s="683" t="n"/>
      <c r="N542" s="683" t="n"/>
      <c r="O542" s="683" t="n"/>
      <c r="P542" s="683" t="n"/>
      <c r="Q542" s="683" t="n"/>
      <c r="R542" s="683" t="n"/>
      <c r="S542" s="683" t="n"/>
      <c r="T542" s="683" t="n"/>
      <c r="U542" s="683" t="n"/>
      <c r="V542" s="683" t="n"/>
      <c r="W542" s="683" t="n"/>
      <c r="X542" s="683" t="n"/>
      <c r="Y542" s="683" t="n"/>
    </row>
    <row r="543">
      <c r="A543" s="683" t="n"/>
      <c r="B543" s="683" t="n"/>
      <c r="C543" s="683" t="n"/>
      <c r="D543" s="683" t="n"/>
      <c r="E543" s="683" t="n"/>
      <c r="F543" s="683" t="n"/>
      <c r="G543" s="683" t="n"/>
      <c r="H543" s="683" t="n"/>
      <c r="I543" s="683" t="n"/>
      <c r="J543" s="683" t="n"/>
      <c r="K543" s="683" t="n"/>
      <c r="L543" s="683" t="n"/>
      <c r="M543" s="683" t="n"/>
      <c r="N543" s="683" t="n"/>
      <c r="O543" s="683" t="n"/>
      <c r="P543" s="683" t="n"/>
      <c r="Q543" s="683" t="n"/>
      <c r="R543" s="683" t="n"/>
      <c r="S543" s="683" t="n"/>
      <c r="T543" s="683" t="n"/>
      <c r="U543" s="683" t="n"/>
      <c r="V543" s="683" t="n"/>
      <c r="W543" s="683" t="n"/>
      <c r="X543" s="683" t="n"/>
      <c r="Y543" s="683" t="n"/>
    </row>
    <row r="544">
      <c r="A544" s="683" t="n"/>
      <c r="B544" s="683" t="n"/>
      <c r="C544" s="683" t="n"/>
      <c r="D544" s="683" t="n"/>
      <c r="E544" s="683" t="n"/>
      <c r="F544" s="683" t="n"/>
      <c r="G544" s="683" t="n"/>
      <c r="H544" s="683" t="n"/>
      <c r="I544" s="683" t="n"/>
      <c r="J544" s="683" t="n"/>
      <c r="K544" s="683" t="n"/>
      <c r="L544" s="683" t="n"/>
      <c r="M544" s="683" t="n"/>
      <c r="N544" s="683" t="n"/>
      <c r="O544" s="683" t="n"/>
      <c r="P544" s="683" t="n"/>
      <c r="Q544" s="683" t="n"/>
      <c r="R544" s="683" t="n"/>
      <c r="S544" s="683" t="n"/>
      <c r="T544" s="683" t="n"/>
      <c r="U544" s="683" t="n"/>
      <c r="V544" s="683" t="n"/>
      <c r="W544" s="683" t="n"/>
      <c r="X544" s="683" t="n"/>
      <c r="Y544" s="683" t="n"/>
    </row>
    <row r="545">
      <c r="A545" s="683" t="n"/>
      <c r="B545" s="683" t="n"/>
      <c r="C545" s="683" t="n"/>
      <c r="D545" s="683" t="n"/>
      <c r="E545" s="683" t="n"/>
      <c r="F545" s="683" t="n"/>
      <c r="G545" s="683" t="n"/>
      <c r="H545" s="683" t="n"/>
      <c r="I545" s="683" t="n"/>
      <c r="J545" s="683" t="n"/>
      <c r="K545" s="683" t="n"/>
      <c r="L545" s="683" t="n"/>
      <c r="M545" s="683" t="n"/>
      <c r="N545" s="683" t="n"/>
      <c r="O545" s="683" t="n"/>
      <c r="P545" s="683" t="n"/>
      <c r="Q545" s="683" t="n"/>
      <c r="R545" s="683" t="n"/>
      <c r="S545" s="683" t="n"/>
      <c r="T545" s="683" t="n"/>
      <c r="U545" s="683" t="n"/>
      <c r="V545" s="683" t="n"/>
      <c r="W545" s="683" t="n"/>
      <c r="X545" s="683" t="n"/>
      <c r="Y545" s="683" t="n"/>
    </row>
    <row r="546">
      <c r="A546" s="683" t="n"/>
      <c r="B546" s="683" t="n"/>
      <c r="C546" s="683" t="n"/>
      <c r="D546" s="683" t="n"/>
      <c r="E546" s="683" t="n"/>
      <c r="F546" s="683" t="n"/>
      <c r="G546" s="683" t="n"/>
      <c r="H546" s="683" t="n"/>
      <c r="I546" s="683" t="n"/>
      <c r="J546" s="683" t="n"/>
      <c r="K546" s="683" t="n"/>
      <c r="L546" s="683" t="n"/>
      <c r="M546" s="683" t="n"/>
      <c r="N546" s="683" t="n"/>
      <c r="O546" s="683" t="n"/>
      <c r="P546" s="683" t="n"/>
      <c r="Q546" s="683" t="n"/>
      <c r="R546" s="683" t="n"/>
      <c r="S546" s="683" t="n"/>
      <c r="T546" s="683" t="n"/>
      <c r="U546" s="683" t="n"/>
      <c r="V546" s="683" t="n"/>
      <c r="W546" s="683" t="n"/>
      <c r="X546" s="683" t="n"/>
      <c r="Y546" s="683" t="n"/>
    </row>
    <row r="547">
      <c r="A547" s="683" t="n"/>
      <c r="B547" s="683" t="n"/>
      <c r="C547" s="683" t="n"/>
      <c r="D547" s="683" t="n"/>
      <c r="E547" s="683" t="n"/>
      <c r="F547" s="683" t="n"/>
      <c r="G547" s="683" t="n"/>
      <c r="H547" s="683" t="n"/>
      <c r="I547" s="683" t="n"/>
      <c r="J547" s="683" t="n"/>
      <c r="K547" s="683" t="n"/>
      <c r="L547" s="683" t="n"/>
      <c r="M547" s="683" t="n"/>
      <c r="N547" s="683" t="n"/>
      <c r="O547" s="683" t="n"/>
      <c r="P547" s="683" t="n"/>
      <c r="Q547" s="683" t="n"/>
      <c r="R547" s="683" t="n"/>
      <c r="S547" s="683" t="n"/>
      <c r="T547" s="683" t="n"/>
      <c r="U547" s="683" t="n"/>
      <c r="V547" s="683" t="n"/>
      <c r="W547" s="683" t="n"/>
      <c r="X547" s="683" t="n"/>
      <c r="Y547" s="683" t="n"/>
    </row>
    <row r="548">
      <c r="A548" s="683" t="n"/>
      <c r="B548" s="683" t="n"/>
      <c r="C548" s="683" t="n"/>
      <c r="D548" s="683" t="n"/>
      <c r="E548" s="683" t="n"/>
      <c r="F548" s="683" t="n"/>
      <c r="G548" s="683" t="n"/>
      <c r="H548" s="683" t="n"/>
      <c r="I548" s="683" t="n"/>
      <c r="J548" s="683" t="n"/>
      <c r="K548" s="683" t="n"/>
      <c r="L548" s="683" t="n"/>
      <c r="M548" s="683" t="n"/>
      <c r="N548" s="683" t="n"/>
      <c r="O548" s="683" t="n"/>
      <c r="P548" s="683" t="n"/>
      <c r="Q548" s="683" t="n"/>
      <c r="R548" s="683" t="n"/>
      <c r="S548" s="683" t="n"/>
      <c r="T548" s="683" t="n"/>
      <c r="U548" s="683" t="n"/>
      <c r="V548" s="683" t="n"/>
      <c r="W548" s="683" t="n"/>
      <c r="X548" s="683" t="n"/>
      <c r="Y548" s="683" t="n"/>
    </row>
    <row r="549">
      <c r="A549" s="683" t="n"/>
      <c r="B549" s="683" t="n"/>
      <c r="C549" s="683" t="n"/>
      <c r="D549" s="683" t="n"/>
      <c r="E549" s="683" t="n"/>
      <c r="F549" s="683" t="n"/>
      <c r="G549" s="683" t="n"/>
      <c r="H549" s="683" t="n"/>
      <c r="I549" s="683" t="n"/>
      <c r="J549" s="683" t="n"/>
      <c r="K549" s="683" t="n"/>
      <c r="L549" s="683" t="n"/>
      <c r="M549" s="683" t="n"/>
      <c r="N549" s="683" t="n"/>
      <c r="O549" s="683" t="n"/>
      <c r="P549" s="683" t="n"/>
      <c r="Q549" s="683" t="n"/>
      <c r="R549" s="683" t="n"/>
      <c r="S549" s="683" t="n"/>
      <c r="T549" s="683" t="n"/>
      <c r="U549" s="683" t="n"/>
      <c r="V549" s="683" t="n"/>
      <c r="W549" s="683" t="n"/>
      <c r="X549" s="683" t="n"/>
      <c r="Y549" s="683" t="n"/>
    </row>
    <row r="550">
      <c r="A550" s="683" t="n"/>
      <c r="B550" s="683" t="n"/>
      <c r="C550" s="683" t="n"/>
      <c r="D550" s="683" t="n"/>
      <c r="E550" s="683" t="n"/>
      <c r="F550" s="683" t="n"/>
      <c r="G550" s="683" t="n"/>
      <c r="H550" s="683" t="n"/>
      <c r="I550" s="683" t="n"/>
      <c r="J550" s="683" t="n"/>
      <c r="K550" s="683" t="n"/>
      <c r="L550" s="683" t="n"/>
      <c r="M550" s="683" t="n"/>
      <c r="N550" s="683" t="n"/>
      <c r="O550" s="683" t="n"/>
      <c r="P550" s="683" t="n"/>
      <c r="Q550" s="683" t="n"/>
      <c r="R550" s="683" t="n"/>
      <c r="S550" s="683" t="n"/>
      <c r="T550" s="683" t="n"/>
      <c r="U550" s="683" t="n"/>
      <c r="V550" s="683" t="n"/>
      <c r="W550" s="683" t="n"/>
      <c r="X550" s="683" t="n"/>
      <c r="Y550" s="683" t="n"/>
    </row>
    <row r="551">
      <c r="A551" s="683" t="n"/>
      <c r="B551" s="683" t="n"/>
      <c r="C551" s="683" t="n"/>
      <c r="D551" s="683" t="n"/>
      <c r="E551" s="683" t="n"/>
      <c r="F551" s="683" t="n"/>
      <c r="G551" s="683" t="n"/>
      <c r="H551" s="683" t="n"/>
      <c r="I551" s="683" t="n"/>
      <c r="J551" s="683" t="n"/>
      <c r="K551" s="683" t="n"/>
      <c r="L551" s="683" t="n"/>
      <c r="M551" s="683" t="n"/>
      <c r="N551" s="683" t="n"/>
      <c r="O551" s="683" t="n"/>
      <c r="P551" s="683" t="n"/>
      <c r="Q551" s="683" t="n"/>
      <c r="R551" s="683" t="n"/>
      <c r="S551" s="683" t="n"/>
      <c r="T551" s="683" t="n"/>
      <c r="U551" s="683" t="n"/>
      <c r="V551" s="683" t="n"/>
      <c r="W551" s="683" t="n"/>
      <c r="X551" s="683" t="n"/>
      <c r="Y551" s="683" t="n"/>
    </row>
    <row r="552">
      <c r="A552" s="683" t="n"/>
      <c r="B552" s="683" t="n"/>
      <c r="C552" s="683" t="n"/>
      <c r="D552" s="683" t="n"/>
      <c r="E552" s="683" t="n"/>
      <c r="F552" s="683" t="n"/>
      <c r="G552" s="683" t="n"/>
      <c r="H552" s="683" t="n"/>
      <c r="I552" s="683" t="n"/>
      <c r="J552" s="683" t="n"/>
      <c r="K552" s="683" t="n"/>
      <c r="L552" s="683" t="n"/>
      <c r="M552" s="683" t="n"/>
      <c r="N552" s="683" t="n"/>
      <c r="O552" s="683" t="n"/>
      <c r="P552" s="683" t="n"/>
      <c r="Q552" s="683" t="n"/>
      <c r="R552" s="683" t="n"/>
      <c r="S552" s="683" t="n"/>
      <c r="T552" s="683" t="n"/>
      <c r="U552" s="683" t="n"/>
      <c r="V552" s="683" t="n"/>
      <c r="W552" s="683" t="n"/>
      <c r="X552" s="683" t="n"/>
      <c r="Y552" s="683" t="n"/>
    </row>
    <row r="553">
      <c r="A553" s="683" t="n"/>
      <c r="B553" s="683" t="n"/>
      <c r="C553" s="683" t="n"/>
      <c r="D553" s="683" t="n"/>
      <c r="E553" s="683" t="n"/>
      <c r="F553" s="683" t="n"/>
      <c r="G553" s="683" t="n"/>
      <c r="H553" s="683" t="n"/>
      <c r="I553" s="683" t="n"/>
      <c r="J553" s="683" t="n"/>
      <c r="K553" s="683" t="n"/>
      <c r="L553" s="683" t="n"/>
      <c r="M553" s="683" t="n"/>
      <c r="N553" s="683" t="n"/>
      <c r="O553" s="683" t="n"/>
      <c r="P553" s="683" t="n"/>
      <c r="Q553" s="683" t="n"/>
      <c r="R553" s="683" t="n"/>
      <c r="S553" s="683" t="n"/>
      <c r="T553" s="683" t="n"/>
      <c r="U553" s="683" t="n"/>
      <c r="V553" s="683" t="n"/>
      <c r="W553" s="683" t="n"/>
      <c r="X553" s="683" t="n"/>
      <c r="Y553" s="683" t="n"/>
    </row>
    <row r="554">
      <c r="A554" s="683" t="n"/>
      <c r="B554" s="683" t="n"/>
      <c r="C554" s="683" t="n"/>
      <c r="D554" s="683" t="n"/>
      <c r="E554" s="683" t="n"/>
      <c r="F554" s="683" t="n"/>
      <c r="G554" s="683" t="n"/>
      <c r="H554" s="683" t="n"/>
      <c r="I554" s="683" t="n"/>
      <c r="J554" s="683" t="n"/>
      <c r="K554" s="683" t="n"/>
      <c r="L554" s="683" t="n"/>
      <c r="M554" s="683" t="n"/>
      <c r="N554" s="683" t="n"/>
      <c r="O554" s="683" t="n"/>
      <c r="P554" s="683" t="n"/>
      <c r="Q554" s="683" t="n"/>
      <c r="R554" s="683" t="n"/>
      <c r="S554" s="683" t="n"/>
      <c r="T554" s="683" t="n"/>
      <c r="U554" s="683" t="n"/>
      <c r="V554" s="683" t="n"/>
      <c r="W554" s="683" t="n"/>
      <c r="X554" s="683" t="n"/>
      <c r="Y554" s="683" t="n"/>
    </row>
    <row r="555">
      <c r="A555" s="683" t="n"/>
      <c r="B555" s="683" t="n"/>
      <c r="C555" s="683" t="n"/>
      <c r="D555" s="683" t="n"/>
      <c r="E555" s="683" t="n"/>
      <c r="F555" s="683" t="n"/>
      <c r="G555" s="683" t="n"/>
      <c r="H555" s="683" t="n"/>
      <c r="I555" s="683" t="n"/>
      <c r="J555" s="683" t="n"/>
      <c r="K555" s="683" t="n"/>
      <c r="L555" s="683" t="n"/>
      <c r="M555" s="683" t="n"/>
      <c r="N555" s="683" t="n"/>
      <c r="O555" s="683" t="n"/>
      <c r="P555" s="683" t="n"/>
      <c r="Q555" s="683" t="n"/>
      <c r="R555" s="683" t="n"/>
      <c r="S555" s="683" t="n"/>
      <c r="T555" s="683" t="n"/>
      <c r="U555" s="683" t="n"/>
      <c r="V555" s="683" t="n"/>
      <c r="W555" s="683" t="n"/>
      <c r="X555" s="683" t="n"/>
      <c r="Y555" s="683" t="n"/>
    </row>
    <row r="556">
      <c r="A556" s="683" t="n"/>
      <c r="B556" s="683" t="n"/>
      <c r="C556" s="683" t="n"/>
      <c r="D556" s="683" t="n"/>
      <c r="E556" s="683" t="n"/>
      <c r="F556" s="683" t="n"/>
      <c r="G556" s="683" t="n"/>
      <c r="H556" s="683" t="n"/>
      <c r="I556" s="683" t="n"/>
      <c r="J556" s="683" t="n"/>
      <c r="K556" s="683" t="n"/>
      <c r="L556" s="683" t="n"/>
      <c r="M556" s="683" t="n"/>
      <c r="N556" s="683" t="n"/>
      <c r="O556" s="683" t="n"/>
      <c r="P556" s="683" t="n"/>
      <c r="Q556" s="683" t="n"/>
      <c r="R556" s="683" t="n"/>
      <c r="S556" s="683" t="n"/>
      <c r="T556" s="683" t="n"/>
      <c r="U556" s="683" t="n"/>
      <c r="V556" s="683" t="n"/>
      <c r="W556" s="683" t="n"/>
      <c r="X556" s="683" t="n"/>
      <c r="Y556" s="683" t="n"/>
    </row>
    <row r="557">
      <c r="A557" s="683" t="n"/>
      <c r="B557" s="683" t="n"/>
      <c r="C557" s="683" t="n"/>
      <c r="D557" s="683" t="n"/>
      <c r="E557" s="683" t="n"/>
      <c r="F557" s="683" t="n"/>
      <c r="G557" s="683" t="n"/>
      <c r="H557" s="683" t="n"/>
      <c r="I557" s="683" t="n"/>
      <c r="J557" s="683" t="n"/>
      <c r="K557" s="683" t="n"/>
      <c r="L557" s="683" t="n"/>
      <c r="M557" s="683" t="n"/>
      <c r="N557" s="683" t="n"/>
      <c r="O557" s="683" t="n"/>
      <c r="P557" s="683" t="n"/>
      <c r="Q557" s="683" t="n"/>
      <c r="R557" s="683" t="n"/>
      <c r="S557" s="683" t="n"/>
      <c r="T557" s="683" t="n"/>
      <c r="U557" s="683" t="n"/>
      <c r="V557" s="683" t="n"/>
      <c r="W557" s="683" t="n"/>
      <c r="X557" s="683" t="n"/>
      <c r="Y557" s="683" t="n"/>
    </row>
    <row r="558">
      <c r="A558" s="683" t="n"/>
      <c r="B558" s="683" t="n"/>
      <c r="C558" s="683" t="n"/>
      <c r="D558" s="683" t="n"/>
      <c r="E558" s="683" t="n"/>
      <c r="F558" s="683" t="n"/>
      <c r="G558" s="683" t="n"/>
      <c r="H558" s="683" t="n"/>
      <c r="I558" s="683" t="n"/>
      <c r="J558" s="683" t="n"/>
      <c r="K558" s="683" t="n"/>
      <c r="L558" s="683" t="n"/>
      <c r="M558" s="683" t="n"/>
      <c r="N558" s="683" t="n"/>
      <c r="O558" s="683" t="n"/>
      <c r="P558" s="683" t="n"/>
      <c r="Q558" s="683" t="n"/>
      <c r="R558" s="683" t="n"/>
      <c r="S558" s="683" t="n"/>
      <c r="T558" s="683" t="n"/>
      <c r="U558" s="683" t="n"/>
      <c r="V558" s="683" t="n"/>
      <c r="W558" s="683" t="n"/>
      <c r="X558" s="683" t="n"/>
      <c r="Y558" s="683" t="n"/>
    </row>
    <row r="559">
      <c r="A559" s="683" t="n"/>
      <c r="B559" s="683" t="n"/>
      <c r="C559" s="683" t="n"/>
      <c r="D559" s="683" t="n"/>
      <c r="E559" s="683" t="n"/>
      <c r="F559" s="683" t="n"/>
      <c r="G559" s="683" t="n"/>
      <c r="H559" s="683" t="n"/>
      <c r="I559" s="683" t="n"/>
      <c r="J559" s="683" t="n"/>
      <c r="K559" s="683" t="n"/>
      <c r="L559" s="683" t="n"/>
      <c r="M559" s="683" t="n"/>
      <c r="N559" s="683" t="n"/>
      <c r="O559" s="683" t="n"/>
      <c r="P559" s="683" t="n"/>
      <c r="Q559" s="683" t="n"/>
      <c r="R559" s="683" t="n"/>
      <c r="S559" s="683" t="n"/>
      <c r="T559" s="683" t="n"/>
      <c r="U559" s="683" t="n"/>
      <c r="V559" s="683" t="n"/>
      <c r="W559" s="683" t="n"/>
      <c r="X559" s="683" t="n"/>
      <c r="Y559" s="683" t="n"/>
    </row>
    <row r="560">
      <c r="A560" s="683" t="n"/>
      <c r="B560" s="683" t="n"/>
      <c r="C560" s="683" t="n"/>
      <c r="D560" s="683" t="n"/>
      <c r="E560" s="683" t="n"/>
      <c r="F560" s="683" t="n"/>
      <c r="G560" s="683" t="n"/>
      <c r="H560" s="683" t="n"/>
      <c r="I560" s="683" t="n"/>
      <c r="J560" s="683" t="n"/>
      <c r="K560" s="683" t="n"/>
      <c r="L560" s="683" t="n"/>
      <c r="M560" s="683" t="n"/>
      <c r="N560" s="683" t="n"/>
      <c r="O560" s="683" t="n"/>
      <c r="P560" s="683" t="n"/>
      <c r="Q560" s="683" t="n"/>
      <c r="R560" s="683" t="n"/>
      <c r="S560" s="683" t="n"/>
      <c r="T560" s="683" t="n"/>
      <c r="U560" s="683" t="n"/>
      <c r="V560" s="683" t="n"/>
      <c r="W560" s="683" t="n"/>
      <c r="X560" s="683" t="n"/>
      <c r="Y560" s="683" t="n"/>
    </row>
    <row r="561">
      <c r="A561" s="683" t="n"/>
      <c r="B561" s="683" t="n"/>
      <c r="C561" s="683" t="n"/>
      <c r="D561" s="683" t="n"/>
      <c r="E561" s="683" t="n"/>
      <c r="F561" s="683" t="n"/>
      <c r="G561" s="683" t="n"/>
      <c r="H561" s="683" t="n"/>
      <c r="I561" s="683" t="n"/>
      <c r="J561" s="683" t="n"/>
      <c r="K561" s="683" t="n"/>
      <c r="L561" s="683" t="n"/>
      <c r="M561" s="683" t="n"/>
      <c r="N561" s="683" t="n"/>
      <c r="O561" s="683" t="n"/>
      <c r="P561" s="683" t="n"/>
      <c r="Q561" s="683" t="n"/>
      <c r="R561" s="683" t="n"/>
      <c r="S561" s="683" t="n"/>
      <c r="T561" s="683" t="n"/>
      <c r="U561" s="683" t="n"/>
      <c r="V561" s="683" t="n"/>
      <c r="W561" s="683" t="n"/>
      <c r="X561" s="683" t="n"/>
      <c r="Y561" s="683" t="n"/>
    </row>
    <row r="562">
      <c r="A562" s="683" t="n"/>
      <c r="B562" s="683" t="n"/>
      <c r="C562" s="683" t="n"/>
      <c r="D562" s="683" t="n"/>
      <c r="E562" s="683" t="n"/>
      <c r="F562" s="683" t="n"/>
      <c r="G562" s="683" t="n"/>
      <c r="H562" s="683" t="n"/>
      <c r="I562" s="683" t="n"/>
      <c r="J562" s="683" t="n"/>
      <c r="K562" s="683" t="n"/>
      <c r="L562" s="683" t="n"/>
      <c r="M562" s="683" t="n"/>
      <c r="N562" s="683" t="n"/>
      <c r="O562" s="683" t="n"/>
      <c r="P562" s="683" t="n"/>
      <c r="Q562" s="683" t="n"/>
      <c r="R562" s="683" t="n"/>
      <c r="S562" s="683" t="n"/>
      <c r="T562" s="683" t="n"/>
      <c r="U562" s="683" t="n"/>
      <c r="V562" s="683" t="n"/>
      <c r="W562" s="683" t="n"/>
      <c r="X562" s="683" t="n"/>
      <c r="Y562" s="683" t="n"/>
    </row>
    <row r="563">
      <c r="A563" s="683" t="n"/>
      <c r="B563" s="683" t="n"/>
      <c r="C563" s="683" t="n"/>
      <c r="D563" s="683" t="n"/>
      <c r="E563" s="683" t="n"/>
      <c r="F563" s="683" t="n"/>
      <c r="G563" s="683" t="n"/>
      <c r="H563" s="683" t="n"/>
      <c r="I563" s="683" t="n"/>
      <c r="J563" s="683" t="n"/>
      <c r="K563" s="683" t="n"/>
      <c r="L563" s="683" t="n"/>
      <c r="M563" s="683" t="n"/>
      <c r="N563" s="683" t="n"/>
      <c r="O563" s="683" t="n"/>
      <c r="P563" s="683" t="n"/>
      <c r="Q563" s="683" t="n"/>
      <c r="R563" s="683" t="n"/>
      <c r="S563" s="683" t="n"/>
      <c r="T563" s="683" t="n"/>
      <c r="U563" s="683" t="n"/>
      <c r="V563" s="683" t="n"/>
      <c r="W563" s="683" t="n"/>
      <c r="X563" s="683" t="n"/>
      <c r="Y563" s="683" t="n"/>
    </row>
    <row r="564">
      <c r="A564" s="683" t="n"/>
      <c r="B564" s="683" t="n"/>
      <c r="C564" s="683" t="n"/>
      <c r="D564" s="683" t="n"/>
      <c r="E564" s="683" t="n"/>
      <c r="F564" s="683" t="n"/>
      <c r="G564" s="683" t="n"/>
      <c r="H564" s="683" t="n"/>
      <c r="I564" s="683" t="n"/>
      <c r="J564" s="683" t="n"/>
      <c r="K564" s="683" t="n"/>
      <c r="L564" s="683" t="n"/>
      <c r="M564" s="683" t="n"/>
      <c r="N564" s="683" t="n"/>
      <c r="O564" s="683" t="n"/>
      <c r="P564" s="683" t="n"/>
      <c r="Q564" s="683" t="n"/>
      <c r="R564" s="683" t="n"/>
      <c r="S564" s="683" t="n"/>
      <c r="T564" s="683" t="n"/>
      <c r="U564" s="683" t="n"/>
      <c r="V564" s="683" t="n"/>
      <c r="W564" s="683" t="n"/>
      <c r="X564" s="683" t="n"/>
      <c r="Y564" s="683" t="n"/>
    </row>
    <row r="565">
      <c r="A565" s="683" t="n"/>
      <c r="B565" s="683" t="n"/>
      <c r="C565" s="683" t="n"/>
      <c r="D565" s="683" t="n"/>
      <c r="E565" s="683" t="n"/>
      <c r="F565" s="683" t="n"/>
      <c r="G565" s="683" t="n"/>
      <c r="H565" s="683" t="n"/>
      <c r="I565" s="683" t="n"/>
      <c r="J565" s="683" t="n"/>
      <c r="K565" s="683" t="n"/>
      <c r="L565" s="683" t="n"/>
      <c r="M565" s="683" t="n"/>
      <c r="N565" s="683" t="n"/>
      <c r="O565" s="683" t="n"/>
      <c r="P565" s="683" t="n"/>
      <c r="Q565" s="683" t="n"/>
      <c r="R565" s="683" t="n"/>
      <c r="S565" s="683" t="n"/>
      <c r="T565" s="683" t="n"/>
      <c r="U565" s="683" t="n"/>
      <c r="V565" s="683" t="n"/>
      <c r="W565" s="683" t="n"/>
      <c r="X565" s="683" t="n"/>
      <c r="Y565" s="683" t="n"/>
    </row>
    <row r="566">
      <c r="A566" s="683" t="n"/>
      <c r="B566" s="683" t="n"/>
      <c r="C566" s="683" t="n"/>
      <c r="D566" s="683" t="n"/>
      <c r="E566" s="683" t="n"/>
      <c r="F566" s="683" t="n"/>
      <c r="G566" s="683" t="n"/>
      <c r="H566" s="683" t="n"/>
      <c r="I566" s="683" t="n"/>
      <c r="J566" s="683" t="n"/>
      <c r="K566" s="683" t="n"/>
      <c r="L566" s="683" t="n"/>
      <c r="M566" s="683" t="n"/>
      <c r="N566" s="683" t="n"/>
      <c r="O566" s="683" t="n"/>
      <c r="P566" s="683" t="n"/>
      <c r="Q566" s="683" t="n"/>
      <c r="R566" s="683" t="n"/>
      <c r="S566" s="683" t="n"/>
      <c r="T566" s="683" t="n"/>
      <c r="U566" s="683" t="n"/>
      <c r="V566" s="683" t="n"/>
      <c r="W566" s="683" t="n"/>
      <c r="X566" s="683" t="n"/>
      <c r="Y566" s="683" t="n"/>
    </row>
    <row r="567">
      <c r="A567" s="683" t="n"/>
      <c r="B567" s="683" t="n"/>
      <c r="C567" s="683" t="n"/>
      <c r="D567" s="683" t="n"/>
      <c r="E567" s="683" t="n"/>
      <c r="F567" s="683" t="n"/>
      <c r="G567" s="683" t="n"/>
      <c r="H567" s="683" t="n"/>
      <c r="I567" s="683" t="n"/>
      <c r="J567" s="683" t="n"/>
      <c r="K567" s="683" t="n"/>
      <c r="L567" s="683" t="n"/>
      <c r="M567" s="683" t="n"/>
      <c r="N567" s="683" t="n"/>
      <c r="O567" s="683" t="n"/>
      <c r="P567" s="683" t="n"/>
      <c r="Q567" s="683" t="n"/>
      <c r="R567" s="683" t="n"/>
      <c r="S567" s="683" t="n"/>
      <c r="T567" s="683" t="n"/>
      <c r="U567" s="683" t="n"/>
      <c r="V567" s="683" t="n"/>
      <c r="W567" s="683" t="n"/>
      <c r="X567" s="683" t="n"/>
      <c r="Y567" s="683" t="n"/>
    </row>
    <row r="568">
      <c r="A568" s="683" t="n"/>
      <c r="B568" s="683" t="n"/>
      <c r="C568" s="683" t="n"/>
      <c r="D568" s="683" t="n"/>
      <c r="E568" s="683" t="n"/>
      <c r="F568" s="683" t="n"/>
      <c r="G568" s="683" t="n"/>
      <c r="H568" s="683" t="n"/>
      <c r="I568" s="683" t="n"/>
      <c r="J568" s="683" t="n"/>
      <c r="K568" s="683" t="n"/>
      <c r="L568" s="683" t="n"/>
      <c r="M568" s="683" t="n"/>
      <c r="N568" s="683" t="n"/>
      <c r="O568" s="683" t="n"/>
      <c r="P568" s="683" t="n"/>
      <c r="Q568" s="683" t="n"/>
      <c r="R568" s="683" t="n"/>
      <c r="S568" s="683" t="n"/>
      <c r="T568" s="683" t="n"/>
      <c r="U568" s="683" t="n"/>
      <c r="V568" s="683" t="n"/>
      <c r="W568" s="683" t="n"/>
      <c r="X568" s="683" t="n"/>
      <c r="Y568" s="683" t="n"/>
    </row>
    <row r="569">
      <c r="A569" s="683" t="n"/>
      <c r="B569" s="683" t="n"/>
      <c r="C569" s="683" t="n"/>
      <c r="D569" s="683" t="n"/>
      <c r="E569" s="683" t="n"/>
      <c r="F569" s="683" t="n"/>
      <c r="G569" s="683" t="n"/>
      <c r="H569" s="683" t="n"/>
      <c r="I569" s="683" t="n"/>
      <c r="J569" s="683" t="n"/>
      <c r="K569" s="683" t="n"/>
      <c r="L569" s="683" t="n"/>
      <c r="M569" s="683" t="n"/>
      <c r="N569" s="683" t="n"/>
      <c r="O569" s="683" t="n"/>
      <c r="P569" s="683" t="n"/>
      <c r="Q569" s="683" t="n"/>
      <c r="R569" s="683" t="n"/>
      <c r="S569" s="683" t="n"/>
      <c r="T569" s="683" t="n"/>
      <c r="U569" s="683" t="n"/>
      <c r="V569" s="683" t="n"/>
      <c r="W569" s="683" t="n"/>
      <c r="X569" s="683" t="n"/>
      <c r="Y569" s="683" t="n"/>
    </row>
    <row r="570">
      <c r="A570" s="683" t="n"/>
      <c r="B570" s="683" t="n"/>
      <c r="C570" s="683" t="n"/>
      <c r="D570" s="683" t="n"/>
      <c r="E570" s="683" t="n"/>
      <c r="F570" s="683" t="n"/>
      <c r="G570" s="683" t="n"/>
      <c r="H570" s="683" t="n"/>
      <c r="I570" s="683" t="n"/>
      <c r="J570" s="683" t="n"/>
      <c r="K570" s="683" t="n"/>
      <c r="L570" s="683" t="n"/>
      <c r="M570" s="683" t="n"/>
      <c r="N570" s="683" t="n"/>
      <c r="O570" s="683" t="n"/>
      <c r="P570" s="683" t="n"/>
      <c r="Q570" s="683" t="n"/>
      <c r="R570" s="683" t="n"/>
      <c r="S570" s="683" t="n"/>
      <c r="T570" s="683" t="n"/>
      <c r="U570" s="683" t="n"/>
      <c r="V570" s="683" t="n"/>
      <c r="W570" s="683" t="n"/>
      <c r="X570" s="683" t="n"/>
      <c r="Y570" s="683" t="n"/>
    </row>
    <row r="571">
      <c r="A571" s="683" t="n"/>
      <c r="B571" s="683" t="n"/>
      <c r="C571" s="683" t="n"/>
      <c r="D571" s="683" t="n"/>
      <c r="E571" s="683" t="n"/>
      <c r="F571" s="683" t="n"/>
      <c r="G571" s="683" t="n"/>
      <c r="H571" s="683" t="n"/>
      <c r="I571" s="683" t="n"/>
      <c r="J571" s="683" t="n"/>
      <c r="K571" s="683" t="n"/>
      <c r="L571" s="683" t="n"/>
      <c r="M571" s="683" t="n"/>
      <c r="N571" s="683" t="n"/>
      <c r="O571" s="683" t="n"/>
      <c r="P571" s="683" t="n"/>
      <c r="Q571" s="683" t="n"/>
      <c r="R571" s="683" t="n"/>
      <c r="S571" s="683" t="n"/>
      <c r="T571" s="683" t="n"/>
      <c r="U571" s="683" t="n"/>
      <c r="V571" s="683" t="n"/>
      <c r="W571" s="683" t="n"/>
      <c r="X571" s="683" t="n"/>
      <c r="Y571" s="683" t="n"/>
    </row>
    <row r="572">
      <c r="A572" s="683" t="n"/>
      <c r="B572" s="683" t="n"/>
      <c r="C572" s="683" t="n"/>
      <c r="D572" s="683" t="n"/>
      <c r="E572" s="683" t="n"/>
      <c r="F572" s="683" t="n"/>
      <c r="G572" s="683" t="n"/>
      <c r="H572" s="683" t="n"/>
      <c r="I572" s="683" t="n"/>
      <c r="J572" s="683" t="n"/>
      <c r="K572" s="683" t="n"/>
      <c r="L572" s="683" t="n"/>
      <c r="M572" s="683" t="n"/>
      <c r="N572" s="683" t="n"/>
      <c r="O572" s="683" t="n"/>
      <c r="P572" s="683" t="n"/>
      <c r="Q572" s="683" t="n"/>
      <c r="R572" s="683" t="n"/>
      <c r="S572" s="683" t="n"/>
      <c r="T572" s="683" t="n"/>
      <c r="U572" s="683" t="n"/>
      <c r="V572" s="683" t="n"/>
      <c r="W572" s="683" t="n"/>
      <c r="X572" s="683" t="n"/>
      <c r="Y572" s="683" t="n"/>
    </row>
    <row r="573">
      <c r="A573" s="683" t="n"/>
      <c r="B573" s="683" t="n"/>
      <c r="C573" s="683" t="n"/>
      <c r="D573" s="683" t="n"/>
      <c r="E573" s="683" t="n"/>
      <c r="F573" s="683" t="n"/>
      <c r="G573" s="683" t="n"/>
      <c r="H573" s="683" t="n"/>
      <c r="I573" s="683" t="n"/>
      <c r="J573" s="683" t="n"/>
      <c r="K573" s="683" t="n"/>
      <c r="L573" s="683" t="n"/>
      <c r="M573" s="683" t="n"/>
      <c r="N573" s="683" t="n"/>
      <c r="O573" s="683" t="n"/>
      <c r="P573" s="683" t="n"/>
      <c r="Q573" s="683" t="n"/>
      <c r="R573" s="683" t="n"/>
      <c r="S573" s="683" t="n"/>
      <c r="T573" s="683" t="n"/>
      <c r="U573" s="683" t="n"/>
      <c r="V573" s="683" t="n"/>
      <c r="W573" s="683" t="n"/>
      <c r="X573" s="683" t="n"/>
      <c r="Y573" s="683" t="n"/>
    </row>
    <row r="574">
      <c r="A574" s="683" t="n"/>
      <c r="B574" s="683" t="n"/>
      <c r="C574" s="683" t="n"/>
      <c r="D574" s="683" t="n"/>
      <c r="E574" s="683" t="n"/>
      <c r="F574" s="683" t="n"/>
      <c r="G574" s="683" t="n"/>
      <c r="H574" s="683" t="n"/>
      <c r="I574" s="683" t="n"/>
      <c r="J574" s="683" t="n"/>
      <c r="K574" s="683" t="n"/>
      <c r="L574" s="683" t="n"/>
      <c r="M574" s="683" t="n"/>
      <c r="N574" s="683" t="n"/>
      <c r="O574" s="683" t="n"/>
      <c r="P574" s="683" t="n"/>
      <c r="Q574" s="683" t="n"/>
      <c r="R574" s="683" t="n"/>
      <c r="S574" s="683" t="n"/>
      <c r="T574" s="683" t="n"/>
      <c r="U574" s="683" t="n"/>
      <c r="V574" s="683" t="n"/>
      <c r="W574" s="683" t="n"/>
      <c r="X574" s="683" t="n"/>
      <c r="Y574" s="683" t="n"/>
    </row>
    <row r="575">
      <c r="A575" s="683" t="n"/>
      <c r="B575" s="683" t="n"/>
      <c r="C575" s="683" t="n"/>
      <c r="D575" s="683" t="n"/>
      <c r="E575" s="683" t="n"/>
      <c r="F575" s="683" t="n"/>
      <c r="G575" s="683" t="n"/>
      <c r="H575" s="683" t="n"/>
      <c r="I575" s="683" t="n"/>
      <c r="J575" s="683" t="n"/>
      <c r="K575" s="683" t="n"/>
      <c r="L575" s="683" t="n"/>
      <c r="M575" s="683" t="n"/>
      <c r="N575" s="683" t="n"/>
      <c r="O575" s="683" t="n"/>
      <c r="P575" s="683" t="n"/>
      <c r="Q575" s="683" t="n"/>
      <c r="R575" s="683" t="n"/>
      <c r="S575" s="683" t="n"/>
      <c r="T575" s="683" t="n"/>
      <c r="U575" s="683" t="n"/>
      <c r="V575" s="683" t="n"/>
      <c r="W575" s="683" t="n"/>
      <c r="X575" s="683" t="n"/>
      <c r="Y575" s="683" t="n"/>
    </row>
    <row r="576">
      <c r="A576" s="683" t="n"/>
      <c r="B576" s="683" t="n"/>
      <c r="C576" s="683" t="n"/>
      <c r="D576" s="683" t="n"/>
      <c r="E576" s="683" t="n"/>
      <c r="F576" s="683" t="n"/>
      <c r="G576" s="683" t="n"/>
      <c r="H576" s="683" t="n"/>
      <c r="I576" s="683" t="n"/>
      <c r="J576" s="683" t="n"/>
      <c r="K576" s="683" t="n"/>
      <c r="L576" s="683" t="n"/>
      <c r="M576" s="683" t="n"/>
      <c r="N576" s="683" t="n"/>
      <c r="O576" s="683" t="n"/>
      <c r="P576" s="683" t="n"/>
      <c r="Q576" s="683" t="n"/>
      <c r="R576" s="683" t="n"/>
      <c r="S576" s="683" t="n"/>
      <c r="T576" s="683" t="n"/>
      <c r="U576" s="683" t="n"/>
      <c r="V576" s="683" t="n"/>
      <c r="W576" s="683" t="n"/>
      <c r="X576" s="683" t="n"/>
      <c r="Y576" s="683" t="n"/>
    </row>
    <row r="577">
      <c r="A577" s="683" t="n"/>
      <c r="B577" s="683" t="n"/>
      <c r="C577" s="683" t="n"/>
      <c r="D577" s="683" t="n"/>
      <c r="E577" s="683" t="n"/>
      <c r="F577" s="683" t="n"/>
      <c r="G577" s="683" t="n"/>
      <c r="H577" s="683" t="n"/>
      <c r="I577" s="683" t="n"/>
      <c r="J577" s="683" t="n"/>
      <c r="K577" s="683" t="n"/>
      <c r="L577" s="683" t="n"/>
      <c r="M577" s="683" t="n"/>
      <c r="N577" s="683" t="n"/>
      <c r="O577" s="683" t="n"/>
      <c r="P577" s="683" t="n"/>
      <c r="Q577" s="683" t="n"/>
      <c r="R577" s="683" t="n"/>
      <c r="S577" s="683" t="n"/>
      <c r="T577" s="683" t="n"/>
      <c r="U577" s="683" t="n"/>
      <c r="V577" s="683" t="n"/>
      <c r="W577" s="683" t="n"/>
      <c r="X577" s="683" t="n"/>
      <c r="Y577" s="683" t="n"/>
    </row>
    <row r="578">
      <c r="A578" s="683" t="n"/>
      <c r="B578" s="683" t="n"/>
      <c r="C578" s="683" t="n"/>
      <c r="D578" s="683" t="n"/>
      <c r="E578" s="683" t="n"/>
      <c r="F578" s="683" t="n"/>
      <c r="G578" s="683" t="n"/>
      <c r="H578" s="683" t="n"/>
      <c r="I578" s="683" t="n"/>
      <c r="J578" s="683" t="n"/>
      <c r="K578" s="683" t="n"/>
      <c r="L578" s="683" t="n"/>
      <c r="M578" s="683" t="n"/>
      <c r="N578" s="683" t="n"/>
      <c r="O578" s="683" t="n"/>
      <c r="P578" s="683" t="n"/>
      <c r="Q578" s="683" t="n"/>
      <c r="R578" s="683" t="n"/>
      <c r="S578" s="683" t="n"/>
      <c r="T578" s="683" t="n"/>
      <c r="U578" s="683" t="n"/>
      <c r="V578" s="683" t="n"/>
      <c r="W578" s="683" t="n"/>
      <c r="X578" s="683" t="n"/>
      <c r="Y578" s="683" t="n"/>
    </row>
    <row r="579">
      <c r="A579" s="683" t="n"/>
      <c r="B579" s="683" t="n"/>
      <c r="C579" s="683" t="n"/>
      <c r="D579" s="683" t="n"/>
      <c r="E579" s="683" t="n"/>
      <c r="F579" s="683" t="n"/>
      <c r="G579" s="683" t="n"/>
      <c r="H579" s="683" t="n"/>
      <c r="I579" s="683" t="n"/>
      <c r="J579" s="683" t="n"/>
      <c r="K579" s="683" t="n"/>
      <c r="L579" s="683" t="n"/>
      <c r="M579" s="683" t="n"/>
      <c r="N579" s="683" t="n"/>
      <c r="O579" s="683" t="n"/>
      <c r="P579" s="683" t="n"/>
      <c r="Q579" s="683" t="n"/>
      <c r="R579" s="683" t="n"/>
      <c r="S579" s="683" t="n"/>
      <c r="T579" s="683" t="n"/>
      <c r="U579" s="683" t="n"/>
      <c r="V579" s="683" t="n"/>
      <c r="W579" s="683" t="n"/>
      <c r="X579" s="683" t="n"/>
      <c r="Y579" s="683" t="n"/>
    </row>
    <row r="580">
      <c r="A580" s="683" t="n"/>
      <c r="B580" s="683" t="n"/>
      <c r="C580" s="683" t="n"/>
      <c r="D580" s="683" t="n"/>
      <c r="E580" s="683" t="n"/>
      <c r="F580" s="683" t="n"/>
      <c r="G580" s="683" t="n"/>
      <c r="H580" s="683" t="n"/>
      <c r="I580" s="683" t="n"/>
      <c r="J580" s="683" t="n"/>
      <c r="K580" s="683" t="n"/>
      <c r="L580" s="683" t="n"/>
      <c r="M580" s="683" t="n"/>
      <c r="N580" s="683" t="n"/>
      <c r="O580" s="683" t="n"/>
      <c r="P580" s="683" t="n"/>
      <c r="Q580" s="683" t="n"/>
      <c r="R580" s="683" t="n"/>
      <c r="S580" s="683" t="n"/>
      <c r="T580" s="683" t="n"/>
      <c r="U580" s="683" t="n"/>
      <c r="V580" s="683" t="n"/>
      <c r="W580" s="683" t="n"/>
      <c r="X580" s="683" t="n"/>
      <c r="Y580" s="683" t="n"/>
    </row>
    <row r="581">
      <c r="A581" s="683" t="n"/>
      <c r="B581" s="683" t="n"/>
      <c r="C581" s="683" t="n"/>
      <c r="D581" s="683" t="n"/>
      <c r="E581" s="683" t="n"/>
      <c r="F581" s="683" t="n"/>
      <c r="G581" s="683" t="n"/>
      <c r="H581" s="683" t="n"/>
      <c r="I581" s="683" t="n"/>
      <c r="J581" s="683" t="n"/>
      <c r="K581" s="683" t="n"/>
      <c r="L581" s="683" t="n"/>
      <c r="M581" s="683" t="n"/>
      <c r="N581" s="683" t="n"/>
      <c r="O581" s="683" t="n"/>
      <c r="P581" s="683" t="n"/>
      <c r="Q581" s="683" t="n"/>
      <c r="R581" s="683" t="n"/>
      <c r="S581" s="683" t="n"/>
      <c r="T581" s="683" t="n"/>
      <c r="U581" s="683" t="n"/>
      <c r="V581" s="683" t="n"/>
      <c r="W581" s="683" t="n"/>
      <c r="X581" s="683" t="n"/>
      <c r="Y581" s="683" t="n"/>
    </row>
    <row r="582">
      <c r="A582" s="683" t="n"/>
      <c r="B582" s="683" t="n"/>
      <c r="C582" s="683" t="n"/>
      <c r="D582" s="683" t="n"/>
      <c r="E582" s="683" t="n"/>
      <c r="F582" s="683" t="n"/>
      <c r="G582" s="683" t="n"/>
      <c r="H582" s="683" t="n"/>
      <c r="I582" s="683" t="n"/>
      <c r="J582" s="683" t="n"/>
      <c r="K582" s="683" t="n"/>
      <c r="L582" s="683" t="n"/>
      <c r="M582" s="683" t="n"/>
      <c r="N582" s="683" t="n"/>
      <c r="O582" s="683" t="n"/>
      <c r="P582" s="683" t="n"/>
      <c r="Q582" s="683" t="n"/>
      <c r="R582" s="683" t="n"/>
      <c r="S582" s="683" t="n"/>
      <c r="T582" s="683" t="n"/>
      <c r="U582" s="683" t="n"/>
      <c r="V582" s="683" t="n"/>
      <c r="W582" s="683" t="n"/>
      <c r="X582" s="683" t="n"/>
      <c r="Y582" s="683" t="n"/>
    </row>
    <row r="583">
      <c r="A583" s="683" t="n"/>
      <c r="B583" s="683" t="n"/>
      <c r="C583" s="683" t="n"/>
      <c r="D583" s="683" t="n"/>
      <c r="E583" s="683" t="n"/>
      <c r="F583" s="683" t="n"/>
      <c r="G583" s="683" t="n"/>
      <c r="H583" s="683" t="n"/>
      <c r="I583" s="683" t="n"/>
      <c r="J583" s="683" t="n"/>
      <c r="K583" s="683" t="n"/>
      <c r="L583" s="683" t="n"/>
      <c r="M583" s="683" t="n"/>
      <c r="N583" s="683" t="n"/>
      <c r="O583" s="683" t="n"/>
      <c r="P583" s="683" t="n"/>
      <c r="Q583" s="683" t="n"/>
      <c r="R583" s="683" t="n"/>
      <c r="S583" s="683" t="n"/>
      <c r="T583" s="683" t="n"/>
      <c r="U583" s="683" t="n"/>
      <c r="V583" s="683" t="n"/>
      <c r="W583" s="683" t="n"/>
      <c r="X583" s="683" t="n"/>
      <c r="Y583" s="683" t="n"/>
    </row>
    <row r="584">
      <c r="A584" s="683" t="n"/>
      <c r="B584" s="683" t="n"/>
      <c r="C584" s="683" t="n"/>
      <c r="D584" s="683" t="n"/>
      <c r="E584" s="683" t="n"/>
      <c r="F584" s="683" t="n"/>
      <c r="G584" s="683" t="n"/>
      <c r="H584" s="683" t="n"/>
      <c r="I584" s="683" t="n"/>
      <c r="J584" s="683" t="n"/>
      <c r="K584" s="683" t="n"/>
      <c r="L584" s="683" t="n"/>
      <c r="M584" s="683" t="n"/>
      <c r="N584" s="683" t="n"/>
      <c r="O584" s="683" t="n"/>
      <c r="P584" s="683" t="n"/>
      <c r="Q584" s="683" t="n"/>
      <c r="R584" s="683" t="n"/>
      <c r="S584" s="683" t="n"/>
      <c r="T584" s="683" t="n"/>
      <c r="U584" s="683" t="n"/>
      <c r="V584" s="683" t="n"/>
      <c r="W584" s="683" t="n"/>
      <c r="X584" s="683" t="n"/>
      <c r="Y584" s="683" t="n"/>
    </row>
    <row r="585">
      <c r="A585" s="683" t="n"/>
      <c r="B585" s="683" t="n"/>
      <c r="C585" s="683" t="n"/>
      <c r="D585" s="683" t="n"/>
      <c r="E585" s="683" t="n"/>
      <c r="F585" s="683" t="n"/>
      <c r="G585" s="683" t="n"/>
      <c r="H585" s="683" t="n"/>
      <c r="I585" s="683" t="n"/>
      <c r="J585" s="683" t="n"/>
      <c r="K585" s="683" t="n"/>
      <c r="L585" s="683" t="n"/>
      <c r="M585" s="683" t="n"/>
      <c r="N585" s="683" t="n"/>
      <c r="O585" s="683" t="n"/>
      <c r="P585" s="683" t="n"/>
      <c r="Q585" s="683" t="n"/>
      <c r="R585" s="683" t="n"/>
      <c r="S585" s="683" t="n"/>
      <c r="T585" s="683" t="n"/>
      <c r="U585" s="683" t="n"/>
      <c r="V585" s="683" t="n"/>
      <c r="W585" s="683" t="n"/>
      <c r="X585" s="683" t="n"/>
      <c r="Y585" s="683" t="n"/>
    </row>
    <row r="586">
      <c r="A586" s="683" t="n"/>
      <c r="B586" s="683" t="n"/>
      <c r="C586" s="683" t="n"/>
      <c r="D586" s="683" t="n"/>
      <c r="E586" s="683" t="n"/>
      <c r="F586" s="683" t="n"/>
      <c r="G586" s="683" t="n"/>
      <c r="H586" s="683" t="n"/>
      <c r="I586" s="683" t="n"/>
      <c r="J586" s="683" t="n"/>
      <c r="K586" s="683" t="n"/>
      <c r="L586" s="683" t="n"/>
      <c r="M586" s="683" t="n"/>
      <c r="N586" s="683" t="n"/>
      <c r="O586" s="683" t="n"/>
      <c r="P586" s="683" t="n"/>
      <c r="Q586" s="683" t="n"/>
      <c r="R586" s="683" t="n"/>
      <c r="S586" s="683" t="n"/>
      <c r="T586" s="683" t="n"/>
      <c r="U586" s="683" t="n"/>
      <c r="V586" s="683" t="n"/>
      <c r="W586" s="683" t="n"/>
      <c r="X586" s="683" t="n"/>
      <c r="Y586" s="683" t="n"/>
    </row>
    <row r="587">
      <c r="A587" s="683" t="n"/>
      <c r="B587" s="683" t="n"/>
      <c r="C587" s="683" t="n"/>
      <c r="D587" s="683" t="n"/>
      <c r="E587" s="683" t="n"/>
      <c r="F587" s="683" t="n"/>
      <c r="G587" s="683" t="n"/>
      <c r="H587" s="683" t="n"/>
      <c r="I587" s="683" t="n"/>
      <c r="J587" s="683" t="n"/>
      <c r="K587" s="683" t="n"/>
      <c r="L587" s="683" t="n"/>
      <c r="M587" s="683" t="n"/>
      <c r="N587" s="683" t="n"/>
      <c r="O587" s="683" t="n"/>
      <c r="P587" s="683" t="n"/>
      <c r="Q587" s="683" t="n"/>
      <c r="R587" s="683" t="n"/>
      <c r="S587" s="683" t="n"/>
      <c r="T587" s="683" t="n"/>
      <c r="U587" s="683" t="n"/>
      <c r="V587" s="683" t="n"/>
      <c r="W587" s="683" t="n"/>
      <c r="X587" s="683" t="n"/>
      <c r="Y587" s="683" t="n"/>
    </row>
    <row r="588">
      <c r="A588" s="683" t="n"/>
      <c r="B588" s="683" t="n"/>
      <c r="C588" s="683" t="n"/>
      <c r="D588" s="683" t="n"/>
      <c r="E588" s="683" t="n"/>
      <c r="F588" s="683" t="n"/>
      <c r="G588" s="683" t="n"/>
      <c r="H588" s="683" t="n"/>
      <c r="I588" s="683" t="n"/>
      <c r="J588" s="683" t="n"/>
      <c r="K588" s="683" t="n"/>
      <c r="L588" s="683" t="n"/>
      <c r="M588" s="683" t="n"/>
      <c r="N588" s="683" t="n"/>
      <c r="O588" s="683" t="n"/>
      <c r="P588" s="683" t="n"/>
      <c r="Q588" s="683" t="n"/>
      <c r="R588" s="683" t="n"/>
      <c r="S588" s="683" t="n"/>
      <c r="T588" s="683" t="n"/>
      <c r="U588" s="683" t="n"/>
      <c r="V588" s="683" t="n"/>
      <c r="W588" s="683" t="n"/>
      <c r="X588" s="683" t="n"/>
      <c r="Y588" s="683" t="n"/>
    </row>
    <row r="589">
      <c r="A589" s="683" t="n"/>
      <c r="B589" s="683" t="n"/>
      <c r="C589" s="683" t="n"/>
      <c r="D589" s="683" t="n"/>
      <c r="E589" s="683" t="n"/>
      <c r="F589" s="683" t="n"/>
      <c r="G589" s="683" t="n"/>
      <c r="H589" s="683" t="n"/>
      <c r="I589" s="683" t="n"/>
      <c r="J589" s="683" t="n"/>
      <c r="K589" s="683" t="n"/>
      <c r="L589" s="683" t="n"/>
      <c r="M589" s="683" t="n"/>
      <c r="N589" s="683" t="n"/>
      <c r="O589" s="683" t="n"/>
      <c r="P589" s="683" t="n"/>
      <c r="Q589" s="683" t="n"/>
      <c r="R589" s="683" t="n"/>
      <c r="S589" s="683" t="n"/>
      <c r="T589" s="683" t="n"/>
      <c r="U589" s="683" t="n"/>
      <c r="V589" s="683" t="n"/>
      <c r="W589" s="683" t="n"/>
      <c r="X589" s="683" t="n"/>
      <c r="Y589" s="683" t="n"/>
    </row>
    <row r="590">
      <c r="A590" s="683" t="n"/>
      <c r="B590" s="683" t="n"/>
      <c r="C590" s="683" t="n"/>
      <c r="D590" s="683" t="n"/>
      <c r="E590" s="683" t="n"/>
      <c r="F590" s="683" t="n"/>
      <c r="G590" s="683" t="n"/>
      <c r="H590" s="683" t="n"/>
      <c r="I590" s="683" t="n"/>
      <c r="J590" s="683" t="n"/>
      <c r="K590" s="683" t="n"/>
      <c r="L590" s="683" t="n"/>
      <c r="M590" s="683" t="n"/>
      <c r="N590" s="683" t="n"/>
      <c r="O590" s="683" t="n"/>
      <c r="P590" s="683" t="n"/>
      <c r="Q590" s="683" t="n"/>
      <c r="R590" s="683" t="n"/>
      <c r="S590" s="683" t="n"/>
      <c r="T590" s="683" t="n"/>
      <c r="U590" s="683" t="n"/>
      <c r="V590" s="683" t="n"/>
      <c r="W590" s="683" t="n"/>
      <c r="X590" s="683" t="n"/>
      <c r="Y590" s="683" t="n"/>
    </row>
    <row r="591">
      <c r="A591" s="683" t="n"/>
      <c r="B591" s="683" t="n"/>
      <c r="C591" s="683" t="n"/>
      <c r="D591" s="683" t="n"/>
      <c r="E591" s="683" t="n"/>
      <c r="F591" s="683" t="n"/>
      <c r="G591" s="683" t="n"/>
      <c r="H591" s="683" t="n"/>
      <c r="I591" s="683" t="n"/>
      <c r="J591" s="683" t="n"/>
      <c r="K591" s="683" t="n"/>
      <c r="L591" s="683" t="n"/>
      <c r="M591" s="683" t="n"/>
      <c r="N591" s="683" t="n"/>
      <c r="O591" s="683" t="n"/>
      <c r="P591" s="683" t="n"/>
      <c r="Q591" s="683" t="n"/>
      <c r="R591" s="683" t="n"/>
      <c r="S591" s="683" t="n"/>
      <c r="T591" s="683" t="n"/>
      <c r="U591" s="683" t="n"/>
      <c r="V591" s="683" t="n"/>
      <c r="W591" s="683" t="n"/>
      <c r="X591" s="683" t="n"/>
      <c r="Y591" s="683" t="n"/>
    </row>
    <row r="592">
      <c r="A592" s="683" t="n"/>
      <c r="B592" s="683" t="n"/>
      <c r="C592" s="683" t="n"/>
      <c r="D592" s="683" t="n"/>
      <c r="E592" s="683" t="n"/>
      <c r="F592" s="683" t="n"/>
      <c r="G592" s="683" t="n"/>
      <c r="H592" s="683" t="n"/>
      <c r="I592" s="683" t="n"/>
      <c r="J592" s="683" t="n"/>
      <c r="K592" s="683" t="n"/>
      <c r="L592" s="683" t="n"/>
      <c r="M592" s="683" t="n"/>
      <c r="N592" s="683" t="n"/>
      <c r="O592" s="683" t="n"/>
      <c r="P592" s="683" t="n"/>
      <c r="Q592" s="683" t="n"/>
      <c r="R592" s="683" t="n"/>
      <c r="S592" s="683" t="n"/>
      <c r="T592" s="683" t="n"/>
      <c r="U592" s="683" t="n"/>
      <c r="V592" s="683" t="n"/>
      <c r="W592" s="683" t="n"/>
      <c r="X592" s="683" t="n"/>
      <c r="Y592" s="683" t="n"/>
    </row>
    <row r="593">
      <c r="A593" s="683" t="n"/>
      <c r="B593" s="683" t="n"/>
      <c r="C593" s="683" t="n"/>
      <c r="D593" s="683" t="n"/>
      <c r="E593" s="683" t="n"/>
      <c r="F593" s="683" t="n"/>
      <c r="G593" s="683" t="n"/>
      <c r="H593" s="683" t="n"/>
      <c r="I593" s="683" t="n"/>
      <c r="J593" s="683" t="n"/>
      <c r="K593" s="683" t="n"/>
      <c r="L593" s="683" t="n"/>
      <c r="M593" s="683" t="n"/>
      <c r="N593" s="683" t="n"/>
      <c r="O593" s="683" t="n"/>
      <c r="P593" s="683" t="n"/>
      <c r="Q593" s="683" t="n"/>
      <c r="R593" s="683" t="n"/>
      <c r="S593" s="683" t="n"/>
      <c r="T593" s="683" t="n"/>
      <c r="U593" s="683" t="n"/>
      <c r="V593" s="683" t="n"/>
      <c r="W593" s="683" t="n"/>
      <c r="X593" s="683" t="n"/>
      <c r="Y593" s="683" t="n"/>
    </row>
    <row r="594">
      <c r="A594" s="683" t="n"/>
      <c r="B594" s="683" t="n"/>
      <c r="C594" s="683" t="n"/>
      <c r="D594" s="683" t="n"/>
      <c r="E594" s="683" t="n"/>
      <c r="F594" s="683" t="n"/>
      <c r="G594" s="683" t="n"/>
      <c r="H594" s="683" t="n"/>
      <c r="I594" s="683" t="n"/>
      <c r="J594" s="683" t="n"/>
      <c r="K594" s="683" t="n"/>
      <c r="L594" s="683" t="n"/>
      <c r="M594" s="683" t="n"/>
      <c r="N594" s="683" t="n"/>
      <c r="O594" s="683" t="n"/>
      <c r="P594" s="683" t="n"/>
      <c r="Q594" s="683" t="n"/>
      <c r="R594" s="683" t="n"/>
      <c r="S594" s="683" t="n"/>
      <c r="T594" s="683" t="n"/>
      <c r="U594" s="683" t="n"/>
      <c r="V594" s="683" t="n"/>
      <c r="W594" s="683" t="n"/>
      <c r="X594" s="683" t="n"/>
      <c r="Y594" s="683" t="n"/>
    </row>
    <row r="595">
      <c r="A595" s="683" t="n"/>
      <c r="B595" s="683" t="n"/>
      <c r="C595" s="683" t="n"/>
      <c r="D595" s="683" t="n"/>
      <c r="E595" s="683" t="n"/>
      <c r="F595" s="683" t="n"/>
      <c r="G595" s="683" t="n"/>
      <c r="H595" s="683" t="n"/>
      <c r="I595" s="683" t="n"/>
      <c r="J595" s="683" t="n"/>
      <c r="K595" s="683" t="n"/>
      <c r="L595" s="683" t="n"/>
      <c r="M595" s="683" t="n"/>
      <c r="N595" s="683" t="n"/>
      <c r="O595" s="683" t="n"/>
      <c r="P595" s="683" t="n"/>
      <c r="Q595" s="683" t="n"/>
      <c r="R595" s="683" t="n"/>
      <c r="S595" s="683" t="n"/>
      <c r="T595" s="683" t="n"/>
      <c r="U595" s="683" t="n"/>
      <c r="V595" s="683" t="n"/>
      <c r="W595" s="683" t="n"/>
      <c r="X595" s="683" t="n"/>
      <c r="Y595" s="683" t="n"/>
    </row>
    <row r="596">
      <c r="A596" s="683" t="n"/>
      <c r="B596" s="683" t="n"/>
      <c r="C596" s="683" t="n"/>
      <c r="D596" s="683" t="n"/>
      <c r="E596" s="683" t="n"/>
      <c r="F596" s="683" t="n"/>
      <c r="G596" s="683" t="n"/>
      <c r="H596" s="683" t="n"/>
      <c r="I596" s="683" t="n"/>
      <c r="J596" s="683" t="n"/>
      <c r="K596" s="683" t="n"/>
      <c r="L596" s="683" t="n"/>
      <c r="M596" s="683" t="n"/>
      <c r="N596" s="683" t="n"/>
      <c r="O596" s="683" t="n"/>
      <c r="P596" s="683" t="n"/>
      <c r="Q596" s="683" t="n"/>
      <c r="R596" s="683" t="n"/>
      <c r="S596" s="683" t="n"/>
      <c r="T596" s="683" t="n"/>
      <c r="U596" s="683" t="n"/>
      <c r="V596" s="683" t="n"/>
      <c r="W596" s="683" t="n"/>
      <c r="X596" s="683" t="n"/>
      <c r="Y596" s="683" t="n"/>
    </row>
    <row r="597">
      <c r="A597" s="683" t="n"/>
      <c r="B597" s="683" t="n"/>
      <c r="C597" s="683" t="n"/>
      <c r="D597" s="683" t="n"/>
      <c r="E597" s="683" t="n"/>
      <c r="F597" s="683" t="n"/>
      <c r="G597" s="683" t="n"/>
      <c r="H597" s="683" t="n"/>
      <c r="I597" s="683" t="n"/>
      <c r="J597" s="683" t="n"/>
      <c r="K597" s="683" t="n"/>
      <c r="L597" s="683" t="n"/>
      <c r="M597" s="683" t="n"/>
      <c r="N597" s="683" t="n"/>
      <c r="O597" s="683" t="n"/>
      <c r="P597" s="683" t="n"/>
      <c r="Q597" s="683" t="n"/>
      <c r="R597" s="683" t="n"/>
      <c r="S597" s="683" t="n"/>
      <c r="T597" s="683" t="n"/>
      <c r="U597" s="683" t="n"/>
      <c r="V597" s="683" t="n"/>
      <c r="W597" s="683" t="n"/>
      <c r="X597" s="683" t="n"/>
      <c r="Y597" s="683" t="n"/>
    </row>
    <row r="598">
      <c r="A598" s="683" t="n"/>
      <c r="B598" s="683" t="n"/>
      <c r="C598" s="683" t="n"/>
      <c r="D598" s="683" t="n"/>
      <c r="E598" s="683" t="n"/>
      <c r="F598" s="683" t="n"/>
      <c r="G598" s="683" t="n"/>
      <c r="H598" s="683" t="n"/>
      <c r="I598" s="683" t="n"/>
      <c r="J598" s="683" t="n"/>
      <c r="K598" s="683" t="n"/>
      <c r="L598" s="683" t="n"/>
      <c r="M598" s="683" t="n"/>
      <c r="N598" s="683" t="n"/>
      <c r="O598" s="683" t="n"/>
      <c r="P598" s="683" t="n"/>
      <c r="Q598" s="683" t="n"/>
      <c r="R598" s="683" t="n"/>
      <c r="S598" s="683" t="n"/>
      <c r="T598" s="683" t="n"/>
      <c r="U598" s="683" t="n"/>
      <c r="V598" s="683" t="n"/>
      <c r="W598" s="683" t="n"/>
      <c r="X598" s="683" t="n"/>
      <c r="Y598" s="683" t="n"/>
    </row>
    <row r="599">
      <c r="A599" s="683" t="n"/>
      <c r="B599" s="683" t="n"/>
      <c r="C599" s="683" t="n"/>
      <c r="D599" s="683" t="n"/>
      <c r="E599" s="683" t="n"/>
      <c r="F599" s="683" t="n"/>
      <c r="G599" s="683" t="n"/>
      <c r="H599" s="683" t="n"/>
      <c r="I599" s="683" t="n"/>
      <c r="J599" s="683" t="n"/>
      <c r="K599" s="683" t="n"/>
      <c r="L599" s="683" t="n"/>
      <c r="M599" s="683" t="n"/>
      <c r="N599" s="683" t="n"/>
      <c r="O599" s="683" t="n"/>
      <c r="P599" s="683" t="n"/>
      <c r="Q599" s="683" t="n"/>
      <c r="R599" s="683" t="n"/>
      <c r="S599" s="683" t="n"/>
      <c r="T599" s="683" t="n"/>
      <c r="U599" s="683" t="n"/>
      <c r="V599" s="683" t="n"/>
      <c r="W599" s="683" t="n"/>
      <c r="X599" s="683" t="n"/>
      <c r="Y599" s="683" t="n"/>
    </row>
    <row r="600">
      <c r="A600" s="683" t="n"/>
      <c r="B600" s="683" t="n"/>
      <c r="C600" s="683" t="n"/>
      <c r="D600" s="683" t="n"/>
      <c r="E600" s="683" t="n"/>
      <c r="F600" s="683" t="n"/>
      <c r="G600" s="683" t="n"/>
      <c r="H600" s="683" t="n"/>
      <c r="I600" s="683" t="n"/>
      <c r="J600" s="683" t="n"/>
      <c r="K600" s="683" t="n"/>
      <c r="L600" s="683" t="n"/>
      <c r="M600" s="683" t="n"/>
      <c r="N600" s="683" t="n"/>
      <c r="O600" s="683" t="n"/>
      <c r="P600" s="683" t="n"/>
      <c r="Q600" s="683" t="n"/>
      <c r="R600" s="683" t="n"/>
      <c r="S600" s="683" t="n"/>
      <c r="T600" s="683" t="n"/>
      <c r="U600" s="683" t="n"/>
      <c r="V600" s="683" t="n"/>
      <c r="W600" s="683" t="n"/>
      <c r="X600" s="683" t="n"/>
      <c r="Y600" s="683" t="n"/>
    </row>
    <row r="601">
      <c r="A601" s="683" t="n"/>
      <c r="B601" s="683" t="n"/>
      <c r="C601" s="683" t="n"/>
      <c r="D601" s="683" t="n"/>
      <c r="E601" s="683" t="n"/>
      <c r="F601" s="683" t="n"/>
      <c r="G601" s="683" t="n"/>
      <c r="H601" s="683" t="n"/>
      <c r="I601" s="683" t="n"/>
      <c r="J601" s="683" t="n"/>
      <c r="K601" s="683" t="n"/>
      <c r="L601" s="683" t="n"/>
      <c r="M601" s="683" t="n"/>
      <c r="N601" s="683" t="n"/>
      <c r="O601" s="683" t="n"/>
      <c r="P601" s="683" t="n"/>
      <c r="Q601" s="683" t="n"/>
      <c r="R601" s="683" t="n"/>
      <c r="S601" s="683" t="n"/>
      <c r="T601" s="683" t="n"/>
      <c r="U601" s="683" t="n"/>
      <c r="V601" s="683" t="n"/>
      <c r="W601" s="683" t="n"/>
      <c r="X601" s="683" t="n"/>
      <c r="Y601" s="683" t="n"/>
    </row>
    <row r="602">
      <c r="A602" s="683" t="n"/>
      <c r="B602" s="683" t="n"/>
      <c r="C602" s="683" t="n"/>
      <c r="D602" s="683" t="n"/>
      <c r="E602" s="683" t="n"/>
      <c r="F602" s="683" t="n"/>
      <c r="G602" s="683" t="n"/>
      <c r="H602" s="683" t="n"/>
      <c r="I602" s="683" t="n"/>
      <c r="J602" s="683" t="n"/>
      <c r="K602" s="683" t="n"/>
      <c r="L602" s="683" t="n"/>
      <c r="M602" s="683" t="n"/>
      <c r="N602" s="683" t="n"/>
      <c r="O602" s="683" t="n"/>
      <c r="P602" s="683" t="n"/>
      <c r="Q602" s="683" t="n"/>
      <c r="R602" s="683" t="n"/>
      <c r="S602" s="683" t="n"/>
      <c r="T602" s="683" t="n"/>
      <c r="U602" s="683" t="n"/>
      <c r="V602" s="683" t="n"/>
      <c r="W602" s="683" t="n"/>
      <c r="X602" s="683" t="n"/>
      <c r="Y602" s="683" t="n"/>
    </row>
    <row r="603">
      <c r="A603" s="683" t="n"/>
      <c r="B603" s="683" t="n"/>
      <c r="C603" s="683" t="n"/>
      <c r="D603" s="683" t="n"/>
      <c r="E603" s="683" t="n"/>
      <c r="F603" s="683" t="n"/>
      <c r="G603" s="683" t="n"/>
      <c r="H603" s="683" t="n"/>
      <c r="I603" s="683" t="n"/>
      <c r="J603" s="683" t="n"/>
      <c r="K603" s="683" t="n"/>
      <c r="L603" s="683" t="n"/>
      <c r="M603" s="683" t="n"/>
      <c r="N603" s="683" t="n"/>
      <c r="O603" s="683" t="n"/>
      <c r="P603" s="683" t="n"/>
      <c r="Q603" s="683" t="n"/>
      <c r="R603" s="683" t="n"/>
      <c r="S603" s="683" t="n"/>
      <c r="T603" s="683" t="n"/>
      <c r="U603" s="683" t="n"/>
      <c r="V603" s="683" t="n"/>
      <c r="W603" s="683" t="n"/>
      <c r="X603" s="683" t="n"/>
      <c r="Y603" s="683" t="n"/>
    </row>
    <row r="604">
      <c r="A604" s="683" t="n"/>
      <c r="B604" s="683" t="n"/>
      <c r="C604" s="683" t="n"/>
      <c r="D604" s="683" t="n"/>
      <c r="E604" s="683" t="n"/>
      <c r="F604" s="683" t="n"/>
      <c r="G604" s="683" t="n"/>
      <c r="H604" s="683" t="n"/>
      <c r="I604" s="683" t="n"/>
      <c r="J604" s="683" t="n"/>
      <c r="K604" s="683" t="n"/>
      <c r="L604" s="683" t="n"/>
      <c r="M604" s="683" t="n"/>
      <c r="N604" s="683" t="n"/>
      <c r="O604" s="683" t="n"/>
      <c r="P604" s="683" t="n"/>
      <c r="Q604" s="683" t="n"/>
      <c r="R604" s="683" t="n"/>
      <c r="S604" s="683" t="n"/>
      <c r="T604" s="683" t="n"/>
      <c r="U604" s="683" t="n"/>
      <c r="V604" s="683" t="n"/>
      <c r="W604" s="683" t="n"/>
      <c r="X604" s="683" t="n"/>
      <c r="Y604" s="683" t="n"/>
    </row>
    <row r="605">
      <c r="A605" s="683" t="n"/>
      <c r="B605" s="683" t="n"/>
      <c r="C605" s="683" t="n"/>
      <c r="D605" s="683" t="n"/>
      <c r="E605" s="683" t="n"/>
      <c r="F605" s="683" t="n"/>
      <c r="G605" s="683" t="n"/>
      <c r="H605" s="683" t="n"/>
      <c r="I605" s="683" t="n"/>
      <c r="J605" s="683" t="n"/>
      <c r="K605" s="683" t="n"/>
      <c r="L605" s="683" t="n"/>
      <c r="M605" s="683" t="n"/>
      <c r="N605" s="683" t="n"/>
      <c r="O605" s="683" t="n"/>
      <c r="P605" s="683" t="n"/>
      <c r="Q605" s="683" t="n"/>
      <c r="R605" s="683" t="n"/>
      <c r="S605" s="683" t="n"/>
      <c r="T605" s="683" t="n"/>
      <c r="U605" s="683" t="n"/>
      <c r="V605" s="683" t="n"/>
      <c r="W605" s="683" t="n"/>
      <c r="X605" s="683" t="n"/>
      <c r="Y605" s="683" t="n"/>
    </row>
    <row r="606">
      <c r="A606" s="683" t="n"/>
      <c r="B606" s="683" t="n"/>
      <c r="C606" s="683" t="n"/>
      <c r="D606" s="683" t="n"/>
      <c r="E606" s="683" t="n"/>
      <c r="F606" s="683" t="n"/>
      <c r="G606" s="683" t="n"/>
      <c r="H606" s="683" t="n"/>
      <c r="I606" s="683" t="n"/>
      <c r="J606" s="683" t="n"/>
      <c r="K606" s="683" t="n"/>
      <c r="L606" s="683" t="n"/>
      <c r="M606" s="683" t="n"/>
      <c r="N606" s="683" t="n"/>
      <c r="O606" s="683" t="n"/>
      <c r="P606" s="683" t="n"/>
      <c r="Q606" s="683" t="n"/>
      <c r="R606" s="683" t="n"/>
      <c r="S606" s="683" t="n"/>
      <c r="T606" s="683" t="n"/>
      <c r="U606" s="683" t="n"/>
      <c r="V606" s="683" t="n"/>
      <c r="W606" s="683" t="n"/>
      <c r="X606" s="683" t="n"/>
      <c r="Y606" s="683" t="n"/>
    </row>
    <row r="607">
      <c r="A607" s="683" t="n"/>
      <c r="B607" s="683" t="n"/>
      <c r="C607" s="683" t="n"/>
      <c r="D607" s="683" t="n"/>
      <c r="E607" s="683" t="n"/>
      <c r="F607" s="683" t="n"/>
      <c r="G607" s="683" t="n"/>
      <c r="H607" s="683" t="n"/>
      <c r="I607" s="683" t="n"/>
      <c r="J607" s="683" t="n"/>
      <c r="K607" s="683" t="n"/>
      <c r="L607" s="683" t="n"/>
      <c r="M607" s="683" t="n"/>
      <c r="N607" s="683" t="n"/>
      <c r="O607" s="683" t="n"/>
      <c r="P607" s="683" t="n"/>
      <c r="Q607" s="683" t="n"/>
      <c r="R607" s="683" t="n"/>
      <c r="S607" s="683" t="n"/>
      <c r="T607" s="683" t="n"/>
      <c r="U607" s="683" t="n"/>
      <c r="V607" s="683" t="n"/>
      <c r="W607" s="683" t="n"/>
      <c r="X607" s="683" t="n"/>
      <c r="Y607" s="683" t="n"/>
    </row>
    <row r="608">
      <c r="A608" s="683" t="n"/>
      <c r="B608" s="683" t="n"/>
      <c r="C608" s="683" t="n"/>
      <c r="D608" s="683" t="n"/>
      <c r="E608" s="683" t="n"/>
      <c r="F608" s="683" t="n"/>
      <c r="G608" s="683" t="n"/>
      <c r="H608" s="683" t="n"/>
      <c r="I608" s="683" t="n"/>
      <c r="J608" s="683" t="n"/>
      <c r="K608" s="683" t="n"/>
      <c r="L608" s="683" t="n"/>
      <c r="M608" s="683" t="n"/>
      <c r="N608" s="683" t="n"/>
      <c r="O608" s="683" t="n"/>
      <c r="P608" s="683" t="n"/>
      <c r="Q608" s="683" t="n"/>
      <c r="R608" s="683" t="n"/>
      <c r="S608" s="683" t="n"/>
      <c r="T608" s="683" t="n"/>
      <c r="U608" s="683" t="n"/>
      <c r="V608" s="683" t="n"/>
      <c r="W608" s="683" t="n"/>
      <c r="X608" s="683" t="n"/>
      <c r="Y608" s="683" t="n"/>
    </row>
    <row r="609">
      <c r="A609" s="683" t="n"/>
      <c r="B609" s="683" t="n"/>
      <c r="C609" s="683" t="n"/>
      <c r="D609" s="683" t="n"/>
      <c r="E609" s="683" t="n"/>
      <c r="F609" s="683" t="n"/>
      <c r="G609" s="683" t="n"/>
      <c r="H609" s="683" t="n"/>
      <c r="I609" s="683" t="n"/>
      <c r="J609" s="683" t="n"/>
      <c r="K609" s="683" t="n"/>
      <c r="L609" s="683" t="n"/>
      <c r="M609" s="683" t="n"/>
      <c r="N609" s="683" t="n"/>
      <c r="O609" s="683" t="n"/>
      <c r="P609" s="683" t="n"/>
      <c r="Q609" s="683" t="n"/>
      <c r="R609" s="683" t="n"/>
      <c r="S609" s="683" t="n"/>
      <c r="T609" s="683" t="n"/>
      <c r="U609" s="683" t="n"/>
      <c r="V609" s="683" t="n"/>
      <c r="W609" s="683" t="n"/>
      <c r="X609" s="683" t="n"/>
      <c r="Y609" s="683" t="n"/>
    </row>
    <row r="610">
      <c r="A610" s="683" t="n"/>
      <c r="B610" s="683" t="n"/>
      <c r="C610" s="683" t="n"/>
      <c r="D610" s="683" t="n"/>
      <c r="E610" s="683" t="n"/>
      <c r="F610" s="683" t="n"/>
      <c r="G610" s="683" t="n"/>
      <c r="H610" s="683" t="n"/>
      <c r="I610" s="683" t="n"/>
      <c r="J610" s="683" t="n"/>
      <c r="K610" s="683" t="n"/>
      <c r="L610" s="683" t="n"/>
      <c r="M610" s="683" t="n"/>
      <c r="N610" s="683" t="n"/>
      <c r="O610" s="683" t="n"/>
      <c r="P610" s="683" t="n"/>
      <c r="Q610" s="683" t="n"/>
      <c r="R610" s="683" t="n"/>
      <c r="S610" s="683" t="n"/>
      <c r="T610" s="683" t="n"/>
      <c r="U610" s="683" t="n"/>
      <c r="V610" s="683" t="n"/>
      <c r="W610" s="683" t="n"/>
      <c r="X610" s="683" t="n"/>
      <c r="Y610" s="683" t="n"/>
    </row>
    <row r="611">
      <c r="A611" s="683" t="n"/>
      <c r="B611" s="683" t="n"/>
      <c r="C611" s="683" t="n"/>
      <c r="D611" s="683" t="n"/>
      <c r="E611" s="683" t="n"/>
      <c r="F611" s="683" t="n"/>
      <c r="G611" s="683" t="n"/>
      <c r="H611" s="683" t="n"/>
      <c r="I611" s="683" t="n"/>
      <c r="J611" s="683" t="n"/>
      <c r="K611" s="683" t="n"/>
      <c r="L611" s="683" t="n"/>
      <c r="M611" s="683" t="n"/>
      <c r="N611" s="683" t="n"/>
      <c r="O611" s="683" t="n"/>
      <c r="P611" s="683" t="n"/>
      <c r="Q611" s="683" t="n"/>
      <c r="R611" s="683" t="n"/>
      <c r="S611" s="683" t="n"/>
      <c r="T611" s="683" t="n"/>
      <c r="U611" s="683" t="n"/>
      <c r="V611" s="683" t="n"/>
      <c r="W611" s="683" t="n"/>
      <c r="X611" s="683" t="n"/>
      <c r="Y611" s="683" t="n"/>
    </row>
    <row r="612">
      <c r="A612" s="683" t="n"/>
      <c r="B612" s="683" t="n"/>
      <c r="C612" s="683" t="n"/>
      <c r="D612" s="683" t="n"/>
      <c r="E612" s="683" t="n"/>
      <c r="F612" s="683" t="n"/>
      <c r="G612" s="683" t="n"/>
      <c r="H612" s="683" t="n"/>
      <c r="I612" s="683" t="n"/>
      <c r="J612" s="683" t="n"/>
      <c r="K612" s="683" t="n"/>
      <c r="L612" s="683" t="n"/>
      <c r="M612" s="683" t="n"/>
      <c r="N612" s="683" t="n"/>
      <c r="O612" s="683" t="n"/>
      <c r="P612" s="683" t="n"/>
      <c r="Q612" s="683" t="n"/>
      <c r="R612" s="683" t="n"/>
      <c r="S612" s="683" t="n"/>
      <c r="T612" s="683" t="n"/>
      <c r="U612" s="683" t="n"/>
      <c r="V612" s="683" t="n"/>
      <c r="W612" s="683" t="n"/>
      <c r="X612" s="683" t="n"/>
      <c r="Y612" s="683" t="n"/>
    </row>
    <row r="613">
      <c r="A613" s="683" t="n"/>
      <c r="B613" s="683" t="n"/>
      <c r="C613" s="683" t="n"/>
      <c r="D613" s="683" t="n"/>
      <c r="E613" s="683" t="n"/>
      <c r="F613" s="683" t="n"/>
      <c r="G613" s="683" t="n"/>
      <c r="H613" s="683" t="n"/>
      <c r="I613" s="683" t="n"/>
      <c r="J613" s="683" t="n"/>
      <c r="K613" s="683" t="n"/>
      <c r="L613" s="683" t="n"/>
      <c r="M613" s="683" t="n"/>
      <c r="N613" s="683" t="n"/>
      <c r="O613" s="683" t="n"/>
      <c r="P613" s="683" t="n"/>
      <c r="Q613" s="683" t="n"/>
      <c r="R613" s="683" t="n"/>
      <c r="S613" s="683" t="n"/>
      <c r="T613" s="683" t="n"/>
      <c r="U613" s="683" t="n"/>
      <c r="V613" s="683" t="n"/>
      <c r="W613" s="683" t="n"/>
      <c r="X613" s="683" t="n"/>
      <c r="Y613" s="683" t="n"/>
    </row>
    <row r="614">
      <c r="A614" s="683" t="n"/>
      <c r="B614" s="683" t="n"/>
      <c r="C614" s="683" t="n"/>
      <c r="D614" s="683" t="n"/>
      <c r="E614" s="683" t="n"/>
      <c r="F614" s="683" t="n"/>
      <c r="G614" s="683" t="n"/>
      <c r="H614" s="683" t="n"/>
      <c r="I614" s="683" t="n"/>
      <c r="J614" s="683" t="n"/>
      <c r="K614" s="683" t="n"/>
      <c r="L614" s="683" t="n"/>
      <c r="M614" s="683" t="n"/>
      <c r="N614" s="683" t="n"/>
      <c r="O614" s="683" t="n"/>
      <c r="P614" s="683" t="n"/>
      <c r="Q614" s="683" t="n"/>
      <c r="R614" s="683" t="n"/>
      <c r="S614" s="683" t="n"/>
      <c r="T614" s="683" t="n"/>
      <c r="U614" s="683" t="n"/>
      <c r="V614" s="683" t="n"/>
      <c r="W614" s="683" t="n"/>
      <c r="X614" s="683" t="n"/>
      <c r="Y614" s="683" t="n"/>
    </row>
    <row r="615">
      <c r="A615" s="683" t="n"/>
      <c r="B615" s="683" t="n"/>
      <c r="C615" s="683" t="n"/>
      <c r="D615" s="683" t="n"/>
      <c r="E615" s="683" t="n"/>
      <c r="F615" s="683" t="n"/>
      <c r="G615" s="683" t="n"/>
      <c r="H615" s="683" t="n"/>
      <c r="I615" s="683" t="n"/>
      <c r="J615" s="683" t="n"/>
      <c r="K615" s="683" t="n"/>
      <c r="L615" s="683" t="n"/>
      <c r="M615" s="683" t="n"/>
      <c r="N615" s="683" t="n"/>
      <c r="O615" s="683" t="n"/>
      <c r="P615" s="683" t="n"/>
      <c r="Q615" s="683" t="n"/>
      <c r="R615" s="683" t="n"/>
      <c r="S615" s="683" t="n"/>
      <c r="T615" s="683" t="n"/>
      <c r="U615" s="683" t="n"/>
      <c r="V615" s="683" t="n"/>
      <c r="W615" s="683" t="n"/>
      <c r="X615" s="683" t="n"/>
      <c r="Y615" s="683" t="n"/>
    </row>
    <row r="616">
      <c r="A616" s="683" t="n"/>
      <c r="B616" s="683" t="n"/>
      <c r="C616" s="683" t="n"/>
      <c r="D616" s="683" t="n"/>
      <c r="E616" s="683" t="n"/>
      <c r="F616" s="683" t="n"/>
      <c r="G616" s="683" t="n"/>
      <c r="H616" s="683" t="n"/>
      <c r="I616" s="683" t="n"/>
      <c r="J616" s="683" t="n"/>
      <c r="K616" s="683" t="n"/>
      <c r="L616" s="683" t="n"/>
      <c r="M616" s="683" t="n"/>
      <c r="N616" s="683" t="n"/>
      <c r="O616" s="683" t="n"/>
      <c r="P616" s="683" t="n"/>
      <c r="Q616" s="683" t="n"/>
      <c r="R616" s="683" t="n"/>
      <c r="S616" s="683" t="n"/>
      <c r="T616" s="683" t="n"/>
      <c r="U616" s="683" t="n"/>
      <c r="V616" s="683" t="n"/>
      <c r="W616" s="683" t="n"/>
      <c r="X616" s="683" t="n"/>
      <c r="Y616" s="683" t="n"/>
    </row>
    <row r="617">
      <c r="A617" s="683" t="n"/>
      <c r="B617" s="683" t="n"/>
      <c r="C617" s="683" t="n"/>
      <c r="D617" s="683" t="n"/>
      <c r="E617" s="683" t="n"/>
      <c r="F617" s="683" t="n"/>
      <c r="G617" s="683" t="n"/>
      <c r="H617" s="683" t="n"/>
      <c r="I617" s="683" t="n"/>
      <c r="J617" s="683" t="n"/>
      <c r="K617" s="683" t="n"/>
      <c r="L617" s="683" t="n"/>
      <c r="M617" s="683" t="n"/>
      <c r="N617" s="683" t="n"/>
      <c r="O617" s="683" t="n"/>
      <c r="P617" s="683" t="n"/>
      <c r="Q617" s="683" t="n"/>
      <c r="R617" s="683" t="n"/>
      <c r="S617" s="683" t="n"/>
      <c r="T617" s="683" t="n"/>
      <c r="U617" s="683" t="n"/>
      <c r="V617" s="683" t="n"/>
      <c r="W617" s="683" t="n"/>
      <c r="X617" s="683" t="n"/>
      <c r="Y617" s="683" t="n"/>
    </row>
    <row r="618">
      <c r="A618" s="683" t="n"/>
      <c r="B618" s="683" t="n"/>
      <c r="C618" s="683" t="n"/>
      <c r="D618" s="683" t="n"/>
      <c r="E618" s="683" t="n"/>
      <c r="F618" s="683" t="n"/>
      <c r="G618" s="683" t="n"/>
      <c r="H618" s="683" t="n"/>
      <c r="I618" s="683" t="n"/>
      <c r="J618" s="683" t="n"/>
      <c r="K618" s="683" t="n"/>
      <c r="L618" s="683" t="n"/>
      <c r="M618" s="683" t="n"/>
      <c r="N618" s="683" t="n"/>
      <c r="O618" s="683" t="n"/>
      <c r="P618" s="683" t="n"/>
      <c r="Q618" s="683" t="n"/>
      <c r="R618" s="683" t="n"/>
      <c r="S618" s="683" t="n"/>
      <c r="T618" s="683" t="n"/>
      <c r="U618" s="683" t="n"/>
      <c r="V618" s="683" t="n"/>
      <c r="W618" s="683" t="n"/>
      <c r="X618" s="683" t="n"/>
      <c r="Y618" s="683" t="n"/>
    </row>
    <row r="619">
      <c r="A619" s="683" t="n"/>
      <c r="B619" s="683" t="n"/>
      <c r="C619" s="683" t="n"/>
      <c r="D619" s="683" t="n"/>
      <c r="E619" s="683" t="n"/>
      <c r="F619" s="683" t="n"/>
      <c r="G619" s="683" t="n"/>
      <c r="H619" s="683" t="n"/>
      <c r="I619" s="683" t="n"/>
      <c r="J619" s="683" t="n"/>
      <c r="K619" s="683" t="n"/>
      <c r="L619" s="683" t="n"/>
      <c r="M619" s="683" t="n"/>
      <c r="N619" s="683" t="n"/>
      <c r="O619" s="683" t="n"/>
      <c r="P619" s="683" t="n"/>
      <c r="Q619" s="683" t="n"/>
      <c r="R619" s="683" t="n"/>
      <c r="S619" s="683" t="n"/>
      <c r="T619" s="683" t="n"/>
      <c r="U619" s="683" t="n"/>
      <c r="V619" s="683" t="n"/>
      <c r="W619" s="683" t="n"/>
      <c r="X619" s="683" t="n"/>
      <c r="Y619" s="683" t="n"/>
    </row>
    <row r="620">
      <c r="A620" s="683" t="n"/>
      <c r="B620" s="683" t="n"/>
      <c r="C620" s="683" t="n"/>
      <c r="D620" s="683" t="n"/>
      <c r="E620" s="683" t="n"/>
      <c r="F620" s="683" t="n"/>
      <c r="G620" s="683" t="n"/>
      <c r="H620" s="683" t="n"/>
      <c r="I620" s="683" t="n"/>
      <c r="J620" s="683" t="n"/>
      <c r="K620" s="683" t="n"/>
      <c r="L620" s="683" t="n"/>
      <c r="M620" s="683" t="n"/>
      <c r="N620" s="683" t="n"/>
      <c r="O620" s="683" t="n"/>
      <c r="P620" s="683" t="n"/>
      <c r="Q620" s="683" t="n"/>
      <c r="R620" s="683" t="n"/>
      <c r="S620" s="683" t="n"/>
      <c r="T620" s="683" t="n"/>
      <c r="U620" s="683" t="n"/>
      <c r="V620" s="683" t="n"/>
      <c r="W620" s="683" t="n"/>
      <c r="X620" s="683" t="n"/>
      <c r="Y620" s="683" t="n"/>
    </row>
    <row r="621">
      <c r="A621" s="683" t="n"/>
      <c r="B621" s="683" t="n"/>
      <c r="C621" s="683" t="n"/>
      <c r="D621" s="683" t="n"/>
      <c r="E621" s="683" t="n"/>
      <c r="F621" s="683" t="n"/>
      <c r="G621" s="683" t="n"/>
      <c r="H621" s="683" t="n"/>
      <c r="I621" s="683" t="n"/>
      <c r="J621" s="683" t="n"/>
      <c r="K621" s="683" t="n"/>
      <c r="L621" s="683" t="n"/>
      <c r="M621" s="683" t="n"/>
      <c r="N621" s="683" t="n"/>
      <c r="O621" s="683" t="n"/>
      <c r="P621" s="683" t="n"/>
      <c r="Q621" s="683" t="n"/>
      <c r="R621" s="683" t="n"/>
      <c r="S621" s="683" t="n"/>
      <c r="T621" s="683" t="n"/>
      <c r="U621" s="683" t="n"/>
      <c r="V621" s="683" t="n"/>
      <c r="W621" s="683" t="n"/>
      <c r="X621" s="683" t="n"/>
      <c r="Y621" s="683" t="n"/>
    </row>
    <row r="622">
      <c r="A622" s="683" t="n"/>
      <c r="B622" s="683" t="n"/>
      <c r="C622" s="683" t="n"/>
      <c r="D622" s="683" t="n"/>
      <c r="E622" s="683" t="n"/>
      <c r="F622" s="683" t="n"/>
      <c r="G622" s="683" t="n"/>
      <c r="H622" s="683" t="n"/>
      <c r="I622" s="683" t="n"/>
      <c r="J622" s="683" t="n"/>
      <c r="K622" s="683" t="n"/>
      <c r="L622" s="683" t="n"/>
      <c r="M622" s="683" t="n"/>
      <c r="N622" s="683" t="n"/>
      <c r="O622" s="683" t="n"/>
      <c r="P622" s="683" t="n"/>
      <c r="Q622" s="683" t="n"/>
      <c r="R622" s="683" t="n"/>
      <c r="S622" s="683" t="n"/>
      <c r="T622" s="683" t="n"/>
      <c r="U622" s="683" t="n"/>
      <c r="V622" s="683" t="n"/>
      <c r="W622" s="683" t="n"/>
      <c r="X622" s="683" t="n"/>
      <c r="Y622" s="683" t="n"/>
    </row>
    <row r="623">
      <c r="A623" s="683" t="n"/>
      <c r="B623" s="683" t="n"/>
      <c r="C623" s="683" t="n"/>
      <c r="D623" s="683" t="n"/>
      <c r="E623" s="683" t="n"/>
      <c r="F623" s="683" t="n"/>
      <c r="G623" s="683" t="n"/>
      <c r="H623" s="683" t="n"/>
      <c r="I623" s="683" t="n"/>
      <c r="J623" s="683" t="n"/>
      <c r="K623" s="683" t="n"/>
      <c r="L623" s="683" t="n"/>
      <c r="M623" s="683" t="n"/>
      <c r="N623" s="683" t="n"/>
      <c r="O623" s="683" t="n"/>
      <c r="P623" s="683" t="n"/>
      <c r="Q623" s="683" t="n"/>
      <c r="R623" s="683" t="n"/>
      <c r="S623" s="683" t="n"/>
      <c r="T623" s="683" t="n"/>
      <c r="U623" s="683" t="n"/>
      <c r="V623" s="683" t="n"/>
      <c r="W623" s="683" t="n"/>
      <c r="X623" s="683" t="n"/>
      <c r="Y623" s="683" t="n"/>
    </row>
    <row r="624">
      <c r="A624" s="683" t="n"/>
      <c r="B624" s="683" t="n"/>
      <c r="C624" s="683" t="n"/>
      <c r="D624" s="683" t="n"/>
      <c r="E624" s="683" t="n"/>
      <c r="F624" s="683" t="n"/>
      <c r="G624" s="683" t="n"/>
      <c r="H624" s="683" t="n"/>
      <c r="I624" s="683" t="n"/>
      <c r="J624" s="683" t="n"/>
      <c r="K624" s="683" t="n"/>
      <c r="L624" s="683" t="n"/>
      <c r="M624" s="683" t="n"/>
      <c r="N624" s="683" t="n"/>
      <c r="O624" s="683" t="n"/>
      <c r="P624" s="683" t="n"/>
      <c r="Q624" s="683" t="n"/>
      <c r="R624" s="683" t="n"/>
      <c r="S624" s="683" t="n"/>
      <c r="T624" s="683" t="n"/>
      <c r="U624" s="683" t="n"/>
      <c r="V624" s="683" t="n"/>
      <c r="W624" s="683" t="n"/>
      <c r="X624" s="683" t="n"/>
      <c r="Y624" s="683" t="n"/>
    </row>
    <row r="625">
      <c r="A625" s="683" t="n"/>
      <c r="B625" s="683" t="n"/>
      <c r="C625" s="683" t="n"/>
      <c r="D625" s="683" t="n"/>
      <c r="E625" s="683" t="n"/>
      <c r="F625" s="683" t="n"/>
      <c r="G625" s="683" t="n"/>
      <c r="H625" s="683" t="n"/>
      <c r="I625" s="683" t="n"/>
      <c r="J625" s="683" t="n"/>
      <c r="K625" s="683" t="n"/>
      <c r="L625" s="683" t="n"/>
      <c r="M625" s="683" t="n"/>
      <c r="N625" s="683" t="n"/>
      <c r="O625" s="683" t="n"/>
      <c r="P625" s="683" t="n"/>
      <c r="Q625" s="683" t="n"/>
      <c r="R625" s="683" t="n"/>
      <c r="S625" s="683" t="n"/>
      <c r="T625" s="683" t="n"/>
      <c r="U625" s="683" t="n"/>
      <c r="V625" s="683" t="n"/>
      <c r="W625" s="683" t="n"/>
      <c r="X625" s="683" t="n"/>
      <c r="Y625" s="683" t="n"/>
    </row>
    <row r="626">
      <c r="A626" s="683" t="n"/>
      <c r="B626" s="683" t="n"/>
      <c r="C626" s="683" t="n"/>
      <c r="D626" s="683" t="n"/>
      <c r="E626" s="683" t="n"/>
      <c r="F626" s="683" t="n"/>
      <c r="G626" s="683" t="n"/>
      <c r="H626" s="683" t="n"/>
      <c r="I626" s="683" t="n"/>
      <c r="J626" s="683" t="n"/>
      <c r="K626" s="683" t="n"/>
      <c r="L626" s="683" t="n"/>
      <c r="M626" s="683" t="n"/>
      <c r="N626" s="683" t="n"/>
      <c r="O626" s="683" t="n"/>
      <c r="P626" s="683" t="n"/>
      <c r="Q626" s="683" t="n"/>
      <c r="R626" s="683" t="n"/>
      <c r="S626" s="683" t="n"/>
      <c r="T626" s="683" t="n"/>
      <c r="U626" s="683" t="n"/>
      <c r="V626" s="683" t="n"/>
      <c r="W626" s="683" t="n"/>
      <c r="X626" s="683" t="n"/>
      <c r="Y626" s="683" t="n"/>
    </row>
    <row r="627">
      <c r="A627" s="683" t="n"/>
      <c r="B627" s="683" t="n"/>
      <c r="C627" s="683" t="n"/>
      <c r="D627" s="683" t="n"/>
      <c r="E627" s="683" t="n"/>
      <c r="F627" s="683" t="n"/>
      <c r="G627" s="683" t="n"/>
      <c r="H627" s="683" t="n"/>
      <c r="I627" s="683" t="n"/>
      <c r="J627" s="683" t="n"/>
      <c r="K627" s="683" t="n"/>
      <c r="L627" s="683" t="n"/>
      <c r="M627" s="683" t="n"/>
      <c r="N627" s="683" t="n"/>
      <c r="O627" s="683" t="n"/>
      <c r="P627" s="683" t="n"/>
      <c r="Q627" s="683" t="n"/>
      <c r="R627" s="683" t="n"/>
      <c r="S627" s="683" t="n"/>
      <c r="T627" s="683" t="n"/>
      <c r="U627" s="683" t="n"/>
      <c r="V627" s="683" t="n"/>
      <c r="W627" s="683" t="n"/>
      <c r="X627" s="683" t="n"/>
      <c r="Y627" s="683" t="n"/>
    </row>
    <row r="628">
      <c r="A628" s="683" t="n"/>
      <c r="B628" s="683" t="n"/>
      <c r="C628" s="683" t="n"/>
      <c r="D628" s="683" t="n"/>
      <c r="E628" s="683" t="n"/>
      <c r="F628" s="683" t="n"/>
      <c r="G628" s="683" t="n"/>
      <c r="H628" s="683" t="n"/>
      <c r="I628" s="683" t="n"/>
      <c r="J628" s="683" t="n"/>
      <c r="K628" s="683" t="n"/>
      <c r="L628" s="683" t="n"/>
      <c r="M628" s="683" t="n"/>
      <c r="N628" s="683" t="n"/>
      <c r="O628" s="683" t="n"/>
      <c r="P628" s="683" t="n"/>
      <c r="Q628" s="683" t="n"/>
      <c r="R628" s="683" t="n"/>
      <c r="S628" s="683" t="n"/>
      <c r="T628" s="683" t="n"/>
      <c r="U628" s="683" t="n"/>
      <c r="V628" s="683" t="n"/>
      <c r="W628" s="683" t="n"/>
      <c r="X628" s="683" t="n"/>
      <c r="Y628" s="683" t="n"/>
    </row>
    <row r="629">
      <c r="A629" s="683" t="n"/>
      <c r="B629" s="683" t="n"/>
      <c r="C629" s="683" t="n"/>
      <c r="D629" s="683" t="n"/>
      <c r="E629" s="683" t="n"/>
      <c r="F629" s="683" t="n"/>
      <c r="G629" s="683" t="n"/>
      <c r="H629" s="683" t="n"/>
      <c r="I629" s="683" t="n"/>
      <c r="J629" s="683" t="n"/>
      <c r="K629" s="683" t="n"/>
      <c r="L629" s="683" t="n"/>
      <c r="M629" s="683" t="n"/>
      <c r="N629" s="683" t="n"/>
      <c r="O629" s="683" t="n"/>
      <c r="P629" s="683" t="n"/>
      <c r="Q629" s="683" t="n"/>
      <c r="R629" s="683" t="n"/>
      <c r="S629" s="683" t="n"/>
      <c r="T629" s="683" t="n"/>
      <c r="U629" s="683" t="n"/>
      <c r="V629" s="683" t="n"/>
      <c r="W629" s="683" t="n"/>
      <c r="X629" s="683" t="n"/>
      <c r="Y629" s="683" t="n"/>
    </row>
    <row r="630">
      <c r="A630" s="683" t="n"/>
      <c r="B630" s="683" t="n"/>
      <c r="C630" s="683" t="n"/>
      <c r="D630" s="683" t="n"/>
      <c r="E630" s="683" t="n"/>
      <c r="F630" s="683" t="n"/>
      <c r="G630" s="683" t="n"/>
      <c r="H630" s="683" t="n"/>
      <c r="I630" s="683" t="n"/>
      <c r="J630" s="683" t="n"/>
      <c r="K630" s="683" t="n"/>
      <c r="L630" s="683" t="n"/>
      <c r="M630" s="683" t="n"/>
      <c r="N630" s="683" t="n"/>
      <c r="O630" s="683" t="n"/>
      <c r="P630" s="683" t="n"/>
      <c r="Q630" s="683" t="n"/>
      <c r="R630" s="683" t="n"/>
      <c r="S630" s="683" t="n"/>
      <c r="T630" s="683" t="n"/>
      <c r="U630" s="683" t="n"/>
      <c r="V630" s="683" t="n"/>
      <c r="W630" s="683" t="n"/>
      <c r="X630" s="683" t="n"/>
      <c r="Y630" s="683" t="n"/>
    </row>
    <row r="631">
      <c r="A631" s="683" t="n"/>
      <c r="B631" s="683" t="n"/>
      <c r="C631" s="683" t="n"/>
      <c r="D631" s="683" t="n"/>
      <c r="E631" s="683" t="n"/>
      <c r="F631" s="683" t="n"/>
      <c r="G631" s="683" t="n"/>
      <c r="H631" s="683" t="n"/>
      <c r="I631" s="683" t="n"/>
      <c r="J631" s="683" t="n"/>
      <c r="K631" s="683" t="n"/>
      <c r="L631" s="683" t="n"/>
      <c r="M631" s="683" t="n"/>
      <c r="N631" s="683" t="n"/>
      <c r="O631" s="683" t="n"/>
      <c r="P631" s="683" t="n"/>
      <c r="Q631" s="683" t="n"/>
      <c r="R631" s="683" t="n"/>
      <c r="S631" s="683" t="n"/>
      <c r="T631" s="683" t="n"/>
      <c r="U631" s="683" t="n"/>
      <c r="V631" s="683" t="n"/>
      <c r="W631" s="683" t="n"/>
      <c r="X631" s="683" t="n"/>
      <c r="Y631" s="683" t="n"/>
    </row>
    <row r="632">
      <c r="A632" s="683" t="n"/>
      <c r="B632" s="683" t="n"/>
      <c r="C632" s="683" t="n"/>
      <c r="D632" s="683" t="n"/>
      <c r="E632" s="683" t="n"/>
      <c r="F632" s="683" t="n"/>
      <c r="G632" s="683" t="n"/>
      <c r="H632" s="683" t="n"/>
      <c r="I632" s="683" t="n"/>
      <c r="J632" s="683" t="n"/>
      <c r="K632" s="683" t="n"/>
      <c r="L632" s="683" t="n"/>
      <c r="M632" s="683" t="n"/>
      <c r="N632" s="683" t="n"/>
      <c r="O632" s="683" t="n"/>
      <c r="P632" s="683" t="n"/>
      <c r="Q632" s="683" t="n"/>
      <c r="R632" s="683" t="n"/>
      <c r="S632" s="683" t="n"/>
      <c r="T632" s="683" t="n"/>
      <c r="U632" s="683" t="n"/>
      <c r="V632" s="683" t="n"/>
      <c r="W632" s="683" t="n"/>
      <c r="X632" s="683" t="n"/>
      <c r="Y632" s="683" t="n"/>
    </row>
    <row r="633">
      <c r="A633" s="683" t="n"/>
      <c r="B633" s="683" t="n"/>
      <c r="C633" s="683" t="n"/>
      <c r="D633" s="683" t="n"/>
      <c r="E633" s="683" t="n"/>
      <c r="F633" s="683" t="n"/>
      <c r="G633" s="683" t="n"/>
      <c r="H633" s="683" t="n"/>
      <c r="I633" s="683" t="n"/>
      <c r="J633" s="683" t="n"/>
      <c r="K633" s="683" t="n"/>
      <c r="L633" s="683" t="n"/>
      <c r="M633" s="683" t="n"/>
      <c r="N633" s="683" t="n"/>
      <c r="O633" s="683" t="n"/>
      <c r="P633" s="683" t="n"/>
      <c r="Q633" s="683" t="n"/>
      <c r="R633" s="683" t="n"/>
      <c r="S633" s="683" t="n"/>
      <c r="T633" s="683" t="n"/>
      <c r="U633" s="683" t="n"/>
      <c r="V633" s="683" t="n"/>
      <c r="W633" s="683" t="n"/>
      <c r="X633" s="683" t="n"/>
      <c r="Y633" s="683" t="n"/>
    </row>
    <row r="634">
      <c r="A634" s="683" t="n"/>
      <c r="B634" s="683" t="n"/>
      <c r="C634" s="683" t="n"/>
      <c r="D634" s="683" t="n"/>
      <c r="E634" s="683" t="n"/>
      <c r="F634" s="683" t="n"/>
      <c r="G634" s="683" t="n"/>
      <c r="H634" s="683" t="n"/>
      <c r="I634" s="683" t="n"/>
      <c r="J634" s="683" t="n"/>
      <c r="K634" s="683" t="n"/>
      <c r="L634" s="683" t="n"/>
      <c r="M634" s="683" t="n"/>
      <c r="N634" s="683" t="n"/>
      <c r="O634" s="683" t="n"/>
      <c r="P634" s="683" t="n"/>
      <c r="Q634" s="683" t="n"/>
      <c r="R634" s="683" t="n"/>
      <c r="S634" s="683" t="n"/>
      <c r="T634" s="683" t="n"/>
      <c r="U634" s="683" t="n"/>
      <c r="V634" s="683" t="n"/>
      <c r="W634" s="683" t="n"/>
      <c r="X634" s="683" t="n"/>
      <c r="Y634" s="683" t="n"/>
    </row>
    <row r="635">
      <c r="A635" s="683" t="n"/>
      <c r="B635" s="683" t="n"/>
      <c r="C635" s="683" t="n"/>
      <c r="D635" s="683" t="n"/>
      <c r="E635" s="683" t="n"/>
      <c r="F635" s="683" t="n"/>
      <c r="G635" s="683" t="n"/>
      <c r="H635" s="683" t="n"/>
      <c r="I635" s="683" t="n"/>
      <c r="J635" s="683" t="n"/>
      <c r="K635" s="683" t="n"/>
      <c r="L635" s="683" t="n"/>
      <c r="M635" s="683" t="n"/>
      <c r="N635" s="683" t="n"/>
      <c r="O635" s="683" t="n"/>
      <c r="P635" s="683" t="n"/>
      <c r="Q635" s="683" t="n"/>
      <c r="R635" s="683" t="n"/>
      <c r="S635" s="683" t="n"/>
      <c r="T635" s="683" t="n"/>
      <c r="U635" s="683" t="n"/>
      <c r="V635" s="683" t="n"/>
      <c r="W635" s="683" t="n"/>
      <c r="X635" s="683" t="n"/>
      <c r="Y635" s="683" t="n"/>
    </row>
    <row r="636">
      <c r="A636" s="683" t="n"/>
      <c r="B636" s="683" t="n"/>
      <c r="C636" s="683" t="n"/>
      <c r="D636" s="683" t="n"/>
      <c r="E636" s="683" t="n"/>
      <c r="F636" s="683" t="n"/>
      <c r="G636" s="683" t="n"/>
      <c r="H636" s="683" t="n"/>
      <c r="I636" s="683" t="n"/>
      <c r="J636" s="683" t="n"/>
      <c r="K636" s="683" t="n"/>
      <c r="L636" s="683" t="n"/>
      <c r="M636" s="683" t="n"/>
      <c r="N636" s="683" t="n"/>
      <c r="O636" s="683" t="n"/>
      <c r="P636" s="683" t="n"/>
      <c r="Q636" s="683" t="n"/>
      <c r="R636" s="683" t="n"/>
      <c r="S636" s="683" t="n"/>
      <c r="T636" s="683" t="n"/>
      <c r="U636" s="683" t="n"/>
      <c r="V636" s="683" t="n"/>
      <c r="W636" s="683" t="n"/>
      <c r="X636" s="683" t="n"/>
      <c r="Y636" s="683" t="n"/>
    </row>
    <row r="637">
      <c r="A637" s="683" t="n"/>
      <c r="B637" s="683" t="n"/>
      <c r="C637" s="683" t="n"/>
      <c r="D637" s="683" t="n"/>
      <c r="E637" s="683" t="n"/>
      <c r="F637" s="683" t="n"/>
      <c r="G637" s="683" t="n"/>
      <c r="H637" s="683" t="n"/>
      <c r="I637" s="683" t="n"/>
      <c r="J637" s="683" t="n"/>
      <c r="K637" s="683" t="n"/>
      <c r="L637" s="683" t="n"/>
      <c r="M637" s="683" t="n"/>
      <c r="N637" s="683" t="n"/>
      <c r="O637" s="683" t="n"/>
      <c r="P637" s="683" t="n"/>
      <c r="Q637" s="683" t="n"/>
      <c r="R637" s="683" t="n"/>
      <c r="S637" s="683" t="n"/>
      <c r="T637" s="683" t="n"/>
      <c r="U637" s="683" t="n"/>
      <c r="V637" s="683" t="n"/>
      <c r="W637" s="683" t="n"/>
      <c r="X637" s="683" t="n"/>
      <c r="Y637" s="683" t="n"/>
    </row>
    <row r="638">
      <c r="A638" s="683" t="n"/>
      <c r="B638" s="683" t="n"/>
      <c r="C638" s="683" t="n"/>
      <c r="D638" s="683" t="n"/>
      <c r="E638" s="683" t="n"/>
      <c r="F638" s="683" t="n"/>
      <c r="G638" s="683" t="n"/>
      <c r="H638" s="683" t="n"/>
      <c r="I638" s="683" t="n"/>
      <c r="J638" s="683" t="n"/>
      <c r="K638" s="683" t="n"/>
      <c r="L638" s="683" t="n"/>
      <c r="M638" s="683" t="n"/>
      <c r="N638" s="683" t="n"/>
      <c r="O638" s="683" t="n"/>
      <c r="P638" s="683" t="n"/>
      <c r="Q638" s="683" t="n"/>
      <c r="R638" s="683" t="n"/>
      <c r="S638" s="683" t="n"/>
      <c r="T638" s="683" t="n"/>
      <c r="U638" s="683" t="n"/>
      <c r="V638" s="683" t="n"/>
      <c r="W638" s="683" t="n"/>
      <c r="X638" s="683" t="n"/>
      <c r="Y638" s="683" t="n"/>
    </row>
    <row r="639">
      <c r="A639" s="683" t="n"/>
      <c r="B639" s="683" t="n"/>
      <c r="C639" s="683" t="n"/>
      <c r="D639" s="683" t="n"/>
      <c r="E639" s="683" t="n"/>
      <c r="F639" s="683" t="n"/>
      <c r="G639" s="683" t="n"/>
      <c r="H639" s="683" t="n"/>
      <c r="I639" s="683" t="n"/>
      <c r="J639" s="683" t="n"/>
      <c r="K639" s="683" t="n"/>
      <c r="L639" s="683" t="n"/>
      <c r="M639" s="683" t="n"/>
      <c r="N639" s="683" t="n"/>
      <c r="O639" s="683" t="n"/>
      <c r="P639" s="683" t="n"/>
      <c r="Q639" s="683" t="n"/>
      <c r="R639" s="683" t="n"/>
      <c r="S639" s="683" t="n"/>
      <c r="T639" s="683" t="n"/>
      <c r="U639" s="683" t="n"/>
      <c r="V639" s="683" t="n"/>
      <c r="W639" s="683" t="n"/>
      <c r="X639" s="683" t="n"/>
      <c r="Y639" s="683" t="n"/>
    </row>
    <row r="640">
      <c r="A640" s="683" t="n"/>
      <c r="B640" s="683" t="n"/>
      <c r="C640" s="683" t="n"/>
      <c r="D640" s="683" t="n"/>
      <c r="E640" s="683" t="n"/>
      <c r="F640" s="683" t="n"/>
      <c r="G640" s="683" t="n"/>
      <c r="H640" s="683" t="n"/>
      <c r="I640" s="683" t="n"/>
      <c r="J640" s="683" t="n"/>
      <c r="K640" s="683" t="n"/>
      <c r="L640" s="683" t="n"/>
      <c r="M640" s="683" t="n"/>
      <c r="N640" s="683" t="n"/>
      <c r="O640" s="683" t="n"/>
      <c r="P640" s="683" t="n"/>
      <c r="Q640" s="683" t="n"/>
      <c r="R640" s="683" t="n"/>
      <c r="S640" s="683" t="n"/>
      <c r="T640" s="683" t="n"/>
      <c r="U640" s="683" t="n"/>
      <c r="V640" s="683" t="n"/>
      <c r="W640" s="683" t="n"/>
      <c r="X640" s="683" t="n"/>
      <c r="Y640" s="683" t="n"/>
    </row>
    <row r="641">
      <c r="A641" s="683" t="n"/>
      <c r="B641" s="683" t="n"/>
      <c r="C641" s="683" t="n"/>
      <c r="D641" s="683" t="n"/>
      <c r="E641" s="683" t="n"/>
      <c r="F641" s="683" t="n"/>
      <c r="G641" s="683" t="n"/>
      <c r="H641" s="683" t="n"/>
      <c r="I641" s="683" t="n"/>
      <c r="J641" s="683" t="n"/>
      <c r="K641" s="683" t="n"/>
      <c r="L641" s="683" t="n"/>
      <c r="M641" s="683" t="n"/>
      <c r="N641" s="683" t="n"/>
      <c r="O641" s="683" t="n"/>
      <c r="P641" s="683" t="n"/>
      <c r="Q641" s="683" t="n"/>
      <c r="R641" s="683" t="n"/>
      <c r="S641" s="683" t="n"/>
      <c r="T641" s="683" t="n"/>
      <c r="U641" s="683" t="n"/>
      <c r="V641" s="683" t="n"/>
      <c r="W641" s="683" t="n"/>
      <c r="X641" s="683" t="n"/>
      <c r="Y641" s="683" t="n"/>
    </row>
    <row r="642">
      <c r="A642" s="683" t="n"/>
      <c r="B642" s="683" t="n"/>
      <c r="C642" s="683" t="n"/>
      <c r="D642" s="683" t="n"/>
      <c r="E642" s="683" t="n"/>
      <c r="F642" s="683" t="n"/>
      <c r="G642" s="683" t="n"/>
      <c r="H642" s="683" t="n"/>
      <c r="I642" s="683" t="n"/>
      <c r="J642" s="683" t="n"/>
      <c r="K642" s="683" t="n"/>
      <c r="L642" s="683" t="n"/>
      <c r="M642" s="683" t="n"/>
      <c r="N642" s="683" t="n"/>
      <c r="O642" s="683" t="n"/>
      <c r="P642" s="683" t="n"/>
      <c r="Q642" s="683" t="n"/>
      <c r="R642" s="683" t="n"/>
      <c r="S642" s="683" t="n"/>
      <c r="T642" s="683" t="n"/>
      <c r="U642" s="683" t="n"/>
      <c r="V642" s="683" t="n"/>
      <c r="W642" s="683" t="n"/>
      <c r="X642" s="683" t="n"/>
      <c r="Y642" s="683" t="n"/>
    </row>
    <row r="643">
      <c r="A643" s="683" t="n"/>
      <c r="B643" s="683" t="n"/>
      <c r="C643" s="683" t="n"/>
      <c r="D643" s="683" t="n"/>
      <c r="E643" s="683" t="n"/>
      <c r="F643" s="683" t="n"/>
      <c r="G643" s="683" t="n"/>
      <c r="H643" s="683" t="n"/>
      <c r="I643" s="683" t="n"/>
      <c r="J643" s="683" t="n"/>
      <c r="K643" s="683" t="n"/>
      <c r="L643" s="683" t="n"/>
      <c r="M643" s="683" t="n"/>
      <c r="N643" s="683" t="n"/>
      <c r="O643" s="683" t="n"/>
      <c r="P643" s="683" t="n"/>
      <c r="Q643" s="683" t="n"/>
      <c r="R643" s="683" t="n"/>
      <c r="S643" s="683" t="n"/>
      <c r="T643" s="683" t="n"/>
      <c r="U643" s="683" t="n"/>
      <c r="V643" s="683" t="n"/>
      <c r="W643" s="683" t="n"/>
      <c r="X643" s="683" t="n"/>
      <c r="Y643" s="683" t="n"/>
    </row>
    <row r="644">
      <c r="A644" s="683" t="n"/>
      <c r="B644" s="683" t="n"/>
      <c r="C644" s="683" t="n"/>
      <c r="D644" s="683" t="n"/>
      <c r="E644" s="683" t="n"/>
      <c r="F644" s="683" t="n"/>
      <c r="G644" s="683" t="n"/>
      <c r="H644" s="683" t="n"/>
      <c r="I644" s="683" t="n"/>
      <c r="J644" s="683" t="n"/>
      <c r="K644" s="683" t="n"/>
      <c r="L644" s="683" t="n"/>
      <c r="M644" s="683" t="n"/>
      <c r="N644" s="683" t="n"/>
      <c r="O644" s="683" t="n"/>
      <c r="P644" s="683" t="n"/>
      <c r="Q644" s="683" t="n"/>
      <c r="R644" s="683" t="n"/>
      <c r="S644" s="683" t="n"/>
      <c r="T644" s="683" t="n"/>
      <c r="U644" s="683" t="n"/>
      <c r="V644" s="683" t="n"/>
      <c r="W644" s="683" t="n"/>
      <c r="X644" s="683" t="n"/>
      <c r="Y644" s="683" t="n"/>
    </row>
    <row r="645">
      <c r="A645" s="683" t="n"/>
      <c r="B645" s="683" t="n"/>
      <c r="C645" s="683" t="n"/>
      <c r="D645" s="683" t="n"/>
      <c r="E645" s="683" t="n"/>
      <c r="F645" s="683" t="n"/>
      <c r="G645" s="683" t="n"/>
      <c r="H645" s="683" t="n"/>
      <c r="I645" s="683" t="n"/>
      <c r="J645" s="683" t="n"/>
      <c r="K645" s="683" t="n"/>
      <c r="L645" s="683" t="n"/>
      <c r="M645" s="683" t="n"/>
      <c r="N645" s="683" t="n"/>
      <c r="O645" s="683" t="n"/>
      <c r="P645" s="683" t="n"/>
      <c r="Q645" s="683" t="n"/>
      <c r="R645" s="683" t="n"/>
      <c r="S645" s="683" t="n"/>
      <c r="T645" s="683" t="n"/>
      <c r="U645" s="683" t="n"/>
      <c r="V645" s="683" t="n"/>
      <c r="W645" s="683" t="n"/>
      <c r="X645" s="683" t="n"/>
      <c r="Y645" s="683" t="n"/>
    </row>
    <row r="646">
      <c r="A646" s="683" t="n"/>
      <c r="B646" s="683" t="n"/>
      <c r="C646" s="683" t="n"/>
      <c r="D646" s="683" t="n"/>
      <c r="E646" s="683" t="n"/>
      <c r="F646" s="683" t="n"/>
      <c r="G646" s="683" t="n"/>
      <c r="H646" s="683" t="n"/>
      <c r="I646" s="683" t="n"/>
      <c r="J646" s="683" t="n"/>
      <c r="K646" s="683" t="n"/>
      <c r="L646" s="683" t="n"/>
      <c r="M646" s="683" t="n"/>
      <c r="N646" s="683" t="n"/>
      <c r="O646" s="683" t="n"/>
      <c r="P646" s="683" t="n"/>
      <c r="Q646" s="683" t="n"/>
      <c r="R646" s="683" t="n"/>
      <c r="S646" s="683" t="n"/>
      <c r="T646" s="683" t="n"/>
      <c r="U646" s="683" t="n"/>
      <c r="V646" s="683" t="n"/>
      <c r="W646" s="683" t="n"/>
      <c r="X646" s="683" t="n"/>
      <c r="Y646" s="683" t="n"/>
    </row>
    <row r="647">
      <c r="A647" s="683" t="n"/>
      <c r="B647" s="683" t="n"/>
      <c r="C647" s="683" t="n"/>
      <c r="D647" s="683" t="n"/>
      <c r="E647" s="683" t="n"/>
      <c r="F647" s="683" t="n"/>
      <c r="G647" s="683" t="n"/>
      <c r="H647" s="683" t="n"/>
      <c r="I647" s="683" t="n"/>
      <c r="J647" s="683" t="n"/>
      <c r="K647" s="683" t="n"/>
      <c r="L647" s="683" t="n"/>
      <c r="M647" s="683" t="n"/>
      <c r="N647" s="683" t="n"/>
      <c r="O647" s="683" t="n"/>
      <c r="P647" s="683" t="n"/>
      <c r="Q647" s="683" t="n"/>
      <c r="R647" s="683" t="n"/>
      <c r="S647" s="683" t="n"/>
      <c r="T647" s="683" t="n"/>
      <c r="U647" s="683" t="n"/>
      <c r="V647" s="683" t="n"/>
      <c r="W647" s="683" t="n"/>
      <c r="X647" s="683" t="n"/>
      <c r="Y647" s="683" t="n"/>
    </row>
    <row r="648">
      <c r="A648" s="683" t="n"/>
      <c r="B648" s="683" t="n"/>
      <c r="C648" s="683" t="n"/>
      <c r="D648" s="683" t="n"/>
      <c r="E648" s="683" t="n"/>
      <c r="F648" s="683" t="n"/>
      <c r="G648" s="683" t="n"/>
      <c r="H648" s="683" t="n"/>
      <c r="I648" s="683" t="n"/>
      <c r="J648" s="683" t="n"/>
      <c r="K648" s="683" t="n"/>
      <c r="L648" s="683" t="n"/>
      <c r="M648" s="683" t="n"/>
      <c r="N648" s="683" t="n"/>
      <c r="O648" s="683" t="n"/>
      <c r="P648" s="683" t="n"/>
      <c r="Q648" s="683" t="n"/>
      <c r="R648" s="683" t="n"/>
      <c r="S648" s="683" t="n"/>
      <c r="T648" s="683" t="n"/>
      <c r="U648" s="683" t="n"/>
      <c r="V648" s="683" t="n"/>
      <c r="W648" s="683" t="n"/>
      <c r="X648" s="683" t="n"/>
      <c r="Y648" s="683" t="n"/>
    </row>
    <row r="649">
      <c r="A649" s="683" t="n"/>
      <c r="B649" s="683" t="n"/>
      <c r="C649" s="683" t="n"/>
      <c r="D649" s="683" t="n"/>
      <c r="E649" s="683" t="n"/>
      <c r="F649" s="683" t="n"/>
      <c r="G649" s="683" t="n"/>
      <c r="H649" s="683" t="n"/>
      <c r="I649" s="683" t="n"/>
      <c r="J649" s="683" t="n"/>
      <c r="K649" s="683" t="n"/>
      <c r="L649" s="683" t="n"/>
      <c r="M649" s="683" t="n"/>
      <c r="N649" s="683" t="n"/>
      <c r="O649" s="683" t="n"/>
      <c r="P649" s="683" t="n"/>
      <c r="Q649" s="683" t="n"/>
      <c r="R649" s="683" t="n"/>
      <c r="S649" s="683" t="n"/>
      <c r="T649" s="683" t="n"/>
      <c r="U649" s="683" t="n"/>
      <c r="V649" s="683" t="n"/>
      <c r="W649" s="683" t="n"/>
      <c r="X649" s="683" t="n"/>
      <c r="Y649" s="683" t="n"/>
    </row>
    <row r="650">
      <c r="A650" s="683" t="n"/>
      <c r="B650" s="683" t="n"/>
      <c r="C650" s="683" t="n"/>
      <c r="D650" s="683" t="n"/>
      <c r="E650" s="683" t="n"/>
      <c r="F650" s="683" t="n"/>
      <c r="G650" s="683" t="n"/>
      <c r="H650" s="683" t="n"/>
      <c r="I650" s="683" t="n"/>
      <c r="J650" s="683" t="n"/>
      <c r="K650" s="683" t="n"/>
      <c r="L650" s="683" t="n"/>
      <c r="M650" s="683" t="n"/>
      <c r="N650" s="683" t="n"/>
      <c r="O650" s="683" t="n"/>
      <c r="P650" s="683" t="n"/>
      <c r="Q650" s="683" t="n"/>
      <c r="R650" s="683" t="n"/>
      <c r="S650" s="683" t="n"/>
      <c r="T650" s="683" t="n"/>
      <c r="U650" s="683" t="n"/>
      <c r="V650" s="683" t="n"/>
      <c r="W650" s="683" t="n"/>
      <c r="X650" s="683" t="n"/>
      <c r="Y650" s="683" t="n"/>
    </row>
    <row r="651">
      <c r="A651" s="683" t="n"/>
      <c r="B651" s="683" t="n"/>
      <c r="C651" s="683" t="n"/>
      <c r="D651" s="683" t="n"/>
      <c r="E651" s="683" t="n"/>
      <c r="F651" s="683" t="n"/>
      <c r="G651" s="683" t="n"/>
      <c r="H651" s="683" t="n"/>
      <c r="I651" s="683" t="n"/>
      <c r="J651" s="683" t="n"/>
      <c r="K651" s="683" t="n"/>
      <c r="L651" s="683" t="n"/>
      <c r="M651" s="683" t="n"/>
      <c r="N651" s="683" t="n"/>
      <c r="O651" s="683" t="n"/>
      <c r="P651" s="683" t="n"/>
      <c r="Q651" s="683" t="n"/>
      <c r="R651" s="683" t="n"/>
      <c r="S651" s="683" t="n"/>
      <c r="T651" s="683" t="n"/>
      <c r="U651" s="683" t="n"/>
      <c r="V651" s="683" t="n"/>
      <c r="W651" s="683" t="n"/>
      <c r="X651" s="683" t="n"/>
      <c r="Y651" s="683" t="n"/>
    </row>
    <row r="652">
      <c r="A652" s="683" t="n"/>
      <c r="B652" s="683" t="n"/>
      <c r="C652" s="683" t="n"/>
      <c r="D652" s="683" t="n"/>
      <c r="E652" s="683" t="n"/>
      <c r="F652" s="683" t="n"/>
      <c r="G652" s="683" t="n"/>
      <c r="H652" s="683" t="n"/>
      <c r="I652" s="683" t="n"/>
      <c r="J652" s="683" t="n"/>
      <c r="K652" s="683" t="n"/>
      <c r="L652" s="683" t="n"/>
      <c r="M652" s="683" t="n"/>
      <c r="N652" s="683" t="n"/>
      <c r="O652" s="683" t="n"/>
      <c r="P652" s="683" t="n"/>
      <c r="Q652" s="683" t="n"/>
      <c r="R652" s="683" t="n"/>
      <c r="S652" s="683" t="n"/>
      <c r="T652" s="683" t="n"/>
      <c r="U652" s="683" t="n"/>
      <c r="V652" s="683" t="n"/>
      <c r="W652" s="683" t="n"/>
      <c r="X652" s="683" t="n"/>
      <c r="Y652" s="683" t="n"/>
    </row>
    <row r="653">
      <c r="A653" s="683" t="n"/>
      <c r="B653" s="683" t="n"/>
      <c r="C653" s="683" t="n"/>
      <c r="D653" s="683" t="n"/>
      <c r="E653" s="683" t="n"/>
      <c r="F653" s="683" t="n"/>
      <c r="G653" s="683" t="n"/>
      <c r="H653" s="683" t="n"/>
      <c r="I653" s="683" t="n"/>
      <c r="J653" s="683" t="n"/>
      <c r="K653" s="683" t="n"/>
      <c r="L653" s="683" t="n"/>
      <c r="M653" s="683" t="n"/>
      <c r="N653" s="683" t="n"/>
      <c r="O653" s="683" t="n"/>
      <c r="P653" s="683" t="n"/>
      <c r="Q653" s="683" t="n"/>
      <c r="R653" s="683" t="n"/>
      <c r="S653" s="683" t="n"/>
      <c r="T653" s="683" t="n"/>
      <c r="U653" s="683" t="n"/>
      <c r="V653" s="683" t="n"/>
      <c r="W653" s="683" t="n"/>
      <c r="X653" s="683" t="n"/>
      <c r="Y653" s="683" t="n"/>
    </row>
    <row r="654">
      <c r="A654" s="683" t="n"/>
      <c r="B654" s="683" t="n"/>
      <c r="C654" s="683" t="n"/>
      <c r="D654" s="683" t="n"/>
      <c r="E654" s="683" t="n"/>
      <c r="F654" s="683" t="n"/>
      <c r="G654" s="683" t="n"/>
      <c r="H654" s="683" t="n"/>
      <c r="I654" s="683" t="n"/>
      <c r="J654" s="683" t="n"/>
      <c r="K654" s="683" t="n"/>
      <c r="L654" s="683" t="n"/>
      <c r="M654" s="683" t="n"/>
      <c r="N654" s="683" t="n"/>
      <c r="O654" s="683" t="n"/>
      <c r="P654" s="683" t="n"/>
      <c r="Q654" s="683" t="n"/>
      <c r="R654" s="683" t="n"/>
      <c r="S654" s="683" t="n"/>
      <c r="T654" s="683" t="n"/>
      <c r="U654" s="683" t="n"/>
      <c r="V654" s="683" t="n"/>
      <c r="W654" s="683" t="n"/>
      <c r="X654" s="683" t="n"/>
      <c r="Y654" s="683" t="n"/>
    </row>
    <row r="655">
      <c r="A655" s="683" t="n"/>
      <c r="B655" s="683" t="n"/>
      <c r="C655" s="683" t="n"/>
      <c r="D655" s="683" t="n"/>
      <c r="E655" s="683" t="n"/>
      <c r="F655" s="683" t="n"/>
      <c r="G655" s="683" t="n"/>
      <c r="H655" s="683" t="n"/>
      <c r="I655" s="683" t="n"/>
      <c r="J655" s="683" t="n"/>
      <c r="K655" s="683" t="n"/>
      <c r="L655" s="683" t="n"/>
      <c r="M655" s="683" t="n"/>
      <c r="N655" s="683" t="n"/>
      <c r="O655" s="683" t="n"/>
      <c r="P655" s="683" t="n"/>
      <c r="Q655" s="683" t="n"/>
      <c r="R655" s="683" t="n"/>
      <c r="S655" s="683" t="n"/>
      <c r="T655" s="683" t="n"/>
      <c r="U655" s="683" t="n"/>
      <c r="V655" s="683" t="n"/>
      <c r="W655" s="683" t="n"/>
      <c r="X655" s="683" t="n"/>
      <c r="Y655" s="683" t="n"/>
    </row>
    <row r="656">
      <c r="A656" s="683" t="n"/>
      <c r="B656" s="683" t="n"/>
      <c r="C656" s="683" t="n"/>
      <c r="D656" s="683" t="n"/>
      <c r="E656" s="683" t="n"/>
      <c r="F656" s="683" t="n"/>
      <c r="G656" s="683" t="n"/>
      <c r="H656" s="683" t="n"/>
      <c r="I656" s="683" t="n"/>
      <c r="J656" s="683" t="n"/>
      <c r="K656" s="683" t="n"/>
      <c r="L656" s="683" t="n"/>
      <c r="M656" s="683" t="n"/>
      <c r="N656" s="683" t="n"/>
      <c r="O656" s="683" t="n"/>
      <c r="P656" s="683" t="n"/>
      <c r="Q656" s="683" t="n"/>
      <c r="R656" s="683" t="n"/>
      <c r="S656" s="683" t="n"/>
      <c r="T656" s="683" t="n"/>
      <c r="U656" s="683" t="n"/>
      <c r="V656" s="683" t="n"/>
      <c r="W656" s="683" t="n"/>
      <c r="X656" s="683" t="n"/>
      <c r="Y656" s="683" t="n"/>
    </row>
    <row r="657">
      <c r="A657" s="683" t="n"/>
      <c r="B657" s="683" t="n"/>
      <c r="C657" s="683" t="n"/>
      <c r="D657" s="683" t="n"/>
      <c r="E657" s="683" t="n"/>
      <c r="F657" s="683" t="n"/>
      <c r="G657" s="683" t="n"/>
      <c r="H657" s="683" t="n"/>
      <c r="I657" s="683" t="n"/>
      <c r="J657" s="683" t="n"/>
      <c r="K657" s="683" t="n"/>
      <c r="L657" s="683" t="n"/>
      <c r="M657" s="683" t="n"/>
      <c r="N657" s="683" t="n"/>
      <c r="O657" s="683" t="n"/>
      <c r="P657" s="683" t="n"/>
      <c r="Q657" s="683" t="n"/>
      <c r="R657" s="683" t="n"/>
      <c r="S657" s="683" t="n"/>
      <c r="T657" s="683" t="n"/>
      <c r="U657" s="683" t="n"/>
      <c r="V657" s="683" t="n"/>
      <c r="W657" s="683" t="n"/>
      <c r="X657" s="683" t="n"/>
      <c r="Y657" s="683" t="n"/>
    </row>
    <row r="658">
      <c r="A658" s="683" t="n"/>
      <c r="B658" s="683" t="n"/>
      <c r="C658" s="683" t="n"/>
      <c r="D658" s="683" t="n"/>
      <c r="E658" s="683" t="n"/>
      <c r="F658" s="683" t="n"/>
      <c r="G658" s="683" t="n"/>
      <c r="H658" s="683" t="n"/>
      <c r="I658" s="683" t="n"/>
      <c r="J658" s="683" t="n"/>
      <c r="K658" s="683" t="n"/>
      <c r="L658" s="683" t="n"/>
      <c r="M658" s="683" t="n"/>
      <c r="N658" s="683" t="n"/>
      <c r="O658" s="683" t="n"/>
      <c r="P658" s="683" t="n"/>
      <c r="Q658" s="683" t="n"/>
      <c r="R658" s="683" t="n"/>
      <c r="S658" s="683" t="n"/>
      <c r="T658" s="683" t="n"/>
      <c r="U658" s="683" t="n"/>
      <c r="V658" s="683" t="n"/>
      <c r="W658" s="683" t="n"/>
      <c r="X658" s="683" t="n"/>
      <c r="Y658" s="683" t="n"/>
    </row>
    <row r="659">
      <c r="A659" s="683" t="n"/>
      <c r="B659" s="683" t="n"/>
      <c r="C659" s="683" t="n"/>
      <c r="D659" s="683" t="n"/>
      <c r="E659" s="683" t="n"/>
      <c r="F659" s="683" t="n"/>
      <c r="G659" s="683" t="n"/>
      <c r="H659" s="683" t="n"/>
      <c r="I659" s="683" t="n"/>
      <c r="J659" s="683" t="n"/>
      <c r="K659" s="683" t="n"/>
      <c r="L659" s="683" t="n"/>
      <c r="M659" s="683" t="n"/>
      <c r="N659" s="683" t="n"/>
      <c r="O659" s="683" t="n"/>
      <c r="P659" s="683" t="n"/>
      <c r="Q659" s="683" t="n"/>
      <c r="R659" s="683" t="n"/>
      <c r="S659" s="683" t="n"/>
      <c r="T659" s="683" t="n"/>
      <c r="U659" s="683" t="n"/>
      <c r="V659" s="683" t="n"/>
      <c r="W659" s="683" t="n"/>
      <c r="X659" s="683" t="n"/>
      <c r="Y659" s="683" t="n"/>
    </row>
    <row r="660">
      <c r="A660" s="683" t="n"/>
      <c r="B660" s="683" t="n"/>
      <c r="C660" s="683" t="n"/>
      <c r="D660" s="683" t="n"/>
      <c r="E660" s="683" t="n"/>
      <c r="F660" s="683" t="n"/>
      <c r="G660" s="683" t="n"/>
      <c r="H660" s="683" t="n"/>
      <c r="I660" s="683" t="n"/>
      <c r="J660" s="683" t="n"/>
      <c r="K660" s="683" t="n"/>
      <c r="L660" s="683" t="n"/>
      <c r="M660" s="683" t="n"/>
      <c r="N660" s="683" t="n"/>
      <c r="O660" s="683" t="n"/>
      <c r="P660" s="683" t="n"/>
      <c r="Q660" s="683" t="n"/>
      <c r="R660" s="683" t="n"/>
      <c r="S660" s="683" t="n"/>
      <c r="T660" s="683" t="n"/>
      <c r="U660" s="683" t="n"/>
      <c r="V660" s="683" t="n"/>
      <c r="W660" s="683" t="n"/>
      <c r="X660" s="683" t="n"/>
      <c r="Y660" s="683" t="n"/>
    </row>
    <row r="661">
      <c r="A661" s="683" t="n"/>
      <c r="B661" s="683" t="n"/>
      <c r="C661" s="683" t="n"/>
      <c r="D661" s="683" t="n"/>
      <c r="E661" s="683" t="n"/>
      <c r="F661" s="683" t="n"/>
      <c r="G661" s="683" t="n"/>
      <c r="H661" s="683" t="n"/>
      <c r="I661" s="683" t="n"/>
      <c r="J661" s="683" t="n"/>
      <c r="K661" s="683" t="n"/>
      <c r="L661" s="683" t="n"/>
      <c r="M661" s="683" t="n"/>
      <c r="N661" s="683" t="n"/>
      <c r="O661" s="683" t="n"/>
      <c r="P661" s="683" t="n"/>
      <c r="Q661" s="683" t="n"/>
      <c r="R661" s="683" t="n"/>
      <c r="S661" s="683" t="n"/>
      <c r="T661" s="683" t="n"/>
      <c r="U661" s="683" t="n"/>
      <c r="V661" s="683" t="n"/>
      <c r="W661" s="683" t="n"/>
      <c r="X661" s="683" t="n"/>
      <c r="Y661" s="683" t="n"/>
    </row>
    <row r="662">
      <c r="A662" s="683" t="n"/>
      <c r="B662" s="683" t="n"/>
      <c r="C662" s="683" t="n"/>
      <c r="D662" s="683" t="n"/>
      <c r="E662" s="683" t="n"/>
      <c r="F662" s="683" t="n"/>
      <c r="G662" s="683" t="n"/>
      <c r="H662" s="683" t="n"/>
      <c r="I662" s="683" t="n"/>
      <c r="J662" s="683" t="n"/>
      <c r="K662" s="683" t="n"/>
      <c r="L662" s="683" t="n"/>
      <c r="M662" s="683" t="n"/>
      <c r="N662" s="683" t="n"/>
      <c r="O662" s="683" t="n"/>
      <c r="P662" s="683" t="n"/>
      <c r="Q662" s="683" t="n"/>
      <c r="R662" s="683" t="n"/>
      <c r="S662" s="683" t="n"/>
      <c r="T662" s="683" t="n"/>
      <c r="U662" s="683" t="n"/>
      <c r="V662" s="683" t="n"/>
      <c r="W662" s="683" t="n"/>
      <c r="X662" s="683" t="n"/>
      <c r="Y662" s="683" t="n"/>
    </row>
    <row r="663">
      <c r="A663" s="683" t="n"/>
      <c r="B663" s="683" t="n"/>
      <c r="C663" s="683" t="n"/>
      <c r="D663" s="683" t="n"/>
      <c r="E663" s="683" t="n"/>
      <c r="F663" s="683" t="n"/>
      <c r="G663" s="683" t="n"/>
      <c r="H663" s="683" t="n"/>
      <c r="I663" s="683" t="n"/>
      <c r="J663" s="683" t="n"/>
      <c r="K663" s="683" t="n"/>
      <c r="L663" s="683" t="n"/>
      <c r="M663" s="683" t="n"/>
      <c r="N663" s="683" t="n"/>
      <c r="O663" s="683" t="n"/>
      <c r="P663" s="683" t="n"/>
      <c r="Q663" s="683" t="n"/>
      <c r="R663" s="683" t="n"/>
      <c r="S663" s="683" t="n"/>
      <c r="T663" s="683" t="n"/>
      <c r="U663" s="683" t="n"/>
      <c r="V663" s="683" t="n"/>
      <c r="W663" s="683" t="n"/>
      <c r="X663" s="683" t="n"/>
      <c r="Y663" s="683" t="n"/>
    </row>
    <row r="664">
      <c r="A664" s="683" t="n"/>
      <c r="B664" s="683" t="n"/>
      <c r="C664" s="683" t="n"/>
      <c r="D664" s="683" t="n"/>
      <c r="E664" s="683" t="n"/>
      <c r="F664" s="683" t="n"/>
      <c r="G664" s="683" t="n"/>
      <c r="H664" s="683" t="n"/>
      <c r="I664" s="683" t="n"/>
      <c r="J664" s="683" t="n"/>
      <c r="K664" s="683" t="n"/>
      <c r="L664" s="683" t="n"/>
      <c r="M664" s="683" t="n"/>
      <c r="N664" s="683" t="n"/>
      <c r="O664" s="683" t="n"/>
      <c r="P664" s="683" t="n"/>
      <c r="Q664" s="683" t="n"/>
      <c r="R664" s="683" t="n"/>
      <c r="S664" s="683" t="n"/>
      <c r="T664" s="683" t="n"/>
      <c r="U664" s="683" t="n"/>
      <c r="V664" s="683" t="n"/>
      <c r="W664" s="683" t="n"/>
      <c r="X664" s="683" t="n"/>
      <c r="Y664" s="683" t="n"/>
    </row>
    <row r="665">
      <c r="A665" s="683" t="n"/>
      <c r="B665" s="683" t="n"/>
      <c r="C665" s="683" t="n"/>
      <c r="D665" s="683" t="n"/>
      <c r="E665" s="683" t="n"/>
      <c r="F665" s="683" t="n"/>
      <c r="G665" s="683" t="n"/>
      <c r="H665" s="683" t="n"/>
      <c r="I665" s="683" t="n"/>
      <c r="J665" s="683" t="n"/>
      <c r="K665" s="683" t="n"/>
      <c r="L665" s="683" t="n"/>
      <c r="M665" s="683" t="n"/>
      <c r="N665" s="683" t="n"/>
      <c r="O665" s="683" t="n"/>
      <c r="P665" s="683" t="n"/>
      <c r="Q665" s="683" t="n"/>
      <c r="R665" s="683" t="n"/>
      <c r="S665" s="683" t="n"/>
      <c r="T665" s="683" t="n"/>
      <c r="U665" s="683" t="n"/>
      <c r="V665" s="683" t="n"/>
      <c r="W665" s="683" t="n"/>
      <c r="X665" s="683" t="n"/>
      <c r="Y665" s="683" t="n"/>
    </row>
    <row r="666">
      <c r="A666" s="683" t="n"/>
      <c r="B666" s="683" t="n"/>
      <c r="C666" s="683" t="n"/>
      <c r="D666" s="683" t="n"/>
      <c r="E666" s="683" t="n"/>
      <c r="F666" s="683" t="n"/>
      <c r="G666" s="683" t="n"/>
      <c r="H666" s="683" t="n"/>
      <c r="I666" s="683" t="n"/>
      <c r="J666" s="683" t="n"/>
      <c r="K666" s="683" t="n"/>
      <c r="L666" s="683" t="n"/>
      <c r="M666" s="683" t="n"/>
      <c r="N666" s="683" t="n"/>
      <c r="O666" s="683" t="n"/>
      <c r="P666" s="683" t="n"/>
      <c r="Q666" s="683" t="n"/>
      <c r="R666" s="683" t="n"/>
      <c r="S666" s="683" t="n"/>
      <c r="T666" s="683" t="n"/>
      <c r="U666" s="683" t="n"/>
      <c r="V666" s="683" t="n"/>
      <c r="W666" s="683" t="n"/>
      <c r="X666" s="683" t="n"/>
      <c r="Y666" s="683" t="n"/>
    </row>
    <row r="667">
      <c r="A667" s="683" t="n"/>
      <c r="B667" s="683" t="n"/>
      <c r="C667" s="683" t="n"/>
      <c r="D667" s="683" t="n"/>
      <c r="E667" s="683" t="n"/>
      <c r="F667" s="683" t="n"/>
      <c r="G667" s="683" t="n"/>
      <c r="H667" s="683" t="n"/>
      <c r="I667" s="683" t="n"/>
      <c r="J667" s="683" t="n"/>
      <c r="K667" s="683" t="n"/>
      <c r="L667" s="683" t="n"/>
      <c r="M667" s="683" t="n"/>
      <c r="N667" s="683" t="n"/>
      <c r="O667" s="683" t="n"/>
      <c r="P667" s="683" t="n"/>
      <c r="Q667" s="683" t="n"/>
      <c r="R667" s="683" t="n"/>
      <c r="S667" s="683" t="n"/>
      <c r="T667" s="683" t="n"/>
      <c r="U667" s="683" t="n"/>
      <c r="V667" s="683" t="n"/>
      <c r="W667" s="683" t="n"/>
      <c r="X667" s="683" t="n"/>
      <c r="Y667" s="683" t="n"/>
    </row>
    <row r="668">
      <c r="A668" s="683" t="n"/>
      <c r="B668" s="683" t="n"/>
      <c r="C668" s="683" t="n"/>
      <c r="D668" s="683" t="n"/>
      <c r="E668" s="683" t="n"/>
      <c r="F668" s="683" t="n"/>
      <c r="G668" s="683" t="n"/>
      <c r="H668" s="683" t="n"/>
      <c r="I668" s="683" t="n"/>
      <c r="J668" s="683" t="n"/>
      <c r="K668" s="683" t="n"/>
      <c r="L668" s="683" t="n"/>
      <c r="M668" s="683" t="n"/>
      <c r="N668" s="683" t="n"/>
      <c r="O668" s="683" t="n"/>
      <c r="P668" s="683" t="n"/>
      <c r="Q668" s="683" t="n"/>
      <c r="R668" s="683" t="n"/>
      <c r="S668" s="683" t="n"/>
      <c r="T668" s="683" t="n"/>
      <c r="U668" s="683" t="n"/>
      <c r="V668" s="683" t="n"/>
      <c r="W668" s="683" t="n"/>
      <c r="X668" s="683" t="n"/>
      <c r="Y668" s="683" t="n"/>
    </row>
    <row r="669">
      <c r="A669" s="683" t="n"/>
      <c r="B669" s="683" t="n"/>
      <c r="C669" s="683" t="n"/>
      <c r="D669" s="683" t="n"/>
      <c r="E669" s="683" t="n"/>
      <c r="F669" s="683" t="n"/>
      <c r="G669" s="683" t="n"/>
      <c r="H669" s="683" t="n"/>
      <c r="I669" s="683" t="n"/>
      <c r="J669" s="683" t="n"/>
      <c r="K669" s="683" t="n"/>
      <c r="L669" s="683" t="n"/>
      <c r="M669" s="683" t="n"/>
      <c r="N669" s="683" t="n"/>
      <c r="O669" s="683" t="n"/>
      <c r="P669" s="683" t="n"/>
      <c r="Q669" s="683" t="n"/>
      <c r="R669" s="683" t="n"/>
      <c r="S669" s="683" t="n"/>
      <c r="T669" s="683" t="n"/>
      <c r="U669" s="683" t="n"/>
      <c r="V669" s="683" t="n"/>
      <c r="W669" s="683" t="n"/>
      <c r="X669" s="683" t="n"/>
      <c r="Y669" s="683" t="n"/>
    </row>
    <row r="670">
      <c r="A670" s="683" t="n"/>
      <c r="B670" s="683" t="n"/>
      <c r="C670" s="683" t="n"/>
      <c r="D670" s="683" t="n"/>
      <c r="E670" s="683" t="n"/>
      <c r="F670" s="683" t="n"/>
      <c r="G670" s="683" t="n"/>
      <c r="H670" s="683" t="n"/>
      <c r="I670" s="683" t="n"/>
      <c r="J670" s="683" t="n"/>
      <c r="K670" s="683" t="n"/>
      <c r="L670" s="683" t="n"/>
      <c r="M670" s="683" t="n"/>
      <c r="N670" s="683" t="n"/>
      <c r="O670" s="683" t="n"/>
      <c r="P670" s="683" t="n"/>
      <c r="Q670" s="683" t="n"/>
      <c r="R670" s="683" t="n"/>
      <c r="S670" s="683" t="n"/>
      <c r="T670" s="683" t="n"/>
      <c r="U670" s="683" t="n"/>
      <c r="V670" s="683" t="n"/>
      <c r="W670" s="683" t="n"/>
      <c r="X670" s="683" t="n"/>
      <c r="Y670" s="683" t="n"/>
    </row>
    <row r="671">
      <c r="A671" s="683" t="n"/>
      <c r="B671" s="683" t="n"/>
      <c r="C671" s="683" t="n"/>
      <c r="D671" s="683" t="n"/>
      <c r="E671" s="683" t="n"/>
      <c r="F671" s="683" t="n"/>
      <c r="G671" s="683" t="n"/>
      <c r="H671" s="683" t="n"/>
      <c r="I671" s="683" t="n"/>
      <c r="J671" s="683" t="n"/>
      <c r="K671" s="683" t="n"/>
      <c r="L671" s="683" t="n"/>
      <c r="M671" s="683" t="n"/>
      <c r="N671" s="683" t="n"/>
      <c r="O671" s="683" t="n"/>
      <c r="P671" s="683" t="n"/>
      <c r="Q671" s="683" t="n"/>
      <c r="R671" s="683" t="n"/>
      <c r="S671" s="683" t="n"/>
      <c r="T671" s="683" t="n"/>
      <c r="U671" s="683" t="n"/>
      <c r="V671" s="683" t="n"/>
      <c r="W671" s="683" t="n"/>
      <c r="X671" s="683" t="n"/>
      <c r="Y671" s="683" t="n"/>
    </row>
    <row r="672">
      <c r="A672" s="683" t="n"/>
      <c r="B672" s="683" t="n"/>
      <c r="C672" s="683" t="n"/>
      <c r="D672" s="683" t="n"/>
      <c r="E672" s="683" t="n"/>
      <c r="F672" s="683" t="n"/>
      <c r="G672" s="683" t="n"/>
      <c r="H672" s="683" t="n"/>
      <c r="I672" s="683" t="n"/>
      <c r="J672" s="683" t="n"/>
      <c r="K672" s="683" t="n"/>
      <c r="L672" s="683" t="n"/>
      <c r="M672" s="683" t="n"/>
      <c r="N672" s="683" t="n"/>
      <c r="O672" s="683" t="n"/>
      <c r="P672" s="683" t="n"/>
      <c r="Q672" s="683" t="n"/>
      <c r="R672" s="683" t="n"/>
      <c r="S672" s="683" t="n"/>
      <c r="T672" s="683" t="n"/>
      <c r="U672" s="683" t="n"/>
      <c r="V672" s="683" t="n"/>
      <c r="W672" s="683" t="n"/>
      <c r="X672" s="683" t="n"/>
      <c r="Y672" s="683" t="n"/>
    </row>
    <row r="673">
      <c r="A673" s="683" t="n"/>
      <c r="B673" s="683" t="n"/>
      <c r="C673" s="683" t="n"/>
      <c r="D673" s="683" t="n"/>
      <c r="E673" s="683" t="n"/>
      <c r="F673" s="683" t="n"/>
      <c r="G673" s="683" t="n"/>
      <c r="H673" s="683" t="n"/>
      <c r="I673" s="683" t="n"/>
      <c r="J673" s="683" t="n"/>
      <c r="K673" s="683" t="n"/>
      <c r="L673" s="683" t="n"/>
      <c r="M673" s="683" t="n"/>
      <c r="N673" s="683" t="n"/>
      <c r="O673" s="683" t="n"/>
      <c r="P673" s="683" t="n"/>
      <c r="Q673" s="683" t="n"/>
      <c r="R673" s="683" t="n"/>
      <c r="S673" s="683" t="n"/>
      <c r="T673" s="683" t="n"/>
      <c r="U673" s="683" t="n"/>
      <c r="V673" s="683" t="n"/>
      <c r="W673" s="683" t="n"/>
      <c r="X673" s="683" t="n"/>
      <c r="Y673" s="683" t="n"/>
    </row>
    <row r="674">
      <c r="A674" s="683" t="n"/>
      <c r="B674" s="683" t="n"/>
      <c r="C674" s="683" t="n"/>
      <c r="D674" s="683" t="n"/>
      <c r="E674" s="683" t="n"/>
      <c r="F674" s="683" t="n"/>
      <c r="G674" s="683" t="n"/>
      <c r="H674" s="683" t="n"/>
      <c r="I674" s="683" t="n"/>
      <c r="J674" s="683" t="n"/>
      <c r="K674" s="683" t="n"/>
      <c r="L674" s="683" t="n"/>
      <c r="M674" s="683" t="n"/>
      <c r="N674" s="683" t="n"/>
      <c r="O674" s="683" t="n"/>
      <c r="P674" s="683" t="n"/>
      <c r="Q674" s="683" t="n"/>
      <c r="R674" s="683" t="n"/>
      <c r="S674" s="683" t="n"/>
      <c r="T674" s="683" t="n"/>
      <c r="U674" s="683" t="n"/>
      <c r="V674" s="683" t="n"/>
      <c r="W674" s="683" t="n"/>
      <c r="X674" s="683" t="n"/>
      <c r="Y674" s="683" t="n"/>
    </row>
    <row r="675">
      <c r="A675" s="683" t="n"/>
      <c r="B675" s="683" t="n"/>
      <c r="C675" s="683" t="n"/>
      <c r="D675" s="683" t="n"/>
      <c r="E675" s="683" t="n"/>
      <c r="F675" s="683" t="n"/>
      <c r="G675" s="683" t="n"/>
      <c r="H675" s="683" t="n"/>
      <c r="I675" s="683" t="n"/>
      <c r="J675" s="683" t="n"/>
      <c r="K675" s="683" t="n"/>
      <c r="L675" s="683" t="n"/>
      <c r="M675" s="683" t="n"/>
      <c r="N675" s="683" t="n"/>
      <c r="O675" s="683" t="n"/>
      <c r="P675" s="683" t="n"/>
      <c r="Q675" s="683" t="n"/>
      <c r="R675" s="683" t="n"/>
      <c r="S675" s="683" t="n"/>
      <c r="T675" s="683" t="n"/>
      <c r="U675" s="683" t="n"/>
      <c r="V675" s="683" t="n"/>
      <c r="W675" s="683" t="n"/>
      <c r="X675" s="683" t="n"/>
      <c r="Y675" s="683" t="n"/>
    </row>
    <row r="676">
      <c r="A676" s="683" t="n"/>
      <c r="B676" s="683" t="n"/>
      <c r="C676" s="683" t="n"/>
      <c r="D676" s="683" t="n"/>
      <c r="E676" s="683" t="n"/>
      <c r="F676" s="683" t="n"/>
      <c r="G676" s="683" t="n"/>
      <c r="H676" s="683" t="n"/>
      <c r="I676" s="683" t="n"/>
      <c r="J676" s="683" t="n"/>
      <c r="K676" s="683" t="n"/>
      <c r="L676" s="683" t="n"/>
      <c r="M676" s="683" t="n"/>
      <c r="N676" s="683" t="n"/>
      <c r="O676" s="683" t="n"/>
      <c r="P676" s="683" t="n"/>
      <c r="Q676" s="683" t="n"/>
      <c r="R676" s="683" t="n"/>
      <c r="S676" s="683" t="n"/>
      <c r="T676" s="683" t="n"/>
      <c r="U676" s="683" t="n"/>
      <c r="V676" s="683" t="n"/>
      <c r="W676" s="683" t="n"/>
      <c r="X676" s="683" t="n"/>
      <c r="Y676" s="683" t="n"/>
    </row>
    <row r="677">
      <c r="A677" s="683" t="n"/>
      <c r="B677" s="683" t="n"/>
      <c r="C677" s="683" t="n"/>
      <c r="D677" s="683" t="n"/>
      <c r="E677" s="683" t="n"/>
      <c r="F677" s="683" t="n"/>
      <c r="G677" s="683" t="n"/>
      <c r="H677" s="683" t="n"/>
      <c r="I677" s="683" t="n"/>
      <c r="J677" s="683" t="n"/>
      <c r="K677" s="683" t="n"/>
      <c r="L677" s="683" t="n"/>
      <c r="M677" s="683" t="n"/>
      <c r="N677" s="683" t="n"/>
      <c r="O677" s="683" t="n"/>
      <c r="P677" s="683" t="n"/>
      <c r="Q677" s="683" t="n"/>
      <c r="R677" s="683" t="n"/>
      <c r="S677" s="683" t="n"/>
      <c r="T677" s="683" t="n"/>
      <c r="U677" s="683" t="n"/>
      <c r="V677" s="683" t="n"/>
      <c r="W677" s="683" t="n"/>
      <c r="X677" s="683" t="n"/>
      <c r="Y677" s="683" t="n"/>
    </row>
    <row r="678">
      <c r="A678" s="683" t="n"/>
      <c r="B678" s="683" t="n"/>
      <c r="C678" s="683" t="n"/>
      <c r="D678" s="683" t="n"/>
      <c r="E678" s="683" t="n"/>
      <c r="F678" s="683" t="n"/>
      <c r="G678" s="683" t="n"/>
      <c r="H678" s="683" t="n"/>
      <c r="I678" s="683" t="n"/>
      <c r="J678" s="683" t="n"/>
      <c r="K678" s="683" t="n"/>
      <c r="L678" s="683" t="n"/>
      <c r="M678" s="683" t="n"/>
      <c r="N678" s="683" t="n"/>
      <c r="O678" s="683" t="n"/>
      <c r="P678" s="683" t="n"/>
      <c r="Q678" s="683" t="n"/>
      <c r="R678" s="683" t="n"/>
      <c r="S678" s="683" t="n"/>
      <c r="T678" s="683" t="n"/>
      <c r="U678" s="683" t="n"/>
      <c r="V678" s="683" t="n"/>
      <c r="W678" s="683" t="n"/>
      <c r="X678" s="683" t="n"/>
      <c r="Y678" s="683" t="n"/>
    </row>
    <row r="679">
      <c r="A679" s="683" t="n"/>
      <c r="B679" s="683" t="n"/>
      <c r="C679" s="683" t="n"/>
      <c r="D679" s="683" t="n"/>
      <c r="E679" s="683" t="n"/>
      <c r="F679" s="683" t="n"/>
      <c r="G679" s="683" t="n"/>
      <c r="H679" s="683" t="n"/>
      <c r="I679" s="683" t="n"/>
      <c r="J679" s="683" t="n"/>
      <c r="K679" s="683" t="n"/>
      <c r="L679" s="683" t="n"/>
      <c r="M679" s="683" t="n"/>
      <c r="N679" s="683" t="n"/>
      <c r="O679" s="683" t="n"/>
      <c r="P679" s="683" t="n"/>
      <c r="Q679" s="683" t="n"/>
      <c r="R679" s="683" t="n"/>
      <c r="S679" s="683" t="n"/>
      <c r="T679" s="683" t="n"/>
      <c r="U679" s="683" t="n"/>
      <c r="V679" s="683" t="n"/>
      <c r="W679" s="683" t="n"/>
      <c r="X679" s="683" t="n"/>
      <c r="Y679" s="683" t="n"/>
    </row>
    <row r="680">
      <c r="A680" s="683" t="n"/>
      <c r="B680" s="683" t="n"/>
      <c r="C680" s="683" t="n"/>
      <c r="D680" s="683" t="n"/>
      <c r="E680" s="683" t="n"/>
      <c r="F680" s="683" t="n"/>
      <c r="G680" s="683" t="n"/>
      <c r="H680" s="683" t="n"/>
      <c r="I680" s="683" t="n"/>
      <c r="J680" s="683" t="n"/>
      <c r="K680" s="683" t="n"/>
      <c r="L680" s="683" t="n"/>
      <c r="M680" s="683" t="n"/>
      <c r="N680" s="683" t="n"/>
      <c r="O680" s="683" t="n"/>
      <c r="P680" s="683" t="n"/>
      <c r="Q680" s="683" t="n"/>
      <c r="R680" s="683" t="n"/>
      <c r="S680" s="683" t="n"/>
      <c r="T680" s="683" t="n"/>
      <c r="U680" s="683" t="n"/>
      <c r="V680" s="683" t="n"/>
      <c r="W680" s="683" t="n"/>
      <c r="X680" s="683" t="n"/>
      <c r="Y680" s="683" t="n"/>
    </row>
    <row r="681">
      <c r="A681" s="683" t="n"/>
      <c r="B681" s="683" t="n"/>
      <c r="C681" s="683" t="n"/>
      <c r="D681" s="683" t="n"/>
      <c r="E681" s="683" t="n"/>
      <c r="F681" s="683" t="n"/>
      <c r="G681" s="683" t="n"/>
      <c r="H681" s="683" t="n"/>
      <c r="I681" s="683" t="n"/>
      <c r="J681" s="683" t="n"/>
      <c r="K681" s="683" t="n"/>
      <c r="L681" s="683" t="n"/>
      <c r="M681" s="683" t="n"/>
      <c r="N681" s="683" t="n"/>
      <c r="O681" s="683" t="n"/>
      <c r="P681" s="683" t="n"/>
      <c r="Q681" s="683" t="n"/>
      <c r="R681" s="683" t="n"/>
      <c r="S681" s="683" t="n"/>
      <c r="T681" s="683" t="n"/>
      <c r="U681" s="683" t="n"/>
      <c r="V681" s="683" t="n"/>
      <c r="W681" s="683" t="n"/>
      <c r="X681" s="683" t="n"/>
      <c r="Y681" s="683" t="n"/>
    </row>
    <row r="682">
      <c r="A682" s="683" t="n"/>
      <c r="B682" s="683" t="n"/>
      <c r="C682" s="683" t="n"/>
      <c r="D682" s="683" t="n"/>
      <c r="E682" s="683" t="n"/>
      <c r="F682" s="683" t="n"/>
      <c r="G682" s="683" t="n"/>
      <c r="H682" s="683" t="n"/>
      <c r="I682" s="683" t="n"/>
      <c r="J682" s="683" t="n"/>
      <c r="K682" s="683" t="n"/>
      <c r="L682" s="683" t="n"/>
      <c r="M682" s="683" t="n"/>
      <c r="N682" s="683" t="n"/>
      <c r="O682" s="683" t="n"/>
      <c r="P682" s="683" t="n"/>
      <c r="Q682" s="683" t="n"/>
      <c r="R682" s="683" t="n"/>
      <c r="S682" s="683" t="n"/>
      <c r="T682" s="683" t="n"/>
      <c r="U682" s="683" t="n"/>
      <c r="V682" s="683" t="n"/>
      <c r="W682" s="683" t="n"/>
      <c r="X682" s="683" t="n"/>
      <c r="Y682" s="683" t="n"/>
    </row>
    <row r="683">
      <c r="A683" s="683" t="n"/>
      <c r="B683" s="683" t="n"/>
      <c r="C683" s="683" t="n"/>
      <c r="D683" s="683" t="n"/>
      <c r="E683" s="683" t="n"/>
      <c r="F683" s="683" t="n"/>
      <c r="G683" s="683" t="n"/>
      <c r="H683" s="683" t="n"/>
      <c r="I683" s="683" t="n"/>
      <c r="J683" s="683" t="n"/>
      <c r="K683" s="683" t="n"/>
      <c r="L683" s="683" t="n"/>
      <c r="M683" s="683" t="n"/>
      <c r="N683" s="683" t="n"/>
      <c r="O683" s="683" t="n"/>
      <c r="P683" s="683" t="n"/>
      <c r="Q683" s="683" t="n"/>
      <c r="R683" s="683" t="n"/>
      <c r="S683" s="683" t="n"/>
      <c r="T683" s="683" t="n"/>
      <c r="U683" s="683" t="n"/>
      <c r="V683" s="683" t="n"/>
      <c r="W683" s="683" t="n"/>
      <c r="X683" s="683" t="n"/>
      <c r="Y683" s="683" t="n"/>
    </row>
    <row r="684">
      <c r="A684" s="683" t="n"/>
      <c r="B684" s="683" t="n"/>
      <c r="C684" s="683" t="n"/>
      <c r="D684" s="683" t="n"/>
      <c r="E684" s="683" t="n"/>
      <c r="F684" s="683" t="n"/>
      <c r="G684" s="683" t="n"/>
      <c r="H684" s="683" t="n"/>
      <c r="I684" s="683" t="n"/>
      <c r="J684" s="683" t="n"/>
      <c r="K684" s="683" t="n"/>
      <c r="L684" s="683" t="n"/>
      <c r="M684" s="683" t="n"/>
      <c r="N684" s="683" t="n"/>
      <c r="O684" s="683" t="n"/>
      <c r="P684" s="683" t="n"/>
      <c r="Q684" s="683" t="n"/>
      <c r="R684" s="683" t="n"/>
      <c r="S684" s="683" t="n"/>
      <c r="T684" s="683" t="n"/>
      <c r="U684" s="683" t="n"/>
      <c r="V684" s="683" t="n"/>
      <c r="W684" s="683" t="n"/>
      <c r="X684" s="683" t="n"/>
      <c r="Y684" s="683" t="n"/>
    </row>
    <row r="685">
      <c r="A685" s="683" t="n"/>
      <c r="B685" s="683" t="n"/>
      <c r="C685" s="683" t="n"/>
      <c r="D685" s="683" t="n"/>
      <c r="E685" s="683" t="n"/>
      <c r="F685" s="683" t="n"/>
      <c r="G685" s="683" t="n"/>
      <c r="H685" s="683" t="n"/>
      <c r="I685" s="683" t="n"/>
      <c r="J685" s="683" t="n"/>
      <c r="K685" s="683" t="n"/>
      <c r="L685" s="683" t="n"/>
      <c r="M685" s="683" t="n"/>
      <c r="N685" s="683" t="n"/>
      <c r="O685" s="683" t="n"/>
      <c r="P685" s="683" t="n"/>
      <c r="Q685" s="683" t="n"/>
      <c r="R685" s="683" t="n"/>
      <c r="S685" s="683" t="n"/>
      <c r="T685" s="683" t="n"/>
      <c r="U685" s="683" t="n"/>
      <c r="V685" s="683" t="n"/>
      <c r="W685" s="683" t="n"/>
      <c r="X685" s="683" t="n"/>
      <c r="Y685" s="683" t="n"/>
    </row>
    <row r="686">
      <c r="A686" s="683" t="n"/>
      <c r="B686" s="683" t="n"/>
      <c r="C686" s="683" t="n"/>
      <c r="D686" s="683" t="n"/>
      <c r="E686" s="683" t="n"/>
      <c r="F686" s="683" t="n"/>
      <c r="G686" s="683" t="n"/>
      <c r="H686" s="683" t="n"/>
      <c r="I686" s="683" t="n"/>
      <c r="J686" s="683" t="n"/>
      <c r="K686" s="683" t="n"/>
      <c r="L686" s="683" t="n"/>
      <c r="M686" s="683" t="n"/>
      <c r="N686" s="683" t="n"/>
      <c r="O686" s="683" t="n"/>
      <c r="P686" s="683" t="n"/>
      <c r="Q686" s="683" t="n"/>
      <c r="R686" s="683" t="n"/>
      <c r="S686" s="683" t="n"/>
      <c r="T686" s="683" t="n"/>
      <c r="U686" s="683" t="n"/>
      <c r="V686" s="683" t="n"/>
      <c r="W686" s="683" t="n"/>
      <c r="X686" s="683" t="n"/>
      <c r="Y686" s="683" t="n"/>
    </row>
    <row r="687">
      <c r="A687" s="683" t="n"/>
      <c r="B687" s="683" t="n"/>
      <c r="C687" s="683" t="n"/>
      <c r="D687" s="683" t="n"/>
      <c r="E687" s="683" t="n"/>
      <c r="F687" s="683" t="n"/>
      <c r="G687" s="683" t="n"/>
      <c r="H687" s="683" t="n"/>
      <c r="I687" s="683" t="n"/>
      <c r="J687" s="683" t="n"/>
      <c r="K687" s="683" t="n"/>
      <c r="L687" s="683" t="n"/>
      <c r="M687" s="683" t="n"/>
      <c r="N687" s="683" t="n"/>
      <c r="O687" s="683" t="n"/>
      <c r="P687" s="683" t="n"/>
      <c r="Q687" s="683" t="n"/>
      <c r="R687" s="683" t="n"/>
      <c r="S687" s="683" t="n"/>
      <c r="T687" s="683" t="n"/>
      <c r="U687" s="683" t="n"/>
      <c r="V687" s="683" t="n"/>
      <c r="W687" s="683" t="n"/>
      <c r="X687" s="683" t="n"/>
      <c r="Y687" s="683" t="n"/>
    </row>
    <row r="688">
      <c r="A688" s="683" t="n"/>
      <c r="B688" s="683" t="n"/>
      <c r="C688" s="683" t="n"/>
      <c r="D688" s="683" t="n"/>
      <c r="E688" s="683" t="n"/>
      <c r="F688" s="683" t="n"/>
      <c r="G688" s="683" t="n"/>
      <c r="H688" s="683" t="n"/>
      <c r="I688" s="683" t="n"/>
      <c r="J688" s="683" t="n"/>
      <c r="K688" s="683" t="n"/>
      <c r="L688" s="683" t="n"/>
      <c r="M688" s="683" t="n"/>
      <c r="N688" s="683" t="n"/>
      <c r="O688" s="683" t="n"/>
      <c r="P688" s="683" t="n"/>
      <c r="Q688" s="683" t="n"/>
      <c r="R688" s="683" t="n"/>
      <c r="S688" s="683" t="n"/>
      <c r="T688" s="683" t="n"/>
      <c r="U688" s="683" t="n"/>
      <c r="V688" s="683" t="n"/>
      <c r="W688" s="683" t="n"/>
      <c r="X688" s="683" t="n"/>
      <c r="Y688" s="683" t="n"/>
    </row>
    <row r="689">
      <c r="A689" s="683" t="n"/>
      <c r="B689" s="683" t="n"/>
      <c r="C689" s="683" t="n"/>
      <c r="D689" s="683" t="n"/>
      <c r="E689" s="683" t="n"/>
      <c r="F689" s="683" t="n"/>
      <c r="G689" s="683" t="n"/>
      <c r="H689" s="683" t="n"/>
      <c r="I689" s="683" t="n"/>
      <c r="J689" s="683" t="n"/>
      <c r="K689" s="683" t="n"/>
      <c r="L689" s="683" t="n"/>
      <c r="M689" s="683" t="n"/>
      <c r="N689" s="683" t="n"/>
      <c r="O689" s="683" t="n"/>
      <c r="P689" s="683" t="n"/>
      <c r="Q689" s="683" t="n"/>
      <c r="R689" s="683" t="n"/>
      <c r="S689" s="683" t="n"/>
      <c r="T689" s="683" t="n"/>
      <c r="U689" s="683" t="n"/>
      <c r="V689" s="683" t="n"/>
      <c r="W689" s="683" t="n"/>
      <c r="X689" s="683" t="n"/>
      <c r="Y689" s="683" t="n"/>
    </row>
    <row r="690">
      <c r="A690" s="683" t="n"/>
      <c r="B690" s="683" t="n"/>
      <c r="C690" s="683" t="n"/>
      <c r="D690" s="683" t="n"/>
      <c r="E690" s="683" t="n"/>
      <c r="F690" s="683" t="n"/>
      <c r="G690" s="683" t="n"/>
      <c r="H690" s="683" t="n"/>
      <c r="I690" s="683" t="n"/>
      <c r="J690" s="683" t="n"/>
      <c r="K690" s="683" t="n"/>
      <c r="L690" s="683" t="n"/>
      <c r="M690" s="683" t="n"/>
      <c r="N690" s="683" t="n"/>
      <c r="O690" s="683" t="n"/>
      <c r="P690" s="683" t="n"/>
      <c r="Q690" s="683" t="n"/>
      <c r="R690" s="683" t="n"/>
      <c r="S690" s="683" t="n"/>
      <c r="T690" s="683" t="n"/>
      <c r="U690" s="683" t="n"/>
      <c r="V690" s="683" t="n"/>
      <c r="W690" s="683" t="n"/>
      <c r="X690" s="683" t="n"/>
      <c r="Y690" s="683" t="n"/>
    </row>
    <row r="691">
      <c r="A691" s="683" t="n"/>
      <c r="B691" s="683" t="n"/>
      <c r="C691" s="683" t="n"/>
      <c r="D691" s="683" t="n"/>
      <c r="E691" s="683" t="n"/>
      <c r="F691" s="683" t="n"/>
      <c r="G691" s="683" t="n"/>
      <c r="H691" s="683" t="n"/>
      <c r="I691" s="683" t="n"/>
      <c r="J691" s="683" t="n"/>
      <c r="K691" s="683" t="n"/>
      <c r="L691" s="683" t="n"/>
      <c r="M691" s="683" t="n"/>
      <c r="N691" s="683" t="n"/>
      <c r="O691" s="683" t="n"/>
      <c r="P691" s="683" t="n"/>
      <c r="Q691" s="683" t="n"/>
      <c r="R691" s="683" t="n"/>
      <c r="S691" s="683" t="n"/>
      <c r="T691" s="683" t="n"/>
      <c r="U691" s="683" t="n"/>
      <c r="V691" s="683" t="n"/>
      <c r="W691" s="683" t="n"/>
      <c r="X691" s="683" t="n"/>
      <c r="Y691" s="683" t="n"/>
    </row>
    <row r="692">
      <c r="A692" s="683" t="n"/>
      <c r="B692" s="683" t="n"/>
      <c r="C692" s="683" t="n"/>
      <c r="D692" s="683" t="n"/>
      <c r="E692" s="683" t="n"/>
      <c r="F692" s="683" t="n"/>
      <c r="G692" s="683" t="n"/>
      <c r="H692" s="683" t="n"/>
      <c r="I692" s="683" t="n"/>
      <c r="J692" s="683" t="n"/>
      <c r="K692" s="683" t="n"/>
      <c r="L692" s="683" t="n"/>
      <c r="M692" s="683" t="n"/>
      <c r="N692" s="683" t="n"/>
      <c r="O692" s="683" t="n"/>
      <c r="P692" s="683" t="n"/>
      <c r="Q692" s="683" t="n"/>
      <c r="R692" s="683" t="n"/>
      <c r="S692" s="683" t="n"/>
      <c r="T692" s="683" t="n"/>
      <c r="U692" s="683" t="n"/>
      <c r="V692" s="683" t="n"/>
      <c r="W692" s="683" t="n"/>
      <c r="X692" s="683" t="n"/>
      <c r="Y692" s="683" t="n"/>
    </row>
    <row r="693">
      <c r="A693" s="683" t="n"/>
      <c r="B693" s="683" t="n"/>
      <c r="C693" s="683" t="n"/>
      <c r="D693" s="683" t="n"/>
      <c r="E693" s="683" t="n"/>
      <c r="F693" s="683" t="n"/>
      <c r="G693" s="683" t="n"/>
      <c r="H693" s="683" t="n"/>
      <c r="I693" s="683" t="n"/>
      <c r="J693" s="683" t="n"/>
      <c r="K693" s="683" t="n"/>
      <c r="L693" s="683" t="n"/>
      <c r="M693" s="683" t="n"/>
      <c r="N693" s="683" t="n"/>
      <c r="O693" s="683" t="n"/>
      <c r="P693" s="683" t="n"/>
      <c r="Q693" s="683" t="n"/>
      <c r="R693" s="683" t="n"/>
      <c r="S693" s="683" t="n"/>
      <c r="T693" s="683" t="n"/>
      <c r="U693" s="683" t="n"/>
      <c r="V693" s="683" t="n"/>
      <c r="W693" s="683" t="n"/>
      <c r="X693" s="683" t="n"/>
      <c r="Y693" s="683" t="n"/>
    </row>
    <row r="694">
      <c r="A694" s="683" t="n"/>
      <c r="B694" s="683" t="n"/>
      <c r="C694" s="683" t="n"/>
      <c r="D694" s="683" t="n"/>
      <c r="E694" s="683" t="n"/>
      <c r="F694" s="683" t="n"/>
      <c r="G694" s="683" t="n"/>
      <c r="H694" s="683" t="n"/>
      <c r="I694" s="683" t="n"/>
      <c r="J694" s="683" t="n"/>
      <c r="K694" s="683" t="n"/>
      <c r="L694" s="683" t="n"/>
      <c r="M694" s="683" t="n"/>
      <c r="N694" s="683" t="n"/>
      <c r="O694" s="683" t="n"/>
      <c r="P694" s="683" t="n"/>
      <c r="Q694" s="683" t="n"/>
      <c r="R694" s="683" t="n"/>
      <c r="S694" s="683" t="n"/>
      <c r="T694" s="683" t="n"/>
      <c r="U694" s="683" t="n"/>
      <c r="V694" s="683" t="n"/>
      <c r="W694" s="683" t="n"/>
      <c r="X694" s="683" t="n"/>
      <c r="Y694" s="683" t="n"/>
    </row>
    <row r="695">
      <c r="A695" s="683" t="n"/>
      <c r="B695" s="683" t="n"/>
      <c r="C695" s="683" t="n"/>
      <c r="D695" s="683" t="n"/>
      <c r="E695" s="683" t="n"/>
      <c r="F695" s="683" t="n"/>
      <c r="G695" s="683" t="n"/>
      <c r="H695" s="683" t="n"/>
      <c r="I695" s="683" t="n"/>
      <c r="J695" s="683" t="n"/>
      <c r="K695" s="683" t="n"/>
      <c r="L695" s="683" t="n"/>
      <c r="M695" s="683" t="n"/>
      <c r="N695" s="683" t="n"/>
      <c r="O695" s="683" t="n"/>
      <c r="P695" s="683" t="n"/>
      <c r="Q695" s="683" t="n"/>
      <c r="R695" s="683" t="n"/>
      <c r="S695" s="683" t="n"/>
      <c r="T695" s="683" t="n"/>
      <c r="U695" s="683" t="n"/>
      <c r="V695" s="683" t="n"/>
      <c r="W695" s="683" t="n"/>
      <c r="X695" s="683" t="n"/>
      <c r="Y695" s="683" t="n"/>
    </row>
    <row r="696">
      <c r="A696" s="683" t="n"/>
      <c r="B696" s="683" t="n"/>
      <c r="C696" s="683" t="n"/>
      <c r="D696" s="683" t="n"/>
      <c r="E696" s="683" t="n"/>
      <c r="F696" s="683" t="n"/>
      <c r="G696" s="683" t="n"/>
      <c r="H696" s="683" t="n"/>
      <c r="I696" s="683" t="n"/>
      <c r="J696" s="683" t="n"/>
      <c r="K696" s="683" t="n"/>
      <c r="L696" s="683" t="n"/>
      <c r="M696" s="683" t="n"/>
      <c r="N696" s="683" t="n"/>
      <c r="O696" s="683" t="n"/>
      <c r="P696" s="683" t="n"/>
      <c r="Q696" s="683" t="n"/>
      <c r="R696" s="683" t="n"/>
      <c r="S696" s="683" t="n"/>
      <c r="T696" s="683" t="n"/>
      <c r="U696" s="683" t="n"/>
      <c r="V696" s="683" t="n"/>
      <c r="W696" s="683" t="n"/>
      <c r="X696" s="683" t="n"/>
      <c r="Y696" s="683" t="n"/>
    </row>
    <row r="697">
      <c r="A697" s="683" t="n"/>
      <c r="B697" s="683" t="n"/>
      <c r="C697" s="683" t="n"/>
      <c r="D697" s="683" t="n"/>
      <c r="E697" s="683" t="n"/>
      <c r="F697" s="683" t="n"/>
      <c r="G697" s="683" t="n"/>
      <c r="H697" s="683" t="n"/>
      <c r="I697" s="683" t="n"/>
      <c r="J697" s="683" t="n"/>
      <c r="K697" s="683" t="n"/>
      <c r="L697" s="683" t="n"/>
      <c r="M697" s="683" t="n"/>
      <c r="N697" s="683" t="n"/>
      <c r="O697" s="683" t="n"/>
      <c r="P697" s="683" t="n"/>
      <c r="Q697" s="683" t="n"/>
      <c r="R697" s="683" t="n"/>
      <c r="S697" s="683" t="n"/>
      <c r="T697" s="683" t="n"/>
      <c r="U697" s="683" t="n"/>
      <c r="V697" s="683" t="n"/>
      <c r="W697" s="683" t="n"/>
      <c r="X697" s="683" t="n"/>
      <c r="Y697" s="683" t="n"/>
    </row>
    <row r="698">
      <c r="A698" s="683" t="n"/>
      <c r="B698" s="683" t="n"/>
      <c r="C698" s="683" t="n"/>
      <c r="D698" s="683" t="n"/>
      <c r="E698" s="683" t="n"/>
      <c r="F698" s="683" t="n"/>
      <c r="G698" s="683" t="n"/>
      <c r="H698" s="683" t="n"/>
      <c r="I698" s="683" t="n"/>
      <c r="J698" s="683" t="n"/>
      <c r="K698" s="683" t="n"/>
      <c r="L698" s="683" t="n"/>
      <c r="M698" s="683" t="n"/>
      <c r="N698" s="683" t="n"/>
      <c r="O698" s="683" t="n"/>
      <c r="P698" s="683" t="n"/>
      <c r="Q698" s="683" t="n"/>
      <c r="R698" s="683" t="n"/>
      <c r="S698" s="683" t="n"/>
      <c r="T698" s="683" t="n"/>
      <c r="U698" s="683" t="n"/>
      <c r="V698" s="683" t="n"/>
      <c r="W698" s="683" t="n"/>
      <c r="X698" s="683" t="n"/>
      <c r="Y698" s="683" t="n"/>
    </row>
    <row r="699">
      <c r="A699" s="683" t="n"/>
      <c r="B699" s="683" t="n"/>
      <c r="C699" s="683" t="n"/>
      <c r="D699" s="683" t="n"/>
      <c r="E699" s="683" t="n"/>
      <c r="F699" s="683" t="n"/>
      <c r="G699" s="683" t="n"/>
      <c r="H699" s="683" t="n"/>
      <c r="I699" s="683" t="n"/>
      <c r="J699" s="683" t="n"/>
      <c r="K699" s="683" t="n"/>
      <c r="L699" s="683" t="n"/>
      <c r="M699" s="683" t="n"/>
      <c r="N699" s="683" t="n"/>
      <c r="O699" s="683" t="n"/>
      <c r="P699" s="683" t="n"/>
      <c r="Q699" s="683" t="n"/>
      <c r="R699" s="683" t="n"/>
      <c r="S699" s="683" t="n"/>
      <c r="T699" s="683" t="n"/>
      <c r="U699" s="683" t="n"/>
      <c r="V699" s="683" t="n"/>
      <c r="W699" s="683" t="n"/>
      <c r="X699" s="683" t="n"/>
      <c r="Y699" s="683" t="n"/>
    </row>
    <row r="700">
      <c r="A700" s="683" t="n"/>
      <c r="B700" s="683" t="n"/>
      <c r="C700" s="683" t="n"/>
      <c r="D700" s="683" t="n"/>
      <c r="E700" s="683" t="n"/>
      <c r="F700" s="683" t="n"/>
      <c r="G700" s="683" t="n"/>
      <c r="H700" s="683" t="n"/>
      <c r="I700" s="683" t="n"/>
      <c r="J700" s="683" t="n"/>
      <c r="K700" s="683" t="n"/>
      <c r="L700" s="683" t="n"/>
      <c r="M700" s="683" t="n"/>
      <c r="N700" s="683" t="n"/>
      <c r="O700" s="683" t="n"/>
      <c r="P700" s="683" t="n"/>
      <c r="Q700" s="683" t="n"/>
      <c r="R700" s="683" t="n"/>
      <c r="S700" s="683" t="n"/>
      <c r="T700" s="683" t="n"/>
      <c r="U700" s="683" t="n"/>
      <c r="V700" s="683" t="n"/>
      <c r="W700" s="683" t="n"/>
      <c r="X700" s="683" t="n"/>
      <c r="Y700" s="683" t="n"/>
    </row>
    <row r="701">
      <c r="A701" s="683" t="n"/>
      <c r="B701" s="683" t="n"/>
      <c r="C701" s="683" t="n"/>
      <c r="D701" s="683" t="n"/>
      <c r="E701" s="683" t="n"/>
      <c r="F701" s="683" t="n"/>
      <c r="G701" s="683" t="n"/>
      <c r="H701" s="683" t="n"/>
      <c r="I701" s="683" t="n"/>
      <c r="J701" s="683" t="n"/>
      <c r="K701" s="683" t="n"/>
      <c r="L701" s="683" t="n"/>
      <c r="M701" s="683" t="n"/>
      <c r="N701" s="683" t="n"/>
      <c r="O701" s="683" t="n"/>
      <c r="P701" s="683" t="n"/>
      <c r="Q701" s="683" t="n"/>
      <c r="R701" s="683" t="n"/>
      <c r="S701" s="683" t="n"/>
      <c r="T701" s="683" t="n"/>
      <c r="U701" s="683" t="n"/>
      <c r="V701" s="683" t="n"/>
      <c r="W701" s="683" t="n"/>
      <c r="X701" s="683" t="n"/>
      <c r="Y701" s="683" t="n"/>
    </row>
    <row r="702">
      <c r="A702" s="683" t="n"/>
      <c r="B702" s="683" t="n"/>
      <c r="C702" s="683" t="n"/>
      <c r="D702" s="683" t="n"/>
      <c r="E702" s="683" t="n"/>
      <c r="F702" s="683" t="n"/>
      <c r="G702" s="683" t="n"/>
      <c r="H702" s="683" t="n"/>
      <c r="I702" s="683" t="n"/>
      <c r="J702" s="683" t="n"/>
      <c r="K702" s="683" t="n"/>
      <c r="L702" s="683" t="n"/>
      <c r="M702" s="683" t="n"/>
      <c r="N702" s="683" t="n"/>
      <c r="O702" s="683" t="n"/>
      <c r="P702" s="683" t="n"/>
      <c r="Q702" s="683" t="n"/>
      <c r="R702" s="683" t="n"/>
      <c r="S702" s="683" t="n"/>
      <c r="T702" s="683" t="n"/>
      <c r="U702" s="683" t="n"/>
      <c r="V702" s="683" t="n"/>
      <c r="W702" s="683" t="n"/>
      <c r="X702" s="683" t="n"/>
      <c r="Y702" s="683" t="n"/>
    </row>
    <row r="703">
      <c r="A703" s="683" t="n"/>
      <c r="B703" s="683" t="n"/>
      <c r="C703" s="683" t="n"/>
      <c r="D703" s="683" t="n"/>
      <c r="E703" s="683" t="n"/>
      <c r="F703" s="683" t="n"/>
      <c r="G703" s="683" t="n"/>
      <c r="H703" s="683" t="n"/>
      <c r="I703" s="683" t="n"/>
      <c r="J703" s="683" t="n"/>
      <c r="K703" s="683" t="n"/>
      <c r="L703" s="683" t="n"/>
      <c r="M703" s="683" t="n"/>
      <c r="N703" s="683" t="n"/>
      <c r="O703" s="683" t="n"/>
      <c r="P703" s="683" t="n"/>
      <c r="Q703" s="683" t="n"/>
      <c r="R703" s="683" t="n"/>
      <c r="S703" s="683" t="n"/>
      <c r="T703" s="683" t="n"/>
      <c r="U703" s="683" t="n"/>
      <c r="V703" s="683" t="n"/>
      <c r="W703" s="683" t="n"/>
      <c r="X703" s="683" t="n"/>
      <c r="Y703" s="683" t="n"/>
    </row>
    <row r="704">
      <c r="A704" s="683" t="n"/>
      <c r="B704" s="683" t="n"/>
      <c r="C704" s="683" t="n"/>
      <c r="D704" s="683" t="n"/>
      <c r="E704" s="683" t="n"/>
      <c r="F704" s="683" t="n"/>
      <c r="G704" s="683" t="n"/>
      <c r="H704" s="683" t="n"/>
      <c r="I704" s="683" t="n"/>
      <c r="J704" s="683" t="n"/>
      <c r="K704" s="683" t="n"/>
      <c r="L704" s="683" t="n"/>
      <c r="M704" s="683" t="n"/>
      <c r="N704" s="683" t="n"/>
      <c r="O704" s="683" t="n"/>
      <c r="P704" s="683" t="n"/>
      <c r="Q704" s="683" t="n"/>
      <c r="R704" s="683" t="n"/>
      <c r="S704" s="683" t="n"/>
      <c r="T704" s="683" t="n"/>
      <c r="U704" s="683" t="n"/>
      <c r="V704" s="683" t="n"/>
      <c r="W704" s="683" t="n"/>
      <c r="X704" s="683" t="n"/>
      <c r="Y704" s="683" t="n"/>
    </row>
    <row r="705">
      <c r="A705" s="683" t="n"/>
      <c r="B705" s="683" t="n"/>
      <c r="C705" s="683" t="n"/>
      <c r="D705" s="683" t="n"/>
      <c r="E705" s="683" t="n"/>
      <c r="F705" s="683" t="n"/>
      <c r="G705" s="683" t="n"/>
      <c r="H705" s="683" t="n"/>
      <c r="I705" s="683" t="n"/>
      <c r="J705" s="683" t="n"/>
      <c r="K705" s="683" t="n"/>
      <c r="L705" s="683" t="n"/>
      <c r="M705" s="683" t="n"/>
      <c r="N705" s="683" t="n"/>
      <c r="O705" s="683" t="n"/>
      <c r="P705" s="683" t="n"/>
      <c r="Q705" s="683" t="n"/>
      <c r="R705" s="683" t="n"/>
      <c r="S705" s="683" t="n"/>
      <c r="T705" s="683" t="n"/>
      <c r="U705" s="683" t="n"/>
      <c r="V705" s="683" t="n"/>
      <c r="W705" s="683" t="n"/>
      <c r="X705" s="683" t="n"/>
      <c r="Y705" s="683" t="n"/>
    </row>
    <row r="706">
      <c r="A706" s="683" t="n"/>
      <c r="B706" s="683" t="n"/>
      <c r="C706" s="683" t="n"/>
      <c r="D706" s="683" t="n"/>
      <c r="E706" s="683" t="n"/>
      <c r="F706" s="683" t="n"/>
      <c r="G706" s="683" t="n"/>
      <c r="H706" s="683" t="n"/>
      <c r="I706" s="683" t="n"/>
      <c r="J706" s="683" t="n"/>
      <c r="K706" s="683" t="n"/>
      <c r="L706" s="683" t="n"/>
      <c r="M706" s="683" t="n"/>
      <c r="N706" s="683" t="n"/>
      <c r="O706" s="683" t="n"/>
      <c r="P706" s="683" t="n"/>
      <c r="Q706" s="683" t="n"/>
      <c r="R706" s="683" t="n"/>
      <c r="S706" s="683" t="n"/>
      <c r="T706" s="683" t="n"/>
      <c r="U706" s="683" t="n"/>
      <c r="V706" s="683" t="n"/>
      <c r="W706" s="683" t="n"/>
      <c r="X706" s="683" t="n"/>
      <c r="Y706" s="683" t="n"/>
    </row>
    <row r="707">
      <c r="A707" s="683" t="n"/>
      <c r="B707" s="683" t="n"/>
      <c r="C707" s="683" t="n"/>
      <c r="D707" s="683" t="n"/>
      <c r="E707" s="683" t="n"/>
      <c r="F707" s="683" t="n"/>
      <c r="G707" s="683" t="n"/>
      <c r="H707" s="683" t="n"/>
      <c r="I707" s="683" t="n"/>
      <c r="J707" s="683" t="n"/>
      <c r="K707" s="683" t="n"/>
      <c r="L707" s="683" t="n"/>
      <c r="M707" s="683" t="n"/>
      <c r="N707" s="683" t="n"/>
      <c r="O707" s="683" t="n"/>
      <c r="P707" s="683" t="n"/>
      <c r="Q707" s="683" t="n"/>
      <c r="R707" s="683" t="n"/>
      <c r="S707" s="683" t="n"/>
      <c r="T707" s="683" t="n"/>
      <c r="U707" s="683" t="n"/>
      <c r="V707" s="683" t="n"/>
      <c r="W707" s="683" t="n"/>
      <c r="X707" s="683" t="n"/>
      <c r="Y707" s="683" t="n"/>
    </row>
    <row r="708">
      <c r="A708" s="683" t="n"/>
      <c r="B708" s="683" t="n"/>
      <c r="C708" s="683" t="n"/>
      <c r="D708" s="683" t="n"/>
      <c r="E708" s="683" t="n"/>
      <c r="F708" s="683" t="n"/>
      <c r="G708" s="683" t="n"/>
      <c r="H708" s="683" t="n"/>
      <c r="I708" s="683" t="n"/>
      <c r="J708" s="683" t="n"/>
      <c r="K708" s="683" t="n"/>
      <c r="L708" s="683" t="n"/>
      <c r="M708" s="683" t="n"/>
      <c r="N708" s="683" t="n"/>
      <c r="O708" s="683" t="n"/>
      <c r="P708" s="683" t="n"/>
      <c r="Q708" s="683" t="n"/>
      <c r="R708" s="683" t="n"/>
      <c r="S708" s="683" t="n"/>
      <c r="T708" s="683" t="n"/>
      <c r="U708" s="683" t="n"/>
      <c r="V708" s="683" t="n"/>
      <c r="W708" s="683" t="n"/>
      <c r="X708" s="683" t="n"/>
      <c r="Y708" s="683" t="n"/>
    </row>
    <row r="709">
      <c r="A709" s="683" t="n"/>
      <c r="B709" s="683" t="n"/>
      <c r="C709" s="683" t="n"/>
      <c r="D709" s="683" t="n"/>
      <c r="E709" s="683" t="n"/>
      <c r="F709" s="683" t="n"/>
      <c r="G709" s="683" t="n"/>
      <c r="H709" s="683" t="n"/>
      <c r="I709" s="683" t="n"/>
      <c r="J709" s="683" t="n"/>
      <c r="K709" s="683" t="n"/>
      <c r="L709" s="683" t="n"/>
      <c r="M709" s="683" t="n"/>
      <c r="N709" s="683" t="n"/>
      <c r="O709" s="683" t="n"/>
      <c r="P709" s="683" t="n"/>
      <c r="Q709" s="683" t="n"/>
      <c r="R709" s="683" t="n"/>
      <c r="S709" s="683" t="n"/>
      <c r="T709" s="683" t="n"/>
      <c r="U709" s="683" t="n"/>
      <c r="V709" s="683" t="n"/>
      <c r="W709" s="683" t="n"/>
      <c r="X709" s="683" t="n"/>
      <c r="Y709" s="683" t="n"/>
    </row>
    <row r="710">
      <c r="A710" s="683" t="n"/>
      <c r="B710" s="683" t="n"/>
      <c r="C710" s="683" t="n"/>
      <c r="D710" s="683" t="n"/>
      <c r="E710" s="683" t="n"/>
      <c r="F710" s="683" t="n"/>
      <c r="G710" s="683" t="n"/>
      <c r="H710" s="683" t="n"/>
      <c r="I710" s="683" t="n"/>
      <c r="J710" s="683" t="n"/>
      <c r="K710" s="683" t="n"/>
      <c r="L710" s="683" t="n"/>
      <c r="M710" s="683" t="n"/>
      <c r="N710" s="683" t="n"/>
      <c r="O710" s="683" t="n"/>
      <c r="P710" s="683" t="n"/>
      <c r="Q710" s="683" t="n"/>
      <c r="R710" s="683" t="n"/>
      <c r="S710" s="683" t="n"/>
      <c r="T710" s="683" t="n"/>
      <c r="U710" s="683" t="n"/>
      <c r="V710" s="683" t="n"/>
      <c r="W710" s="683" t="n"/>
      <c r="X710" s="683" t="n"/>
      <c r="Y710" s="683" t="n"/>
    </row>
    <row r="711">
      <c r="A711" s="683" t="n"/>
      <c r="B711" s="683" t="n"/>
      <c r="C711" s="683" t="n"/>
      <c r="D711" s="683" t="n"/>
      <c r="E711" s="683" t="n"/>
      <c r="F711" s="683" t="n"/>
      <c r="G711" s="683" t="n"/>
      <c r="H711" s="683" t="n"/>
      <c r="I711" s="683" t="n"/>
      <c r="J711" s="683" t="n"/>
      <c r="K711" s="683" t="n"/>
      <c r="L711" s="683" t="n"/>
      <c r="M711" s="683" t="n"/>
      <c r="N711" s="683" t="n"/>
      <c r="O711" s="683" t="n"/>
      <c r="P711" s="683" t="n"/>
      <c r="Q711" s="683" t="n"/>
      <c r="R711" s="683" t="n"/>
      <c r="S711" s="683" t="n"/>
      <c r="T711" s="683" t="n"/>
      <c r="U711" s="683" t="n"/>
      <c r="V711" s="683" t="n"/>
      <c r="W711" s="683" t="n"/>
      <c r="X711" s="683" t="n"/>
      <c r="Y711" s="683" t="n"/>
    </row>
    <row r="712">
      <c r="A712" s="683" t="n"/>
      <c r="B712" s="683" t="n"/>
      <c r="C712" s="683" t="n"/>
      <c r="D712" s="683" t="n"/>
      <c r="E712" s="683" t="n"/>
      <c r="F712" s="683" t="n"/>
      <c r="G712" s="683" t="n"/>
      <c r="H712" s="683" t="n"/>
      <c r="I712" s="683" t="n"/>
      <c r="J712" s="683" t="n"/>
      <c r="K712" s="683" t="n"/>
      <c r="L712" s="683" t="n"/>
      <c r="M712" s="683" t="n"/>
      <c r="N712" s="683" t="n"/>
      <c r="O712" s="683" t="n"/>
      <c r="P712" s="683" t="n"/>
      <c r="Q712" s="683" t="n"/>
      <c r="R712" s="683" t="n"/>
      <c r="S712" s="683" t="n"/>
      <c r="T712" s="683" t="n"/>
      <c r="U712" s="683" t="n"/>
      <c r="V712" s="683" t="n"/>
      <c r="W712" s="683" t="n"/>
      <c r="X712" s="683" t="n"/>
      <c r="Y712" s="683" t="n"/>
    </row>
    <row r="713">
      <c r="A713" s="683" t="n"/>
      <c r="B713" s="683" t="n"/>
      <c r="C713" s="683" t="n"/>
      <c r="D713" s="683" t="n"/>
      <c r="E713" s="683" t="n"/>
      <c r="F713" s="683" t="n"/>
      <c r="G713" s="683" t="n"/>
      <c r="H713" s="683" t="n"/>
      <c r="I713" s="683" t="n"/>
      <c r="J713" s="683" t="n"/>
      <c r="K713" s="683" t="n"/>
      <c r="L713" s="683" t="n"/>
      <c r="M713" s="683" t="n"/>
      <c r="N713" s="683" t="n"/>
      <c r="O713" s="683" t="n"/>
      <c r="P713" s="683" t="n"/>
      <c r="Q713" s="683" t="n"/>
      <c r="R713" s="683" t="n"/>
      <c r="S713" s="683" t="n"/>
      <c r="T713" s="683" t="n"/>
      <c r="U713" s="683" t="n"/>
      <c r="V713" s="683" t="n"/>
      <c r="W713" s="683" t="n"/>
      <c r="X713" s="683" t="n"/>
      <c r="Y713" s="683" t="n"/>
    </row>
    <row r="714">
      <c r="A714" s="683" t="n"/>
      <c r="B714" s="683" t="n"/>
      <c r="C714" s="683" t="n"/>
      <c r="D714" s="683" t="n"/>
      <c r="E714" s="683" t="n"/>
      <c r="F714" s="683" t="n"/>
      <c r="G714" s="683" t="n"/>
      <c r="H714" s="683" t="n"/>
      <c r="I714" s="683" t="n"/>
      <c r="J714" s="683" t="n"/>
      <c r="K714" s="683" t="n"/>
      <c r="L714" s="683" t="n"/>
      <c r="M714" s="683" t="n"/>
      <c r="N714" s="683" t="n"/>
      <c r="O714" s="683" t="n"/>
      <c r="P714" s="683" t="n"/>
      <c r="Q714" s="683" t="n"/>
      <c r="R714" s="683" t="n"/>
      <c r="S714" s="683" t="n"/>
      <c r="T714" s="683" t="n"/>
      <c r="U714" s="683" t="n"/>
      <c r="V714" s="683" t="n"/>
      <c r="W714" s="683" t="n"/>
      <c r="X714" s="683" t="n"/>
      <c r="Y714" s="683" t="n"/>
    </row>
    <row r="715">
      <c r="A715" s="683" t="n"/>
      <c r="B715" s="683" t="n"/>
      <c r="C715" s="683" t="n"/>
      <c r="D715" s="683" t="n"/>
      <c r="E715" s="683" t="n"/>
      <c r="F715" s="683" t="n"/>
      <c r="G715" s="683" t="n"/>
      <c r="H715" s="683" t="n"/>
      <c r="I715" s="683" t="n"/>
      <c r="J715" s="683" t="n"/>
      <c r="K715" s="683" t="n"/>
      <c r="L715" s="683" t="n"/>
      <c r="M715" s="683" t="n"/>
      <c r="N715" s="683" t="n"/>
      <c r="O715" s="683" t="n"/>
      <c r="P715" s="683" t="n"/>
      <c r="Q715" s="683" t="n"/>
      <c r="R715" s="683" t="n"/>
      <c r="S715" s="683" t="n"/>
      <c r="T715" s="683" t="n"/>
      <c r="U715" s="683" t="n"/>
      <c r="V715" s="683" t="n"/>
      <c r="W715" s="683" t="n"/>
      <c r="X715" s="683" t="n"/>
      <c r="Y715" s="683" t="n"/>
    </row>
    <row r="716">
      <c r="A716" s="683" t="n"/>
      <c r="B716" s="683" t="n"/>
      <c r="C716" s="683" t="n"/>
      <c r="D716" s="683" t="n"/>
      <c r="E716" s="683" t="n"/>
      <c r="F716" s="683" t="n"/>
      <c r="G716" s="683" t="n"/>
      <c r="H716" s="683" t="n"/>
      <c r="I716" s="683" t="n"/>
      <c r="J716" s="683" t="n"/>
      <c r="K716" s="683" t="n"/>
      <c r="L716" s="683" t="n"/>
      <c r="M716" s="683" t="n"/>
      <c r="N716" s="683" t="n"/>
      <c r="O716" s="683" t="n"/>
      <c r="P716" s="683" t="n"/>
      <c r="Q716" s="683" t="n"/>
      <c r="R716" s="683" t="n"/>
      <c r="S716" s="683" t="n"/>
      <c r="T716" s="683" t="n"/>
      <c r="U716" s="683" t="n"/>
      <c r="V716" s="683" t="n"/>
      <c r="W716" s="683" t="n"/>
      <c r="X716" s="683" t="n"/>
      <c r="Y716" s="683" t="n"/>
    </row>
    <row r="717">
      <c r="A717" s="683" t="n"/>
      <c r="B717" s="683" t="n"/>
      <c r="C717" s="683" t="n"/>
      <c r="D717" s="683" t="n"/>
      <c r="E717" s="683" t="n"/>
      <c r="F717" s="683" t="n"/>
      <c r="G717" s="683" t="n"/>
      <c r="H717" s="683" t="n"/>
      <c r="I717" s="683" t="n"/>
      <c r="J717" s="683" t="n"/>
      <c r="K717" s="683" t="n"/>
      <c r="L717" s="683" t="n"/>
      <c r="M717" s="683" t="n"/>
      <c r="N717" s="683" t="n"/>
      <c r="O717" s="683" t="n"/>
      <c r="P717" s="683" t="n"/>
      <c r="Q717" s="683" t="n"/>
      <c r="R717" s="683" t="n"/>
      <c r="S717" s="683" t="n"/>
      <c r="T717" s="683" t="n"/>
      <c r="U717" s="683" t="n"/>
      <c r="V717" s="683" t="n"/>
      <c r="W717" s="683" t="n"/>
      <c r="X717" s="683" t="n"/>
      <c r="Y717" s="683" t="n"/>
    </row>
    <row r="718">
      <c r="A718" s="683" t="n"/>
      <c r="B718" s="683" t="n"/>
      <c r="C718" s="683" t="n"/>
      <c r="D718" s="683" t="n"/>
      <c r="E718" s="683" t="n"/>
      <c r="F718" s="683" t="n"/>
      <c r="G718" s="683" t="n"/>
      <c r="H718" s="683" t="n"/>
      <c r="I718" s="683" t="n"/>
      <c r="J718" s="683" t="n"/>
      <c r="K718" s="683" t="n"/>
      <c r="L718" s="683" t="n"/>
      <c r="M718" s="683" t="n"/>
      <c r="N718" s="683" t="n"/>
      <c r="O718" s="683" t="n"/>
      <c r="P718" s="683" t="n"/>
      <c r="Q718" s="683" t="n"/>
      <c r="R718" s="683" t="n"/>
      <c r="S718" s="683" t="n"/>
      <c r="T718" s="683" t="n"/>
      <c r="U718" s="683" t="n"/>
      <c r="V718" s="683" t="n"/>
      <c r="W718" s="683" t="n"/>
      <c r="X718" s="683" t="n"/>
      <c r="Y718" s="683" t="n"/>
    </row>
    <row r="719">
      <c r="A719" s="683" t="n"/>
      <c r="B719" s="683" t="n"/>
      <c r="C719" s="683" t="n"/>
      <c r="D719" s="683" t="n"/>
      <c r="E719" s="683" t="n"/>
      <c r="F719" s="683" t="n"/>
      <c r="G719" s="683" t="n"/>
      <c r="H719" s="683" t="n"/>
      <c r="I719" s="683" t="n"/>
      <c r="J719" s="683" t="n"/>
      <c r="K719" s="683" t="n"/>
      <c r="L719" s="683" t="n"/>
      <c r="M719" s="683" t="n"/>
      <c r="N719" s="683" t="n"/>
      <c r="O719" s="683" t="n"/>
      <c r="P719" s="683" t="n"/>
      <c r="Q719" s="683" t="n"/>
      <c r="R719" s="683" t="n"/>
      <c r="S719" s="683" t="n"/>
      <c r="T719" s="683" t="n"/>
      <c r="U719" s="683" t="n"/>
      <c r="V719" s="683" t="n"/>
      <c r="W719" s="683" t="n"/>
      <c r="X719" s="683" t="n"/>
      <c r="Y719" s="683" t="n"/>
    </row>
    <row r="720">
      <c r="A720" s="683" t="n"/>
      <c r="B720" s="683" t="n"/>
      <c r="C720" s="683" t="n"/>
      <c r="D720" s="683" t="n"/>
      <c r="E720" s="683" t="n"/>
      <c r="F720" s="683" t="n"/>
      <c r="G720" s="683" t="n"/>
      <c r="H720" s="683" t="n"/>
      <c r="I720" s="683" t="n"/>
      <c r="J720" s="683" t="n"/>
      <c r="K720" s="683" t="n"/>
      <c r="L720" s="683" t="n"/>
      <c r="M720" s="683" t="n"/>
      <c r="N720" s="683" t="n"/>
      <c r="O720" s="683" t="n"/>
      <c r="P720" s="683" t="n"/>
      <c r="Q720" s="683" t="n"/>
      <c r="R720" s="683" t="n"/>
      <c r="S720" s="683" t="n"/>
      <c r="T720" s="683" t="n"/>
      <c r="U720" s="683" t="n"/>
      <c r="V720" s="683" t="n"/>
      <c r="W720" s="683" t="n"/>
      <c r="X720" s="683" t="n"/>
      <c r="Y720" s="683" t="n"/>
    </row>
    <row r="721">
      <c r="A721" s="683" t="n"/>
      <c r="B721" s="683" t="n"/>
      <c r="C721" s="683" t="n"/>
      <c r="D721" s="683" t="n"/>
      <c r="E721" s="683" t="n"/>
      <c r="F721" s="683" t="n"/>
      <c r="G721" s="683" t="n"/>
      <c r="H721" s="683" t="n"/>
      <c r="I721" s="683" t="n"/>
      <c r="J721" s="683" t="n"/>
      <c r="K721" s="683" t="n"/>
      <c r="L721" s="683" t="n"/>
      <c r="M721" s="683" t="n"/>
      <c r="N721" s="683" t="n"/>
      <c r="O721" s="683" t="n"/>
      <c r="P721" s="683" t="n"/>
      <c r="Q721" s="683" t="n"/>
      <c r="R721" s="683" t="n"/>
      <c r="S721" s="683" t="n"/>
      <c r="T721" s="683" t="n"/>
      <c r="U721" s="683" t="n"/>
      <c r="V721" s="683" t="n"/>
      <c r="W721" s="683" t="n"/>
      <c r="X721" s="683" t="n"/>
      <c r="Y721" s="683" t="n"/>
    </row>
    <row r="722">
      <c r="A722" s="683" t="n"/>
      <c r="B722" s="683" t="n"/>
      <c r="C722" s="683" t="n"/>
      <c r="D722" s="683" t="n"/>
      <c r="E722" s="683" t="n"/>
      <c r="F722" s="683" t="n"/>
      <c r="G722" s="683" t="n"/>
      <c r="H722" s="683" t="n"/>
      <c r="I722" s="683" t="n"/>
      <c r="J722" s="683" t="n"/>
      <c r="K722" s="683" t="n"/>
      <c r="L722" s="683" t="n"/>
      <c r="M722" s="683" t="n"/>
      <c r="N722" s="683" t="n"/>
      <c r="O722" s="683" t="n"/>
      <c r="P722" s="683" t="n"/>
      <c r="Q722" s="683" t="n"/>
      <c r="R722" s="683" t="n"/>
      <c r="S722" s="683" t="n"/>
      <c r="T722" s="683" t="n"/>
      <c r="U722" s="683" t="n"/>
      <c r="V722" s="683" t="n"/>
      <c r="W722" s="683" t="n"/>
      <c r="X722" s="683" t="n"/>
      <c r="Y722" s="683" t="n"/>
    </row>
    <row r="723">
      <c r="A723" s="683" t="n"/>
      <c r="B723" s="683" t="n"/>
      <c r="C723" s="683" t="n"/>
      <c r="D723" s="683" t="n"/>
      <c r="E723" s="683" t="n"/>
      <c r="F723" s="683" t="n"/>
      <c r="G723" s="683" t="n"/>
      <c r="H723" s="683" t="n"/>
      <c r="I723" s="683" t="n"/>
      <c r="J723" s="683" t="n"/>
      <c r="K723" s="683" t="n"/>
      <c r="L723" s="683" t="n"/>
      <c r="M723" s="683" t="n"/>
      <c r="N723" s="683" t="n"/>
      <c r="O723" s="683" t="n"/>
      <c r="P723" s="683" t="n"/>
      <c r="Q723" s="683" t="n"/>
      <c r="R723" s="683" t="n"/>
      <c r="S723" s="683" t="n"/>
      <c r="T723" s="683" t="n"/>
      <c r="U723" s="683" t="n"/>
      <c r="V723" s="683" t="n"/>
      <c r="W723" s="683" t="n"/>
      <c r="X723" s="683" t="n"/>
      <c r="Y723" s="683" t="n"/>
    </row>
    <row r="724">
      <c r="A724" s="683" t="n"/>
      <c r="B724" s="683" t="n"/>
      <c r="C724" s="683" t="n"/>
      <c r="D724" s="683" t="n"/>
      <c r="E724" s="683" t="n"/>
      <c r="F724" s="683" t="n"/>
      <c r="G724" s="683" t="n"/>
      <c r="H724" s="683" t="n"/>
      <c r="I724" s="683" t="n"/>
      <c r="J724" s="683" t="n"/>
      <c r="K724" s="683" t="n"/>
      <c r="L724" s="683" t="n"/>
      <c r="M724" s="683" t="n"/>
      <c r="N724" s="683" t="n"/>
      <c r="O724" s="683" t="n"/>
      <c r="P724" s="683" t="n"/>
      <c r="Q724" s="683" t="n"/>
      <c r="R724" s="683" t="n"/>
      <c r="S724" s="683" t="n"/>
      <c r="T724" s="683" t="n"/>
      <c r="U724" s="683" t="n"/>
      <c r="V724" s="683" t="n"/>
      <c r="W724" s="683" t="n"/>
      <c r="X724" s="683" t="n"/>
      <c r="Y724" s="683" t="n"/>
    </row>
    <row r="725">
      <c r="A725" s="683" t="n"/>
      <c r="B725" s="683" t="n"/>
      <c r="C725" s="683" t="n"/>
      <c r="D725" s="683" t="n"/>
      <c r="E725" s="683" t="n"/>
      <c r="F725" s="683" t="n"/>
      <c r="G725" s="683" t="n"/>
      <c r="H725" s="683" t="n"/>
      <c r="I725" s="683" t="n"/>
      <c r="J725" s="683" t="n"/>
      <c r="K725" s="683" t="n"/>
      <c r="L725" s="683" t="n"/>
      <c r="M725" s="683" t="n"/>
      <c r="N725" s="683" t="n"/>
      <c r="O725" s="683" t="n"/>
      <c r="P725" s="683" t="n"/>
      <c r="Q725" s="683" t="n"/>
      <c r="R725" s="683" t="n"/>
      <c r="S725" s="683" t="n"/>
      <c r="T725" s="683" t="n"/>
      <c r="U725" s="683" t="n"/>
      <c r="V725" s="683" t="n"/>
      <c r="W725" s="683" t="n"/>
      <c r="X725" s="683" t="n"/>
      <c r="Y725" s="683" t="n"/>
    </row>
    <row r="726">
      <c r="A726" s="683" t="n"/>
      <c r="B726" s="683" t="n"/>
      <c r="C726" s="683" t="n"/>
      <c r="D726" s="683" t="n"/>
      <c r="E726" s="683" t="n"/>
      <c r="F726" s="683" t="n"/>
      <c r="G726" s="683" t="n"/>
      <c r="H726" s="683" t="n"/>
      <c r="I726" s="683" t="n"/>
      <c r="J726" s="683" t="n"/>
      <c r="K726" s="683" t="n"/>
      <c r="L726" s="683" t="n"/>
      <c r="M726" s="683" t="n"/>
      <c r="N726" s="683" t="n"/>
      <c r="O726" s="683" t="n"/>
      <c r="P726" s="683" t="n"/>
      <c r="Q726" s="683" t="n"/>
      <c r="R726" s="683" t="n"/>
      <c r="S726" s="683" t="n"/>
      <c r="T726" s="683" t="n"/>
      <c r="U726" s="683" t="n"/>
      <c r="V726" s="683" t="n"/>
      <c r="W726" s="683" t="n"/>
      <c r="X726" s="683" t="n"/>
      <c r="Y726" s="683" t="n"/>
    </row>
    <row r="727">
      <c r="A727" s="683" t="n"/>
      <c r="B727" s="683" t="n"/>
      <c r="C727" s="683" t="n"/>
      <c r="D727" s="683" t="n"/>
      <c r="E727" s="683" t="n"/>
      <c r="F727" s="683" t="n"/>
      <c r="G727" s="683" t="n"/>
      <c r="H727" s="683" t="n"/>
      <c r="I727" s="683" t="n"/>
      <c r="J727" s="683" t="n"/>
      <c r="K727" s="683" t="n"/>
      <c r="L727" s="683" t="n"/>
      <c r="M727" s="683" t="n"/>
      <c r="N727" s="683" t="n"/>
      <c r="O727" s="683" t="n"/>
      <c r="P727" s="683" t="n"/>
      <c r="Q727" s="683" t="n"/>
      <c r="R727" s="683" t="n"/>
      <c r="S727" s="683" t="n"/>
      <c r="T727" s="683" t="n"/>
      <c r="U727" s="683" t="n"/>
      <c r="V727" s="683" t="n"/>
      <c r="W727" s="683" t="n"/>
      <c r="X727" s="683" t="n"/>
      <c r="Y727" s="683" t="n"/>
    </row>
    <row r="728">
      <c r="A728" s="683" t="n"/>
      <c r="B728" s="683" t="n"/>
      <c r="C728" s="683" t="n"/>
      <c r="D728" s="683" t="n"/>
      <c r="E728" s="683" t="n"/>
      <c r="F728" s="683" t="n"/>
      <c r="G728" s="683" t="n"/>
      <c r="H728" s="683" t="n"/>
      <c r="I728" s="683" t="n"/>
      <c r="J728" s="683" t="n"/>
      <c r="K728" s="683" t="n"/>
      <c r="L728" s="683" t="n"/>
      <c r="M728" s="683" t="n"/>
      <c r="N728" s="683" t="n"/>
      <c r="O728" s="683" t="n"/>
      <c r="P728" s="683" t="n"/>
      <c r="Q728" s="683" t="n"/>
      <c r="R728" s="683" t="n"/>
      <c r="S728" s="683" t="n"/>
      <c r="T728" s="683" t="n"/>
      <c r="U728" s="683" t="n"/>
      <c r="V728" s="683" t="n"/>
      <c r="W728" s="683" t="n"/>
      <c r="X728" s="683" t="n"/>
      <c r="Y728" s="683" t="n"/>
    </row>
    <row r="729">
      <c r="A729" s="683" t="n"/>
      <c r="B729" s="683" t="n"/>
      <c r="C729" s="683" t="n"/>
      <c r="D729" s="683" t="n"/>
      <c r="E729" s="683" t="n"/>
      <c r="F729" s="683" t="n"/>
      <c r="G729" s="683" t="n"/>
      <c r="H729" s="683" t="n"/>
      <c r="I729" s="683" t="n"/>
      <c r="J729" s="683" t="n"/>
      <c r="K729" s="683" t="n"/>
      <c r="L729" s="683" t="n"/>
      <c r="M729" s="683" t="n"/>
      <c r="N729" s="683" t="n"/>
      <c r="O729" s="683" t="n"/>
      <c r="P729" s="683" t="n"/>
      <c r="Q729" s="683" t="n"/>
      <c r="R729" s="683" t="n"/>
      <c r="S729" s="683" t="n"/>
      <c r="T729" s="683" t="n"/>
      <c r="U729" s="683" t="n"/>
      <c r="V729" s="683" t="n"/>
      <c r="W729" s="683" t="n"/>
      <c r="X729" s="683" t="n"/>
      <c r="Y729" s="683" t="n"/>
    </row>
    <row r="730">
      <c r="A730" s="683" t="n"/>
      <c r="B730" s="683" t="n"/>
      <c r="C730" s="683" t="n"/>
      <c r="D730" s="683" t="n"/>
      <c r="E730" s="683" t="n"/>
      <c r="F730" s="683" t="n"/>
      <c r="G730" s="683" t="n"/>
      <c r="H730" s="683" t="n"/>
      <c r="I730" s="683" t="n"/>
      <c r="J730" s="683" t="n"/>
      <c r="K730" s="683" t="n"/>
      <c r="L730" s="683" t="n"/>
      <c r="M730" s="683" t="n"/>
      <c r="N730" s="683" t="n"/>
      <c r="O730" s="683" t="n"/>
      <c r="P730" s="683" t="n"/>
      <c r="Q730" s="683" t="n"/>
      <c r="R730" s="683" t="n"/>
      <c r="S730" s="683" t="n"/>
      <c r="T730" s="683" t="n"/>
      <c r="U730" s="683" t="n"/>
      <c r="V730" s="683" t="n"/>
      <c r="W730" s="683" t="n"/>
      <c r="X730" s="683" t="n"/>
      <c r="Y730" s="683" t="n"/>
    </row>
    <row r="731">
      <c r="A731" s="683" t="n"/>
      <c r="B731" s="683" t="n"/>
      <c r="C731" s="683" t="n"/>
      <c r="D731" s="683" t="n"/>
      <c r="E731" s="683" t="n"/>
      <c r="F731" s="683" t="n"/>
      <c r="G731" s="683" t="n"/>
      <c r="H731" s="683" t="n"/>
      <c r="I731" s="683" t="n"/>
      <c r="J731" s="683" t="n"/>
      <c r="K731" s="683" t="n"/>
      <c r="L731" s="683" t="n"/>
      <c r="M731" s="683" t="n"/>
      <c r="N731" s="683" t="n"/>
      <c r="O731" s="683" t="n"/>
      <c r="P731" s="683" t="n"/>
      <c r="Q731" s="683" t="n"/>
      <c r="R731" s="683" t="n"/>
      <c r="S731" s="683" t="n"/>
      <c r="T731" s="683" t="n"/>
      <c r="U731" s="683" t="n"/>
      <c r="V731" s="683" t="n"/>
      <c r="W731" s="683" t="n"/>
      <c r="X731" s="683" t="n"/>
      <c r="Y731" s="683" t="n"/>
    </row>
    <row r="732">
      <c r="A732" s="683" t="n"/>
      <c r="B732" s="683" t="n"/>
      <c r="C732" s="683" t="n"/>
      <c r="D732" s="683" t="n"/>
      <c r="E732" s="683" t="n"/>
      <c r="F732" s="683" t="n"/>
      <c r="G732" s="683" t="n"/>
      <c r="H732" s="683" t="n"/>
      <c r="I732" s="683" t="n"/>
      <c r="J732" s="683" t="n"/>
      <c r="K732" s="683" t="n"/>
      <c r="L732" s="683" t="n"/>
      <c r="M732" s="683" t="n"/>
      <c r="N732" s="683" t="n"/>
      <c r="O732" s="683" t="n"/>
      <c r="P732" s="683" t="n"/>
      <c r="Q732" s="683" t="n"/>
      <c r="R732" s="683" t="n"/>
      <c r="S732" s="683" t="n"/>
      <c r="T732" s="683" t="n"/>
      <c r="U732" s="683" t="n"/>
      <c r="V732" s="683" t="n"/>
      <c r="W732" s="683" t="n"/>
      <c r="X732" s="683" t="n"/>
      <c r="Y732" s="683" t="n"/>
    </row>
    <row r="733">
      <c r="A733" s="683" t="n"/>
      <c r="B733" s="683" t="n"/>
      <c r="C733" s="683" t="n"/>
      <c r="D733" s="683" t="n"/>
      <c r="E733" s="683" t="n"/>
      <c r="F733" s="683" t="n"/>
      <c r="G733" s="683" t="n"/>
      <c r="H733" s="683" t="n"/>
      <c r="I733" s="683" t="n"/>
      <c r="J733" s="683" t="n"/>
      <c r="K733" s="683" t="n"/>
      <c r="L733" s="683" t="n"/>
      <c r="M733" s="683" t="n"/>
      <c r="N733" s="683" t="n"/>
      <c r="O733" s="683" t="n"/>
      <c r="P733" s="683" t="n"/>
      <c r="Q733" s="683" t="n"/>
      <c r="R733" s="683" t="n"/>
      <c r="S733" s="683" t="n"/>
      <c r="T733" s="683" t="n"/>
      <c r="U733" s="683" t="n"/>
      <c r="V733" s="683" t="n"/>
      <c r="W733" s="683" t="n"/>
      <c r="X733" s="683" t="n"/>
      <c r="Y733" s="683" t="n"/>
    </row>
    <row r="734">
      <c r="A734" s="683" t="n"/>
      <c r="B734" s="683" t="n"/>
      <c r="C734" s="683" t="n"/>
      <c r="D734" s="683" t="n"/>
      <c r="E734" s="683" t="n"/>
      <c r="F734" s="683" t="n"/>
      <c r="G734" s="683" t="n"/>
      <c r="H734" s="683" t="n"/>
      <c r="I734" s="683" t="n"/>
      <c r="J734" s="683" t="n"/>
      <c r="K734" s="683" t="n"/>
      <c r="L734" s="683" t="n"/>
      <c r="M734" s="683" t="n"/>
      <c r="N734" s="683" t="n"/>
      <c r="O734" s="683" t="n"/>
      <c r="P734" s="683" t="n"/>
      <c r="Q734" s="683" t="n"/>
      <c r="R734" s="683" t="n"/>
      <c r="S734" s="683" t="n"/>
      <c r="T734" s="683" t="n"/>
      <c r="U734" s="683" t="n"/>
      <c r="V734" s="683" t="n"/>
      <c r="W734" s="683" t="n"/>
      <c r="X734" s="683" t="n"/>
      <c r="Y734" s="683" t="n"/>
    </row>
    <row r="735">
      <c r="A735" s="683" t="n"/>
      <c r="B735" s="683" t="n"/>
      <c r="C735" s="683" t="n"/>
      <c r="D735" s="683" t="n"/>
      <c r="E735" s="683" t="n"/>
      <c r="F735" s="683" t="n"/>
      <c r="G735" s="683" t="n"/>
      <c r="H735" s="683" t="n"/>
      <c r="I735" s="683" t="n"/>
      <c r="J735" s="683" t="n"/>
      <c r="K735" s="683" t="n"/>
      <c r="L735" s="683" t="n"/>
      <c r="M735" s="683" t="n"/>
      <c r="N735" s="683" t="n"/>
      <c r="O735" s="683" t="n"/>
      <c r="P735" s="683" t="n"/>
      <c r="Q735" s="683" t="n"/>
      <c r="R735" s="683" t="n"/>
      <c r="S735" s="683" t="n"/>
      <c r="T735" s="683" t="n"/>
      <c r="U735" s="683" t="n"/>
      <c r="V735" s="683" t="n"/>
      <c r="W735" s="683" t="n"/>
      <c r="X735" s="683" t="n"/>
      <c r="Y735" s="683" t="n"/>
    </row>
    <row r="736">
      <c r="A736" s="683" t="n"/>
      <c r="B736" s="683" t="n"/>
      <c r="C736" s="683" t="n"/>
      <c r="D736" s="683" t="n"/>
      <c r="E736" s="683" t="n"/>
      <c r="F736" s="683" t="n"/>
      <c r="G736" s="683" t="n"/>
      <c r="H736" s="683" t="n"/>
      <c r="I736" s="683" t="n"/>
      <c r="J736" s="683" t="n"/>
      <c r="K736" s="683" t="n"/>
      <c r="L736" s="683" t="n"/>
      <c r="M736" s="683" t="n"/>
      <c r="N736" s="683" t="n"/>
      <c r="O736" s="683" t="n"/>
      <c r="P736" s="683" t="n"/>
      <c r="Q736" s="683" t="n"/>
      <c r="R736" s="683" t="n"/>
      <c r="S736" s="683" t="n"/>
      <c r="T736" s="683" t="n"/>
      <c r="U736" s="683" t="n"/>
      <c r="V736" s="683" t="n"/>
      <c r="W736" s="683" t="n"/>
      <c r="X736" s="683" t="n"/>
      <c r="Y736" s="683" t="n"/>
    </row>
    <row r="737">
      <c r="A737" s="683" t="n"/>
      <c r="B737" s="683" t="n"/>
      <c r="C737" s="683" t="n"/>
      <c r="D737" s="683" t="n"/>
      <c r="E737" s="683" t="n"/>
      <c r="F737" s="683" t="n"/>
      <c r="G737" s="683" t="n"/>
      <c r="H737" s="683" t="n"/>
      <c r="I737" s="683" t="n"/>
      <c r="J737" s="683" t="n"/>
      <c r="K737" s="683" t="n"/>
      <c r="L737" s="683" t="n"/>
      <c r="M737" s="683" t="n"/>
      <c r="N737" s="683" t="n"/>
      <c r="O737" s="683" t="n"/>
      <c r="P737" s="683" t="n"/>
      <c r="Q737" s="683" t="n"/>
      <c r="R737" s="683" t="n"/>
      <c r="S737" s="683" t="n"/>
      <c r="T737" s="683" t="n"/>
      <c r="U737" s="683" t="n"/>
      <c r="V737" s="683" t="n"/>
      <c r="W737" s="683" t="n"/>
      <c r="X737" s="683" t="n"/>
      <c r="Y737" s="683" t="n"/>
    </row>
    <row r="738">
      <c r="A738" s="683" t="n"/>
      <c r="B738" s="683" t="n"/>
      <c r="C738" s="683" t="n"/>
      <c r="D738" s="683" t="n"/>
      <c r="E738" s="683" t="n"/>
      <c r="F738" s="683" t="n"/>
      <c r="G738" s="683" t="n"/>
      <c r="H738" s="683" t="n"/>
      <c r="I738" s="683" t="n"/>
      <c r="J738" s="683" t="n"/>
      <c r="K738" s="683" t="n"/>
      <c r="L738" s="683" t="n"/>
      <c r="M738" s="683" t="n"/>
      <c r="N738" s="683" t="n"/>
      <c r="O738" s="683" t="n"/>
      <c r="P738" s="683" t="n"/>
      <c r="Q738" s="683" t="n"/>
      <c r="R738" s="683" t="n"/>
      <c r="S738" s="683" t="n"/>
      <c r="T738" s="683" t="n"/>
      <c r="U738" s="683" t="n"/>
      <c r="V738" s="683" t="n"/>
      <c r="W738" s="683" t="n"/>
      <c r="X738" s="683" t="n"/>
      <c r="Y738" s="683" t="n"/>
    </row>
    <row r="739">
      <c r="A739" s="683" t="n"/>
      <c r="B739" s="683" t="n"/>
      <c r="C739" s="683" t="n"/>
      <c r="D739" s="683" t="n"/>
      <c r="E739" s="683" t="n"/>
      <c r="F739" s="683" t="n"/>
      <c r="G739" s="683" t="n"/>
      <c r="H739" s="683" t="n"/>
      <c r="I739" s="683" t="n"/>
      <c r="J739" s="683" t="n"/>
      <c r="K739" s="683" t="n"/>
      <c r="L739" s="683" t="n"/>
      <c r="M739" s="683" t="n"/>
      <c r="N739" s="683" t="n"/>
      <c r="O739" s="683" t="n"/>
      <c r="P739" s="683" t="n"/>
      <c r="Q739" s="683" t="n"/>
      <c r="R739" s="683" t="n"/>
      <c r="S739" s="683" t="n"/>
      <c r="T739" s="683" t="n"/>
      <c r="U739" s="683" t="n"/>
      <c r="V739" s="683" t="n"/>
      <c r="W739" s="683" t="n"/>
      <c r="X739" s="683" t="n"/>
      <c r="Y739" s="683" t="n"/>
    </row>
    <row r="740">
      <c r="A740" s="683" t="n"/>
      <c r="B740" s="683" t="n"/>
      <c r="C740" s="683" t="n"/>
      <c r="D740" s="683" t="n"/>
      <c r="E740" s="683" t="n"/>
      <c r="F740" s="683" t="n"/>
      <c r="G740" s="683" t="n"/>
      <c r="H740" s="683" t="n"/>
      <c r="I740" s="683" t="n"/>
      <c r="J740" s="683" t="n"/>
      <c r="K740" s="683" t="n"/>
      <c r="L740" s="683" t="n"/>
      <c r="M740" s="683" t="n"/>
      <c r="N740" s="683" t="n"/>
      <c r="O740" s="683" t="n"/>
      <c r="P740" s="683" t="n"/>
      <c r="Q740" s="683" t="n"/>
      <c r="R740" s="683" t="n"/>
      <c r="S740" s="683" t="n"/>
      <c r="T740" s="683" t="n"/>
      <c r="U740" s="683" t="n"/>
      <c r="V740" s="683" t="n"/>
      <c r="W740" s="683" t="n"/>
      <c r="X740" s="683" t="n"/>
      <c r="Y740" s="683" t="n"/>
    </row>
    <row r="741">
      <c r="A741" s="683" t="n"/>
      <c r="B741" s="683" t="n"/>
      <c r="C741" s="683" t="n"/>
      <c r="D741" s="683" t="n"/>
      <c r="E741" s="683" t="n"/>
      <c r="F741" s="683" t="n"/>
      <c r="G741" s="683" t="n"/>
      <c r="H741" s="683" t="n"/>
      <c r="I741" s="683" t="n"/>
      <c r="J741" s="683" t="n"/>
      <c r="K741" s="683" t="n"/>
      <c r="L741" s="683" t="n"/>
      <c r="M741" s="683" t="n"/>
      <c r="N741" s="683" t="n"/>
      <c r="O741" s="683" t="n"/>
      <c r="P741" s="683" t="n"/>
      <c r="Q741" s="683" t="n"/>
      <c r="R741" s="683" t="n"/>
      <c r="S741" s="683" t="n"/>
      <c r="T741" s="683" t="n"/>
      <c r="U741" s="683" t="n"/>
      <c r="V741" s="683" t="n"/>
      <c r="W741" s="683" t="n"/>
      <c r="X741" s="683" t="n"/>
      <c r="Y741" s="683" t="n"/>
    </row>
    <row r="742">
      <c r="A742" s="683" t="n"/>
      <c r="B742" s="683" t="n"/>
      <c r="C742" s="683" t="n"/>
      <c r="D742" s="683" t="n"/>
      <c r="E742" s="683" t="n"/>
      <c r="F742" s="683" t="n"/>
      <c r="G742" s="683" t="n"/>
      <c r="H742" s="683" t="n"/>
      <c r="I742" s="683" t="n"/>
      <c r="J742" s="683" t="n"/>
      <c r="K742" s="683" t="n"/>
      <c r="L742" s="683" t="n"/>
      <c r="M742" s="683" t="n"/>
      <c r="N742" s="683" t="n"/>
      <c r="O742" s="683" t="n"/>
      <c r="P742" s="683" t="n"/>
      <c r="Q742" s="683" t="n"/>
      <c r="R742" s="683" t="n"/>
      <c r="S742" s="683" t="n"/>
      <c r="T742" s="683" t="n"/>
      <c r="U742" s="683" t="n"/>
      <c r="V742" s="683" t="n"/>
      <c r="W742" s="683" t="n"/>
      <c r="X742" s="683" t="n"/>
      <c r="Y742" s="683" t="n"/>
    </row>
    <row r="743">
      <c r="A743" s="683" t="n"/>
      <c r="B743" s="683" t="n"/>
      <c r="C743" s="683" t="n"/>
      <c r="D743" s="683" t="n"/>
      <c r="E743" s="683" t="n"/>
      <c r="F743" s="683" t="n"/>
      <c r="G743" s="683" t="n"/>
      <c r="H743" s="683" t="n"/>
      <c r="I743" s="683" t="n"/>
      <c r="J743" s="683" t="n"/>
      <c r="K743" s="683" t="n"/>
      <c r="L743" s="683" t="n"/>
      <c r="M743" s="683" t="n"/>
      <c r="N743" s="683" t="n"/>
      <c r="O743" s="683" t="n"/>
      <c r="P743" s="683" t="n"/>
      <c r="Q743" s="683" t="n"/>
      <c r="R743" s="683" t="n"/>
      <c r="S743" s="683" t="n"/>
      <c r="T743" s="683" t="n"/>
      <c r="U743" s="683" t="n"/>
      <c r="V743" s="683" t="n"/>
      <c r="W743" s="683" t="n"/>
      <c r="X743" s="683" t="n"/>
      <c r="Y743" s="683" t="n"/>
    </row>
    <row r="744">
      <c r="A744" s="683" t="n"/>
      <c r="B744" s="683" t="n"/>
      <c r="C744" s="683" t="n"/>
      <c r="D744" s="683" t="n"/>
      <c r="E744" s="683" t="n"/>
      <c r="F744" s="683" t="n"/>
      <c r="G744" s="683" t="n"/>
      <c r="H744" s="683" t="n"/>
      <c r="I744" s="683" t="n"/>
      <c r="J744" s="683" t="n"/>
      <c r="K744" s="683" t="n"/>
      <c r="L744" s="683" t="n"/>
      <c r="M744" s="683" t="n"/>
      <c r="N744" s="683" t="n"/>
      <c r="O744" s="683" t="n"/>
      <c r="P744" s="683" t="n"/>
      <c r="Q744" s="683" t="n"/>
      <c r="R744" s="683" t="n"/>
      <c r="S744" s="683" t="n"/>
      <c r="T744" s="683" t="n"/>
      <c r="U744" s="683" t="n"/>
      <c r="V744" s="683" t="n"/>
      <c r="W744" s="683" t="n"/>
      <c r="X744" s="683" t="n"/>
      <c r="Y744" s="683" t="n"/>
    </row>
    <row r="745">
      <c r="A745" s="683" t="n"/>
      <c r="B745" s="683" t="n"/>
      <c r="C745" s="683" t="n"/>
      <c r="D745" s="683" t="n"/>
      <c r="E745" s="683" t="n"/>
      <c r="F745" s="683" t="n"/>
      <c r="G745" s="683" t="n"/>
      <c r="H745" s="683" t="n"/>
      <c r="I745" s="683" t="n"/>
      <c r="J745" s="683" t="n"/>
      <c r="K745" s="683" t="n"/>
      <c r="L745" s="683" t="n"/>
      <c r="M745" s="683" t="n"/>
      <c r="N745" s="683" t="n"/>
      <c r="O745" s="683" t="n"/>
      <c r="P745" s="683" t="n"/>
      <c r="Q745" s="683" t="n"/>
      <c r="R745" s="683" t="n"/>
      <c r="S745" s="683" t="n"/>
      <c r="T745" s="683" t="n"/>
      <c r="U745" s="683" t="n"/>
      <c r="V745" s="683" t="n"/>
      <c r="W745" s="683" t="n"/>
      <c r="X745" s="683" t="n"/>
      <c r="Y745" s="683" t="n"/>
    </row>
    <row r="746">
      <c r="A746" s="683" t="n"/>
      <c r="B746" s="683" t="n"/>
      <c r="C746" s="683" t="n"/>
      <c r="D746" s="683" t="n"/>
      <c r="E746" s="683" t="n"/>
      <c r="F746" s="683" t="n"/>
      <c r="G746" s="683" t="n"/>
      <c r="H746" s="683" t="n"/>
      <c r="I746" s="683" t="n"/>
      <c r="J746" s="683" t="n"/>
      <c r="K746" s="683" t="n"/>
      <c r="L746" s="683" t="n"/>
      <c r="M746" s="683" t="n"/>
      <c r="N746" s="683" t="n"/>
      <c r="O746" s="683" t="n"/>
      <c r="P746" s="683" t="n"/>
      <c r="Q746" s="683" t="n"/>
      <c r="R746" s="683" t="n"/>
      <c r="S746" s="683" t="n"/>
      <c r="T746" s="683" t="n"/>
      <c r="U746" s="683" t="n"/>
      <c r="V746" s="683" t="n"/>
      <c r="W746" s="683" t="n"/>
      <c r="X746" s="683" t="n"/>
      <c r="Y746" s="683" t="n"/>
    </row>
    <row r="747">
      <c r="A747" s="683" t="n"/>
      <c r="B747" s="683" t="n"/>
      <c r="C747" s="683" t="n"/>
      <c r="D747" s="683" t="n"/>
      <c r="E747" s="683" t="n"/>
      <c r="F747" s="683" t="n"/>
      <c r="G747" s="683" t="n"/>
      <c r="H747" s="683" t="n"/>
      <c r="I747" s="683" t="n"/>
      <c r="J747" s="683" t="n"/>
      <c r="K747" s="683" t="n"/>
      <c r="L747" s="683" t="n"/>
      <c r="M747" s="683" t="n"/>
      <c r="N747" s="683" t="n"/>
      <c r="O747" s="683" t="n"/>
      <c r="P747" s="683" t="n"/>
      <c r="Q747" s="683" t="n"/>
      <c r="R747" s="683" t="n"/>
      <c r="S747" s="683" t="n"/>
      <c r="T747" s="683" t="n"/>
      <c r="U747" s="683" t="n"/>
      <c r="V747" s="683" t="n"/>
      <c r="W747" s="683" t="n"/>
      <c r="X747" s="683" t="n"/>
      <c r="Y747" s="683" t="n"/>
    </row>
    <row r="748">
      <c r="A748" s="683" t="n"/>
      <c r="B748" s="683" t="n"/>
      <c r="C748" s="683" t="n"/>
      <c r="D748" s="683" t="n"/>
      <c r="E748" s="683" t="n"/>
      <c r="F748" s="683" t="n"/>
      <c r="G748" s="683" t="n"/>
      <c r="H748" s="683" t="n"/>
      <c r="I748" s="683" t="n"/>
      <c r="J748" s="683" t="n"/>
      <c r="K748" s="683" t="n"/>
      <c r="L748" s="683" t="n"/>
      <c r="M748" s="683" t="n"/>
      <c r="N748" s="683" t="n"/>
      <c r="O748" s="683" t="n"/>
      <c r="P748" s="683" t="n"/>
      <c r="Q748" s="683" t="n"/>
      <c r="R748" s="683" t="n"/>
      <c r="S748" s="683" t="n"/>
      <c r="T748" s="683" t="n"/>
      <c r="U748" s="683" t="n"/>
      <c r="V748" s="683" t="n"/>
      <c r="W748" s="683" t="n"/>
      <c r="X748" s="683" t="n"/>
      <c r="Y748" s="683" t="n"/>
    </row>
    <row r="749">
      <c r="A749" s="683" t="n"/>
      <c r="B749" s="683" t="n"/>
      <c r="C749" s="683" t="n"/>
      <c r="D749" s="683" t="n"/>
      <c r="E749" s="683" t="n"/>
      <c r="F749" s="683" t="n"/>
      <c r="G749" s="683" t="n"/>
      <c r="H749" s="683" t="n"/>
      <c r="I749" s="683" t="n"/>
      <c r="J749" s="683" t="n"/>
      <c r="K749" s="683" t="n"/>
      <c r="L749" s="683" t="n"/>
      <c r="M749" s="683" t="n"/>
      <c r="N749" s="683" t="n"/>
      <c r="O749" s="683" t="n"/>
      <c r="P749" s="683" t="n"/>
      <c r="Q749" s="683" t="n"/>
      <c r="R749" s="683" t="n"/>
      <c r="S749" s="683" t="n"/>
      <c r="T749" s="683" t="n"/>
      <c r="U749" s="683" t="n"/>
      <c r="V749" s="683" t="n"/>
      <c r="W749" s="683" t="n"/>
      <c r="X749" s="683" t="n"/>
      <c r="Y749" s="683" t="n"/>
    </row>
    <row r="750">
      <c r="A750" s="683" t="n"/>
      <c r="B750" s="683" t="n"/>
      <c r="C750" s="683" t="n"/>
      <c r="D750" s="683" t="n"/>
      <c r="E750" s="683" t="n"/>
      <c r="F750" s="683" t="n"/>
      <c r="G750" s="683" t="n"/>
      <c r="H750" s="683" t="n"/>
      <c r="I750" s="683" t="n"/>
      <c r="J750" s="683" t="n"/>
      <c r="K750" s="683" t="n"/>
      <c r="L750" s="683" t="n"/>
      <c r="M750" s="683" t="n"/>
      <c r="N750" s="683" t="n"/>
      <c r="O750" s="683" t="n"/>
      <c r="P750" s="683" t="n"/>
      <c r="Q750" s="683" t="n"/>
      <c r="R750" s="683" t="n"/>
      <c r="S750" s="683" t="n"/>
      <c r="T750" s="683" t="n"/>
      <c r="U750" s="683" t="n"/>
      <c r="V750" s="683" t="n"/>
      <c r="W750" s="683" t="n"/>
      <c r="X750" s="683" t="n"/>
      <c r="Y750" s="683" t="n"/>
    </row>
    <row r="751">
      <c r="A751" s="683" t="n"/>
      <c r="B751" s="683" t="n"/>
      <c r="C751" s="683" t="n"/>
      <c r="D751" s="683" t="n"/>
      <c r="E751" s="683" t="n"/>
      <c r="F751" s="683" t="n"/>
      <c r="G751" s="683" t="n"/>
      <c r="H751" s="683" t="n"/>
      <c r="I751" s="683" t="n"/>
      <c r="J751" s="683" t="n"/>
      <c r="K751" s="683" t="n"/>
      <c r="L751" s="683" t="n"/>
      <c r="M751" s="683" t="n"/>
      <c r="N751" s="683" t="n"/>
      <c r="O751" s="683" t="n"/>
      <c r="P751" s="683" t="n"/>
      <c r="Q751" s="683" t="n"/>
      <c r="R751" s="683" t="n"/>
      <c r="S751" s="683" t="n"/>
      <c r="T751" s="683" t="n"/>
      <c r="U751" s="683" t="n"/>
      <c r="V751" s="683" t="n"/>
      <c r="W751" s="683" t="n"/>
      <c r="X751" s="683" t="n"/>
      <c r="Y751" s="683" t="n"/>
    </row>
    <row r="752">
      <c r="A752" s="683" t="n"/>
      <c r="B752" s="683" t="n"/>
      <c r="C752" s="683" t="n"/>
      <c r="D752" s="683" t="n"/>
      <c r="E752" s="683" t="n"/>
      <c r="F752" s="683" t="n"/>
      <c r="G752" s="683" t="n"/>
      <c r="H752" s="683" t="n"/>
      <c r="I752" s="683" t="n"/>
      <c r="J752" s="683" t="n"/>
      <c r="K752" s="683" t="n"/>
      <c r="L752" s="683" t="n"/>
      <c r="M752" s="683" t="n"/>
      <c r="N752" s="683" t="n"/>
      <c r="O752" s="683" t="n"/>
      <c r="P752" s="683" t="n"/>
      <c r="Q752" s="683" t="n"/>
      <c r="R752" s="683" t="n"/>
      <c r="S752" s="683" t="n"/>
      <c r="T752" s="683" t="n"/>
      <c r="U752" s="683" t="n"/>
      <c r="V752" s="683" t="n"/>
      <c r="W752" s="683" t="n"/>
      <c r="X752" s="683" t="n"/>
      <c r="Y752" s="683" t="n"/>
    </row>
    <row r="753">
      <c r="A753" s="683" t="n"/>
      <c r="B753" s="683" t="n"/>
      <c r="C753" s="683" t="n"/>
      <c r="D753" s="683" t="n"/>
      <c r="E753" s="683" t="n"/>
      <c r="F753" s="683" t="n"/>
      <c r="G753" s="683" t="n"/>
      <c r="H753" s="683" t="n"/>
      <c r="I753" s="683" t="n"/>
      <c r="J753" s="683" t="n"/>
      <c r="K753" s="683" t="n"/>
      <c r="L753" s="683" t="n"/>
      <c r="M753" s="683" t="n"/>
      <c r="N753" s="683" t="n"/>
      <c r="O753" s="683" t="n"/>
      <c r="P753" s="683" t="n"/>
      <c r="Q753" s="683" t="n"/>
      <c r="R753" s="683" t="n"/>
      <c r="S753" s="683" t="n"/>
      <c r="T753" s="683" t="n"/>
      <c r="U753" s="683" t="n"/>
      <c r="V753" s="683" t="n"/>
      <c r="W753" s="683" t="n"/>
      <c r="X753" s="683" t="n"/>
      <c r="Y753" s="683" t="n"/>
    </row>
    <row r="754">
      <c r="A754" s="683" t="n"/>
      <c r="B754" s="683" t="n"/>
      <c r="C754" s="683" t="n"/>
      <c r="D754" s="683" t="n"/>
      <c r="E754" s="683" t="n"/>
      <c r="F754" s="683" t="n"/>
      <c r="G754" s="683" t="n"/>
      <c r="H754" s="683" t="n"/>
      <c r="I754" s="683" t="n"/>
      <c r="J754" s="683" t="n"/>
      <c r="K754" s="683" t="n"/>
      <c r="L754" s="683" t="n"/>
      <c r="M754" s="683" t="n"/>
      <c r="N754" s="683" t="n"/>
      <c r="O754" s="683" t="n"/>
      <c r="P754" s="683" t="n"/>
      <c r="Q754" s="683" t="n"/>
      <c r="R754" s="683" t="n"/>
      <c r="S754" s="683" t="n"/>
      <c r="T754" s="683" t="n"/>
      <c r="U754" s="683" t="n"/>
      <c r="V754" s="683" t="n"/>
      <c r="W754" s="683" t="n"/>
      <c r="X754" s="683" t="n"/>
      <c r="Y754" s="683" t="n"/>
    </row>
    <row r="755">
      <c r="A755" s="683" t="n"/>
      <c r="B755" s="683" t="n"/>
      <c r="C755" s="683" t="n"/>
      <c r="D755" s="683" t="n"/>
      <c r="E755" s="683" t="n"/>
      <c r="F755" s="683" t="n"/>
      <c r="G755" s="683" t="n"/>
      <c r="H755" s="683" t="n"/>
      <c r="I755" s="683" t="n"/>
      <c r="J755" s="683" t="n"/>
      <c r="K755" s="683" t="n"/>
      <c r="L755" s="683" t="n"/>
      <c r="M755" s="683" t="n"/>
      <c r="N755" s="683" t="n"/>
      <c r="O755" s="683" t="n"/>
      <c r="P755" s="683" t="n"/>
      <c r="Q755" s="683" t="n"/>
      <c r="R755" s="683" t="n"/>
      <c r="S755" s="683" t="n"/>
      <c r="T755" s="683" t="n"/>
      <c r="U755" s="683" t="n"/>
      <c r="V755" s="683" t="n"/>
      <c r="W755" s="683" t="n"/>
      <c r="X755" s="683" t="n"/>
      <c r="Y755" s="683" t="n"/>
    </row>
    <row r="756">
      <c r="A756" s="683" t="n"/>
      <c r="B756" s="683" t="n"/>
      <c r="C756" s="683" t="n"/>
      <c r="D756" s="683" t="n"/>
      <c r="E756" s="683" t="n"/>
      <c r="F756" s="683" t="n"/>
      <c r="G756" s="683" t="n"/>
      <c r="H756" s="683" t="n"/>
      <c r="I756" s="683" t="n"/>
      <c r="J756" s="683" t="n"/>
      <c r="K756" s="683" t="n"/>
      <c r="L756" s="683" t="n"/>
      <c r="M756" s="683" t="n"/>
      <c r="N756" s="683" t="n"/>
      <c r="O756" s="683" t="n"/>
      <c r="P756" s="683" t="n"/>
      <c r="Q756" s="683" t="n"/>
      <c r="R756" s="683" t="n"/>
      <c r="S756" s="683" t="n"/>
      <c r="T756" s="683" t="n"/>
      <c r="U756" s="683" t="n"/>
      <c r="V756" s="683" t="n"/>
      <c r="W756" s="683" t="n"/>
      <c r="X756" s="683" t="n"/>
      <c r="Y756" s="683" t="n"/>
    </row>
    <row r="757">
      <c r="A757" s="683" t="n"/>
      <c r="B757" s="683" t="n"/>
      <c r="C757" s="683" t="n"/>
      <c r="D757" s="683" t="n"/>
      <c r="E757" s="683" t="n"/>
      <c r="F757" s="683" t="n"/>
      <c r="G757" s="683" t="n"/>
      <c r="H757" s="683" t="n"/>
      <c r="I757" s="683" t="n"/>
      <c r="J757" s="683" t="n"/>
      <c r="K757" s="683" t="n"/>
      <c r="L757" s="683" t="n"/>
      <c r="M757" s="683" t="n"/>
      <c r="N757" s="683" t="n"/>
      <c r="O757" s="683" t="n"/>
      <c r="P757" s="683" t="n"/>
      <c r="Q757" s="683" t="n"/>
      <c r="R757" s="683" t="n"/>
      <c r="S757" s="683" t="n"/>
      <c r="T757" s="683" t="n"/>
      <c r="U757" s="683" t="n"/>
      <c r="V757" s="683" t="n"/>
      <c r="W757" s="683" t="n"/>
      <c r="X757" s="683" t="n"/>
      <c r="Y757" s="683" t="n"/>
    </row>
    <row r="758">
      <c r="A758" s="683" t="n"/>
      <c r="B758" s="683" t="n"/>
      <c r="C758" s="683" t="n"/>
      <c r="D758" s="683" t="n"/>
      <c r="E758" s="683" t="n"/>
      <c r="F758" s="683" t="n"/>
      <c r="G758" s="683" t="n"/>
      <c r="H758" s="683" t="n"/>
      <c r="I758" s="683" t="n"/>
      <c r="J758" s="683" t="n"/>
      <c r="K758" s="683" t="n"/>
      <c r="L758" s="683" t="n"/>
      <c r="M758" s="683" t="n"/>
      <c r="N758" s="683" t="n"/>
      <c r="O758" s="683" t="n"/>
      <c r="P758" s="683" t="n"/>
      <c r="Q758" s="683" t="n"/>
      <c r="R758" s="683" t="n"/>
      <c r="S758" s="683" t="n"/>
      <c r="T758" s="683" t="n"/>
      <c r="U758" s="683" t="n"/>
      <c r="V758" s="683" t="n"/>
      <c r="W758" s="683" t="n"/>
      <c r="X758" s="683" t="n"/>
      <c r="Y758" s="683" t="n"/>
    </row>
    <row r="759">
      <c r="A759" s="683" t="n"/>
      <c r="B759" s="683" t="n"/>
      <c r="C759" s="683" t="n"/>
      <c r="D759" s="683" t="n"/>
      <c r="E759" s="683" t="n"/>
      <c r="F759" s="683" t="n"/>
      <c r="G759" s="683" t="n"/>
      <c r="H759" s="683" t="n"/>
      <c r="I759" s="683" t="n"/>
      <c r="J759" s="683" t="n"/>
      <c r="K759" s="683" t="n"/>
      <c r="L759" s="683" t="n"/>
      <c r="M759" s="683" t="n"/>
      <c r="N759" s="683" t="n"/>
      <c r="O759" s="683" t="n"/>
      <c r="P759" s="683" t="n"/>
      <c r="Q759" s="683" t="n"/>
      <c r="R759" s="683" t="n"/>
      <c r="S759" s="683" t="n"/>
      <c r="T759" s="683" t="n"/>
      <c r="U759" s="683" t="n"/>
      <c r="V759" s="683" t="n"/>
      <c r="W759" s="683" t="n"/>
      <c r="X759" s="683" t="n"/>
      <c r="Y759" s="683" t="n"/>
    </row>
    <row r="760">
      <c r="A760" s="683" t="n"/>
      <c r="B760" s="683" t="n"/>
      <c r="C760" s="683" t="n"/>
      <c r="D760" s="683" t="n"/>
      <c r="E760" s="683" t="n"/>
      <c r="F760" s="683" t="n"/>
      <c r="G760" s="683" t="n"/>
      <c r="H760" s="683" t="n"/>
      <c r="I760" s="683" t="n"/>
      <c r="J760" s="683" t="n"/>
      <c r="K760" s="683" t="n"/>
      <c r="L760" s="683" t="n"/>
      <c r="M760" s="683" t="n"/>
      <c r="N760" s="683" t="n"/>
      <c r="O760" s="683" t="n"/>
      <c r="P760" s="683" t="n"/>
      <c r="Q760" s="683" t="n"/>
      <c r="R760" s="683" t="n"/>
      <c r="S760" s="683" t="n"/>
      <c r="T760" s="683" t="n"/>
      <c r="U760" s="683" t="n"/>
      <c r="V760" s="683" t="n"/>
      <c r="W760" s="683" t="n"/>
      <c r="X760" s="683" t="n"/>
      <c r="Y760" s="683" t="n"/>
    </row>
    <row r="761">
      <c r="A761" s="683" t="n"/>
      <c r="B761" s="683" t="n"/>
      <c r="C761" s="683" t="n"/>
      <c r="D761" s="683" t="n"/>
      <c r="E761" s="683" t="n"/>
      <c r="F761" s="683" t="n"/>
      <c r="G761" s="683" t="n"/>
      <c r="H761" s="683" t="n"/>
      <c r="I761" s="683" t="n"/>
      <c r="J761" s="683" t="n"/>
      <c r="K761" s="683" t="n"/>
      <c r="L761" s="683" t="n"/>
      <c r="M761" s="683" t="n"/>
      <c r="N761" s="683" t="n"/>
      <c r="O761" s="683" t="n"/>
      <c r="P761" s="683" t="n"/>
      <c r="Q761" s="683" t="n"/>
      <c r="R761" s="683" t="n"/>
      <c r="S761" s="683" t="n"/>
      <c r="T761" s="683" t="n"/>
      <c r="U761" s="683" t="n"/>
      <c r="V761" s="683" t="n"/>
      <c r="W761" s="683" t="n"/>
      <c r="X761" s="683" t="n"/>
      <c r="Y761" s="683" t="n"/>
    </row>
    <row r="762">
      <c r="A762" s="683" t="n"/>
      <c r="B762" s="683" t="n"/>
      <c r="C762" s="683" t="n"/>
      <c r="D762" s="683" t="n"/>
      <c r="E762" s="683" t="n"/>
      <c r="F762" s="683" t="n"/>
      <c r="G762" s="683" t="n"/>
      <c r="H762" s="683" t="n"/>
      <c r="I762" s="683" t="n"/>
      <c r="J762" s="683" t="n"/>
      <c r="K762" s="683" t="n"/>
      <c r="L762" s="683" t="n"/>
      <c r="M762" s="683" t="n"/>
      <c r="N762" s="683" t="n"/>
      <c r="O762" s="683" t="n"/>
      <c r="P762" s="683" t="n"/>
      <c r="Q762" s="683" t="n"/>
      <c r="R762" s="683" t="n"/>
      <c r="S762" s="683" t="n"/>
      <c r="T762" s="683" t="n"/>
      <c r="U762" s="683" t="n"/>
      <c r="V762" s="683" t="n"/>
      <c r="W762" s="683" t="n"/>
      <c r="X762" s="683" t="n"/>
      <c r="Y762" s="683" t="n"/>
    </row>
    <row r="763">
      <c r="A763" s="683" t="n"/>
      <c r="B763" s="683" t="n"/>
      <c r="C763" s="683" t="n"/>
      <c r="D763" s="683" t="n"/>
      <c r="E763" s="683" t="n"/>
      <c r="F763" s="683" t="n"/>
      <c r="G763" s="683" t="n"/>
      <c r="H763" s="683" t="n"/>
      <c r="I763" s="683" t="n"/>
      <c r="J763" s="683" t="n"/>
      <c r="K763" s="683" t="n"/>
      <c r="L763" s="683" t="n"/>
      <c r="M763" s="683" t="n"/>
      <c r="N763" s="683" t="n"/>
      <c r="O763" s="683" t="n"/>
      <c r="P763" s="683" t="n"/>
      <c r="Q763" s="683" t="n"/>
      <c r="R763" s="683" t="n"/>
      <c r="S763" s="683" t="n"/>
      <c r="T763" s="683" t="n"/>
      <c r="U763" s="683" t="n"/>
      <c r="V763" s="683" t="n"/>
      <c r="W763" s="683" t="n"/>
      <c r="X763" s="683" t="n"/>
      <c r="Y763" s="683" t="n"/>
    </row>
    <row r="764">
      <c r="A764" s="683" t="n"/>
      <c r="B764" s="683" t="n"/>
      <c r="C764" s="683" t="n"/>
      <c r="D764" s="683" t="n"/>
      <c r="E764" s="683" t="n"/>
      <c r="F764" s="683" t="n"/>
      <c r="G764" s="683" t="n"/>
      <c r="H764" s="683" t="n"/>
      <c r="I764" s="683" t="n"/>
      <c r="J764" s="683" t="n"/>
      <c r="K764" s="683" t="n"/>
      <c r="L764" s="683" t="n"/>
      <c r="M764" s="683" t="n"/>
      <c r="N764" s="683" t="n"/>
      <c r="O764" s="683" t="n"/>
      <c r="P764" s="683" t="n"/>
      <c r="Q764" s="683" t="n"/>
      <c r="R764" s="683" t="n"/>
      <c r="S764" s="683" t="n"/>
      <c r="T764" s="683" t="n"/>
      <c r="U764" s="683" t="n"/>
      <c r="V764" s="683" t="n"/>
      <c r="W764" s="683" t="n"/>
      <c r="X764" s="683" t="n"/>
      <c r="Y764" s="683" t="n"/>
    </row>
    <row r="765">
      <c r="A765" s="683" t="n"/>
      <c r="B765" s="683" t="n"/>
      <c r="C765" s="683" t="n"/>
      <c r="D765" s="683" t="n"/>
      <c r="E765" s="683" t="n"/>
      <c r="F765" s="683" t="n"/>
      <c r="G765" s="683" t="n"/>
      <c r="H765" s="683" t="n"/>
      <c r="I765" s="683" t="n"/>
      <c r="J765" s="683" t="n"/>
      <c r="K765" s="683" t="n"/>
      <c r="L765" s="683" t="n"/>
      <c r="M765" s="683" t="n"/>
      <c r="N765" s="683" t="n"/>
      <c r="O765" s="683" t="n"/>
      <c r="P765" s="683" t="n"/>
      <c r="Q765" s="683" t="n"/>
      <c r="R765" s="683" t="n"/>
      <c r="S765" s="683" t="n"/>
      <c r="T765" s="683" t="n"/>
      <c r="U765" s="683" t="n"/>
      <c r="V765" s="683" t="n"/>
      <c r="W765" s="683" t="n"/>
      <c r="X765" s="683" t="n"/>
      <c r="Y765" s="683" t="n"/>
    </row>
    <row r="766">
      <c r="A766" s="683" t="n"/>
      <c r="B766" s="683" t="n"/>
      <c r="C766" s="683" t="n"/>
      <c r="D766" s="683" t="n"/>
      <c r="E766" s="683" t="n"/>
      <c r="F766" s="683" t="n"/>
      <c r="G766" s="683" t="n"/>
      <c r="H766" s="683" t="n"/>
      <c r="I766" s="683" t="n"/>
      <c r="J766" s="683" t="n"/>
      <c r="K766" s="683" t="n"/>
      <c r="L766" s="683" t="n"/>
      <c r="M766" s="683" t="n"/>
      <c r="N766" s="683" t="n"/>
      <c r="O766" s="683" t="n"/>
      <c r="P766" s="683" t="n"/>
      <c r="Q766" s="683" t="n"/>
      <c r="R766" s="683" t="n"/>
      <c r="S766" s="683" t="n"/>
      <c r="T766" s="683" t="n"/>
      <c r="U766" s="683" t="n"/>
      <c r="V766" s="683" t="n"/>
      <c r="W766" s="683" t="n"/>
      <c r="X766" s="683" t="n"/>
      <c r="Y766" s="683" t="n"/>
    </row>
    <row r="767">
      <c r="A767" s="683" t="n"/>
      <c r="B767" s="683" t="n"/>
      <c r="C767" s="683" t="n"/>
      <c r="D767" s="683" t="n"/>
      <c r="E767" s="683" t="n"/>
      <c r="F767" s="683" t="n"/>
      <c r="G767" s="683" t="n"/>
      <c r="H767" s="683" t="n"/>
      <c r="I767" s="683" t="n"/>
      <c r="J767" s="683" t="n"/>
      <c r="K767" s="683" t="n"/>
      <c r="L767" s="683" t="n"/>
      <c r="M767" s="683" t="n"/>
      <c r="N767" s="683" t="n"/>
      <c r="O767" s="683" t="n"/>
      <c r="P767" s="683" t="n"/>
      <c r="Q767" s="683" t="n"/>
      <c r="R767" s="683" t="n"/>
      <c r="S767" s="683" t="n"/>
      <c r="T767" s="683" t="n"/>
      <c r="U767" s="683" t="n"/>
      <c r="V767" s="683" t="n"/>
      <c r="W767" s="683" t="n"/>
      <c r="X767" s="683" t="n"/>
      <c r="Y767" s="683" t="n"/>
    </row>
    <row r="768">
      <c r="A768" s="683" t="n"/>
      <c r="B768" s="683" t="n"/>
      <c r="C768" s="683" t="n"/>
      <c r="D768" s="683" t="n"/>
      <c r="E768" s="683" t="n"/>
      <c r="F768" s="683" t="n"/>
      <c r="G768" s="683" t="n"/>
      <c r="H768" s="683" t="n"/>
      <c r="I768" s="683" t="n"/>
      <c r="J768" s="683" t="n"/>
      <c r="K768" s="683" t="n"/>
      <c r="L768" s="683" t="n"/>
      <c r="M768" s="683" t="n"/>
      <c r="N768" s="683" t="n"/>
      <c r="O768" s="683" t="n"/>
      <c r="P768" s="683" t="n"/>
      <c r="Q768" s="683" t="n"/>
      <c r="R768" s="683" t="n"/>
      <c r="S768" s="683" t="n"/>
      <c r="T768" s="683" t="n"/>
      <c r="U768" s="683" t="n"/>
      <c r="V768" s="683" t="n"/>
      <c r="W768" s="683" t="n"/>
      <c r="X768" s="683" t="n"/>
      <c r="Y768" s="683" t="n"/>
    </row>
    <row r="769">
      <c r="A769" s="683" t="n"/>
      <c r="B769" s="683" t="n"/>
      <c r="C769" s="683" t="n"/>
      <c r="D769" s="683" t="n"/>
      <c r="E769" s="683" t="n"/>
      <c r="F769" s="683" t="n"/>
      <c r="G769" s="683" t="n"/>
      <c r="H769" s="683" t="n"/>
      <c r="I769" s="683" t="n"/>
      <c r="J769" s="683" t="n"/>
      <c r="K769" s="683" t="n"/>
      <c r="L769" s="683" t="n"/>
      <c r="M769" s="683" t="n"/>
      <c r="N769" s="683" t="n"/>
      <c r="O769" s="683" t="n"/>
      <c r="P769" s="683" t="n"/>
      <c r="Q769" s="683" t="n"/>
      <c r="R769" s="683" t="n"/>
      <c r="S769" s="683" t="n"/>
      <c r="T769" s="683" t="n"/>
      <c r="U769" s="683" t="n"/>
      <c r="V769" s="683" t="n"/>
      <c r="W769" s="683" t="n"/>
      <c r="X769" s="683" t="n"/>
      <c r="Y769" s="683" t="n"/>
    </row>
    <row r="770">
      <c r="A770" s="683" t="n"/>
      <c r="B770" s="683" t="n"/>
      <c r="C770" s="683" t="n"/>
      <c r="D770" s="683" t="n"/>
      <c r="E770" s="683" t="n"/>
      <c r="F770" s="683" t="n"/>
      <c r="G770" s="683" t="n"/>
      <c r="H770" s="683" t="n"/>
      <c r="I770" s="683" t="n"/>
      <c r="J770" s="683" t="n"/>
      <c r="K770" s="683" t="n"/>
      <c r="L770" s="683" t="n"/>
      <c r="M770" s="683" t="n"/>
      <c r="N770" s="683" t="n"/>
      <c r="O770" s="683" t="n"/>
      <c r="P770" s="683" t="n"/>
      <c r="Q770" s="683" t="n"/>
      <c r="R770" s="683" t="n"/>
      <c r="S770" s="683" t="n"/>
      <c r="T770" s="683" t="n"/>
      <c r="U770" s="683" t="n"/>
      <c r="V770" s="683" t="n"/>
      <c r="W770" s="683" t="n"/>
      <c r="X770" s="683" t="n"/>
      <c r="Y770" s="683" t="n"/>
    </row>
    <row r="771">
      <c r="A771" s="683" t="n"/>
      <c r="B771" s="683" t="n"/>
      <c r="C771" s="683" t="n"/>
      <c r="D771" s="683" t="n"/>
      <c r="E771" s="683" t="n"/>
      <c r="F771" s="683" t="n"/>
      <c r="G771" s="683" t="n"/>
      <c r="H771" s="683" t="n"/>
      <c r="I771" s="683" t="n"/>
      <c r="J771" s="683" t="n"/>
      <c r="K771" s="683" t="n"/>
      <c r="L771" s="683" t="n"/>
      <c r="M771" s="683" t="n"/>
      <c r="N771" s="683" t="n"/>
      <c r="O771" s="683" t="n"/>
      <c r="P771" s="683" t="n"/>
      <c r="Q771" s="683" t="n"/>
      <c r="R771" s="683" t="n"/>
      <c r="S771" s="683" t="n"/>
      <c r="T771" s="683" t="n"/>
      <c r="U771" s="683" t="n"/>
      <c r="V771" s="683" t="n"/>
      <c r="W771" s="683" t="n"/>
      <c r="X771" s="683" t="n"/>
      <c r="Y771" s="683" t="n"/>
    </row>
    <row r="772">
      <c r="A772" s="683" t="n"/>
      <c r="B772" s="683" t="n"/>
      <c r="C772" s="683" t="n"/>
      <c r="D772" s="683" t="n"/>
      <c r="E772" s="683" t="n"/>
      <c r="F772" s="683" t="n"/>
      <c r="G772" s="683" t="n"/>
      <c r="H772" s="683" t="n"/>
      <c r="I772" s="683" t="n"/>
      <c r="J772" s="683" t="n"/>
      <c r="K772" s="683" t="n"/>
      <c r="L772" s="683" t="n"/>
      <c r="M772" s="683" t="n"/>
      <c r="N772" s="683" t="n"/>
      <c r="O772" s="683" t="n"/>
      <c r="P772" s="683" t="n"/>
      <c r="Q772" s="683" t="n"/>
      <c r="R772" s="683" t="n"/>
      <c r="S772" s="683" t="n"/>
      <c r="T772" s="683" t="n"/>
      <c r="U772" s="683" t="n"/>
      <c r="V772" s="683" t="n"/>
      <c r="W772" s="683" t="n"/>
      <c r="X772" s="683" t="n"/>
      <c r="Y772" s="683" t="n"/>
    </row>
    <row r="773">
      <c r="A773" s="683" t="n"/>
      <c r="B773" s="683" t="n"/>
      <c r="C773" s="683" t="n"/>
      <c r="D773" s="683" t="n"/>
      <c r="E773" s="683" t="n"/>
      <c r="F773" s="683" t="n"/>
      <c r="G773" s="683" t="n"/>
      <c r="H773" s="683" t="n"/>
      <c r="I773" s="683" t="n"/>
      <c r="J773" s="683" t="n"/>
      <c r="K773" s="683" t="n"/>
      <c r="L773" s="683" t="n"/>
      <c r="M773" s="683" t="n"/>
      <c r="N773" s="683" t="n"/>
      <c r="O773" s="683" t="n"/>
      <c r="P773" s="683" t="n"/>
      <c r="Q773" s="683" t="n"/>
      <c r="R773" s="683" t="n"/>
      <c r="S773" s="683" t="n"/>
      <c r="T773" s="683" t="n"/>
      <c r="U773" s="683" t="n"/>
      <c r="V773" s="683" t="n"/>
      <c r="W773" s="683" t="n"/>
      <c r="X773" s="683" t="n"/>
      <c r="Y773" s="683" t="n"/>
    </row>
    <row r="774">
      <c r="A774" s="683" t="n"/>
      <c r="B774" s="683" t="n"/>
      <c r="C774" s="683" t="n"/>
      <c r="D774" s="683" t="n"/>
      <c r="E774" s="683" t="n"/>
      <c r="F774" s="683" t="n"/>
      <c r="G774" s="683" t="n"/>
      <c r="H774" s="683" t="n"/>
      <c r="I774" s="683" t="n"/>
      <c r="J774" s="683" t="n"/>
      <c r="K774" s="683" t="n"/>
      <c r="L774" s="683" t="n"/>
      <c r="M774" s="683" t="n"/>
      <c r="N774" s="683" t="n"/>
      <c r="O774" s="683" t="n"/>
      <c r="P774" s="683" t="n"/>
      <c r="Q774" s="683" t="n"/>
      <c r="R774" s="683" t="n"/>
      <c r="S774" s="683" t="n"/>
      <c r="T774" s="683" t="n"/>
      <c r="U774" s="683" t="n"/>
      <c r="V774" s="683" t="n"/>
      <c r="W774" s="683" t="n"/>
      <c r="X774" s="683" t="n"/>
      <c r="Y774" s="683" t="n"/>
    </row>
    <row r="775">
      <c r="A775" s="683" t="n"/>
      <c r="B775" s="683" t="n"/>
      <c r="C775" s="683" t="n"/>
      <c r="D775" s="683" t="n"/>
      <c r="E775" s="683" t="n"/>
      <c r="F775" s="683" t="n"/>
      <c r="G775" s="683" t="n"/>
      <c r="H775" s="683" t="n"/>
      <c r="I775" s="683" t="n"/>
      <c r="J775" s="683" t="n"/>
      <c r="K775" s="683" t="n"/>
      <c r="L775" s="683" t="n"/>
      <c r="M775" s="683" t="n"/>
      <c r="N775" s="683" t="n"/>
      <c r="O775" s="683" t="n"/>
      <c r="P775" s="683" t="n"/>
      <c r="Q775" s="683" t="n"/>
      <c r="R775" s="683" t="n"/>
      <c r="S775" s="683" t="n"/>
      <c r="T775" s="683" t="n"/>
      <c r="U775" s="683" t="n"/>
      <c r="V775" s="683" t="n"/>
      <c r="W775" s="683" t="n"/>
      <c r="X775" s="683" t="n"/>
      <c r="Y775" s="683" t="n"/>
    </row>
    <row r="776">
      <c r="A776" s="683" t="n"/>
      <c r="B776" s="683" t="n"/>
      <c r="C776" s="683" t="n"/>
      <c r="D776" s="683" t="n"/>
      <c r="E776" s="683" t="n"/>
      <c r="F776" s="683" t="n"/>
      <c r="G776" s="683" t="n"/>
      <c r="H776" s="683" t="n"/>
      <c r="I776" s="683" t="n"/>
      <c r="J776" s="683" t="n"/>
      <c r="K776" s="683" t="n"/>
      <c r="L776" s="683" t="n"/>
      <c r="M776" s="683" t="n"/>
      <c r="N776" s="683" t="n"/>
      <c r="O776" s="683" t="n"/>
      <c r="P776" s="683" t="n"/>
      <c r="Q776" s="683" t="n"/>
      <c r="R776" s="683" t="n"/>
      <c r="S776" s="683" t="n"/>
      <c r="T776" s="683" t="n"/>
      <c r="U776" s="683" t="n"/>
      <c r="V776" s="683" t="n"/>
      <c r="W776" s="683" t="n"/>
      <c r="X776" s="683" t="n"/>
      <c r="Y776" s="683" t="n"/>
    </row>
    <row r="777">
      <c r="A777" s="683" t="n"/>
      <c r="B777" s="683" t="n"/>
      <c r="C777" s="683" t="n"/>
      <c r="D777" s="683" t="n"/>
      <c r="E777" s="683" t="n"/>
      <c r="F777" s="683" t="n"/>
      <c r="G777" s="683" t="n"/>
      <c r="H777" s="683" t="n"/>
      <c r="I777" s="683" t="n"/>
      <c r="J777" s="683" t="n"/>
      <c r="K777" s="683" t="n"/>
      <c r="L777" s="683" t="n"/>
      <c r="M777" s="683" t="n"/>
      <c r="N777" s="683" t="n"/>
      <c r="O777" s="683" t="n"/>
      <c r="P777" s="683" t="n"/>
      <c r="Q777" s="683" t="n"/>
      <c r="R777" s="683" t="n"/>
      <c r="S777" s="683" t="n"/>
      <c r="T777" s="683" t="n"/>
      <c r="U777" s="683" t="n"/>
      <c r="V777" s="683" t="n"/>
      <c r="W777" s="683" t="n"/>
      <c r="X777" s="683" t="n"/>
      <c r="Y777" s="683" t="n"/>
    </row>
    <row r="778">
      <c r="A778" s="683" t="n"/>
      <c r="B778" s="683" t="n"/>
      <c r="C778" s="683" t="n"/>
      <c r="D778" s="683" t="n"/>
      <c r="E778" s="683" t="n"/>
      <c r="F778" s="683" t="n"/>
      <c r="G778" s="683" t="n"/>
      <c r="H778" s="683" t="n"/>
      <c r="I778" s="683" t="n"/>
      <c r="J778" s="683" t="n"/>
      <c r="K778" s="683" t="n"/>
      <c r="L778" s="683" t="n"/>
      <c r="M778" s="683" t="n"/>
      <c r="N778" s="683" t="n"/>
      <c r="O778" s="683" t="n"/>
      <c r="P778" s="683" t="n"/>
      <c r="Q778" s="683" t="n"/>
      <c r="R778" s="683" t="n"/>
      <c r="S778" s="683" t="n"/>
      <c r="T778" s="683" t="n"/>
      <c r="U778" s="683" t="n"/>
      <c r="V778" s="683" t="n"/>
      <c r="W778" s="683" t="n"/>
      <c r="X778" s="683" t="n"/>
      <c r="Y778" s="683" t="n"/>
    </row>
    <row r="779">
      <c r="A779" s="683" t="n"/>
      <c r="B779" s="683" t="n"/>
      <c r="C779" s="683" t="n"/>
      <c r="D779" s="683" t="n"/>
      <c r="E779" s="683" t="n"/>
      <c r="F779" s="683" t="n"/>
      <c r="G779" s="683" t="n"/>
      <c r="H779" s="683" t="n"/>
      <c r="I779" s="683" t="n"/>
      <c r="J779" s="683" t="n"/>
      <c r="K779" s="683" t="n"/>
      <c r="L779" s="683" t="n"/>
      <c r="M779" s="683" t="n"/>
      <c r="N779" s="683" t="n"/>
      <c r="O779" s="683" t="n"/>
      <c r="P779" s="683" t="n"/>
      <c r="Q779" s="683" t="n"/>
      <c r="R779" s="683" t="n"/>
      <c r="S779" s="683" t="n"/>
      <c r="T779" s="683" t="n"/>
      <c r="U779" s="683" t="n"/>
      <c r="V779" s="683" t="n"/>
      <c r="W779" s="683" t="n"/>
      <c r="X779" s="683" t="n"/>
      <c r="Y779" s="683" t="n"/>
    </row>
    <row r="780">
      <c r="A780" s="683" t="n"/>
      <c r="B780" s="683" t="n"/>
      <c r="C780" s="683" t="n"/>
      <c r="D780" s="683" t="n"/>
      <c r="E780" s="683" t="n"/>
      <c r="F780" s="683" t="n"/>
      <c r="G780" s="683" t="n"/>
      <c r="H780" s="683" t="n"/>
      <c r="I780" s="683" t="n"/>
      <c r="J780" s="683" t="n"/>
      <c r="K780" s="683" t="n"/>
      <c r="L780" s="683" t="n"/>
      <c r="M780" s="683" t="n"/>
      <c r="N780" s="683" t="n"/>
      <c r="O780" s="683" t="n"/>
      <c r="P780" s="683" t="n"/>
      <c r="Q780" s="683" t="n"/>
      <c r="R780" s="683" t="n"/>
      <c r="S780" s="683" t="n"/>
      <c r="T780" s="683" t="n"/>
      <c r="U780" s="683" t="n"/>
      <c r="V780" s="683" t="n"/>
      <c r="W780" s="683" t="n"/>
      <c r="X780" s="683" t="n"/>
      <c r="Y780" s="683" t="n"/>
    </row>
    <row r="781">
      <c r="A781" s="683" t="n"/>
      <c r="B781" s="683" t="n"/>
      <c r="C781" s="683" t="n"/>
      <c r="D781" s="683" t="n"/>
      <c r="E781" s="683" t="n"/>
      <c r="F781" s="683" t="n"/>
      <c r="G781" s="683" t="n"/>
      <c r="H781" s="683" t="n"/>
      <c r="I781" s="683" t="n"/>
      <c r="J781" s="683" t="n"/>
      <c r="K781" s="683" t="n"/>
      <c r="L781" s="683" t="n"/>
      <c r="M781" s="683" t="n"/>
      <c r="N781" s="683" t="n"/>
      <c r="O781" s="683" t="n"/>
      <c r="P781" s="683" t="n"/>
      <c r="Q781" s="683" t="n"/>
      <c r="R781" s="683" t="n"/>
      <c r="S781" s="683" t="n"/>
      <c r="T781" s="683" t="n"/>
      <c r="U781" s="683" t="n"/>
      <c r="V781" s="683" t="n"/>
      <c r="W781" s="683" t="n"/>
      <c r="X781" s="683" t="n"/>
      <c r="Y781" s="683" t="n"/>
    </row>
    <row r="782">
      <c r="A782" s="683" t="n"/>
      <c r="B782" s="683" t="n"/>
      <c r="C782" s="683" t="n"/>
      <c r="D782" s="683" t="n"/>
      <c r="E782" s="683" t="n"/>
      <c r="F782" s="683" t="n"/>
      <c r="G782" s="683" t="n"/>
      <c r="H782" s="683" t="n"/>
      <c r="I782" s="683" t="n"/>
      <c r="J782" s="683" t="n"/>
      <c r="K782" s="683" t="n"/>
      <c r="L782" s="683" t="n"/>
      <c r="M782" s="683" t="n"/>
      <c r="N782" s="683" t="n"/>
      <c r="O782" s="683" t="n"/>
      <c r="P782" s="683" t="n"/>
      <c r="Q782" s="683" t="n"/>
      <c r="R782" s="683" t="n"/>
      <c r="S782" s="683" t="n"/>
      <c r="T782" s="683" t="n"/>
      <c r="U782" s="683" t="n"/>
      <c r="V782" s="683" t="n"/>
      <c r="W782" s="683" t="n"/>
      <c r="X782" s="683" t="n"/>
      <c r="Y782" s="683" t="n"/>
    </row>
    <row r="783">
      <c r="A783" s="683" t="n"/>
      <c r="B783" s="683" t="n"/>
      <c r="C783" s="683" t="n"/>
      <c r="D783" s="683" t="n"/>
      <c r="E783" s="683" t="n"/>
      <c r="F783" s="683" t="n"/>
      <c r="G783" s="683" t="n"/>
      <c r="H783" s="683" t="n"/>
      <c r="I783" s="683" t="n"/>
      <c r="J783" s="683" t="n"/>
      <c r="K783" s="683" t="n"/>
      <c r="L783" s="683" t="n"/>
      <c r="M783" s="683" t="n"/>
      <c r="N783" s="683" t="n"/>
      <c r="O783" s="683" t="n"/>
      <c r="P783" s="683" t="n"/>
      <c r="Q783" s="683" t="n"/>
      <c r="R783" s="683" t="n"/>
      <c r="S783" s="683" t="n"/>
      <c r="T783" s="683" t="n"/>
      <c r="U783" s="683" t="n"/>
      <c r="V783" s="683" t="n"/>
      <c r="W783" s="683" t="n"/>
      <c r="X783" s="683" t="n"/>
      <c r="Y783" s="683" t="n"/>
    </row>
    <row r="784">
      <c r="A784" s="683" t="n"/>
      <c r="B784" s="683" t="n"/>
      <c r="C784" s="683" t="n"/>
      <c r="D784" s="683" t="n"/>
      <c r="E784" s="683" t="n"/>
      <c r="F784" s="683" t="n"/>
      <c r="G784" s="683" t="n"/>
      <c r="H784" s="683" t="n"/>
      <c r="I784" s="683" t="n"/>
      <c r="J784" s="683" t="n"/>
      <c r="K784" s="683" t="n"/>
      <c r="L784" s="683" t="n"/>
      <c r="M784" s="683" t="n"/>
      <c r="N784" s="683" t="n"/>
      <c r="O784" s="683" t="n"/>
      <c r="P784" s="683" t="n"/>
      <c r="Q784" s="683" t="n"/>
      <c r="R784" s="683" t="n"/>
      <c r="S784" s="683" t="n"/>
      <c r="T784" s="683" t="n"/>
      <c r="U784" s="683" t="n"/>
      <c r="V784" s="683" t="n"/>
      <c r="W784" s="683" t="n"/>
      <c r="X784" s="683" t="n"/>
      <c r="Y784" s="683" t="n"/>
    </row>
    <row r="785">
      <c r="A785" s="683" t="n"/>
      <c r="B785" s="683" t="n"/>
      <c r="C785" s="683" t="n"/>
      <c r="D785" s="683" t="n"/>
      <c r="E785" s="683" t="n"/>
      <c r="F785" s="683" t="n"/>
      <c r="G785" s="683" t="n"/>
      <c r="H785" s="683" t="n"/>
      <c r="I785" s="683" t="n"/>
      <c r="J785" s="683" t="n"/>
      <c r="K785" s="683" t="n"/>
      <c r="L785" s="683" t="n"/>
      <c r="M785" s="683" t="n"/>
      <c r="N785" s="683" t="n"/>
      <c r="O785" s="683" t="n"/>
      <c r="P785" s="683" t="n"/>
      <c r="Q785" s="683" t="n"/>
      <c r="R785" s="683" t="n"/>
      <c r="S785" s="683" t="n"/>
      <c r="T785" s="683" t="n"/>
      <c r="U785" s="683" t="n"/>
      <c r="V785" s="683" t="n"/>
      <c r="W785" s="683" t="n"/>
      <c r="X785" s="683" t="n"/>
      <c r="Y785" s="683" t="n"/>
    </row>
    <row r="786">
      <c r="A786" s="683" t="n"/>
      <c r="B786" s="683" t="n"/>
      <c r="C786" s="683" t="n"/>
      <c r="D786" s="683" t="n"/>
      <c r="E786" s="683" t="n"/>
      <c r="F786" s="683" t="n"/>
      <c r="G786" s="683" t="n"/>
      <c r="H786" s="683" t="n"/>
      <c r="I786" s="683" t="n"/>
      <c r="J786" s="683" t="n"/>
      <c r="K786" s="683" t="n"/>
      <c r="L786" s="683" t="n"/>
      <c r="M786" s="683" t="n"/>
      <c r="N786" s="683" t="n"/>
      <c r="O786" s="683" t="n"/>
      <c r="P786" s="683" t="n"/>
      <c r="Q786" s="683" t="n"/>
      <c r="R786" s="683" t="n"/>
      <c r="S786" s="683" t="n"/>
      <c r="T786" s="683" t="n"/>
      <c r="U786" s="683" t="n"/>
      <c r="V786" s="683" t="n"/>
      <c r="W786" s="683" t="n"/>
      <c r="X786" s="683" t="n"/>
      <c r="Y786" s="683" t="n"/>
    </row>
    <row r="787">
      <c r="A787" s="683" t="n"/>
      <c r="B787" s="683" t="n"/>
      <c r="C787" s="683" t="n"/>
      <c r="D787" s="683" t="n"/>
      <c r="E787" s="683" t="n"/>
      <c r="F787" s="683" t="n"/>
      <c r="G787" s="683" t="n"/>
      <c r="H787" s="683" t="n"/>
      <c r="I787" s="683" t="n"/>
      <c r="J787" s="683" t="n"/>
      <c r="K787" s="683" t="n"/>
      <c r="L787" s="683" t="n"/>
      <c r="M787" s="683" t="n"/>
      <c r="N787" s="683" t="n"/>
      <c r="O787" s="683" t="n"/>
      <c r="P787" s="683" t="n"/>
      <c r="Q787" s="683" t="n"/>
      <c r="R787" s="683" t="n"/>
      <c r="S787" s="683" t="n"/>
      <c r="T787" s="683" t="n"/>
      <c r="U787" s="683" t="n"/>
      <c r="V787" s="683" t="n"/>
      <c r="W787" s="683" t="n"/>
      <c r="X787" s="683" t="n"/>
      <c r="Y787" s="683" t="n"/>
    </row>
    <row r="788">
      <c r="A788" s="683" t="n"/>
      <c r="B788" s="683" t="n"/>
      <c r="C788" s="683" t="n"/>
      <c r="D788" s="683" t="n"/>
      <c r="E788" s="683" t="n"/>
      <c r="F788" s="683" t="n"/>
      <c r="G788" s="683" t="n"/>
      <c r="H788" s="683" t="n"/>
      <c r="I788" s="683" t="n"/>
      <c r="J788" s="683" t="n"/>
      <c r="K788" s="683" t="n"/>
      <c r="L788" s="683" t="n"/>
      <c r="M788" s="683" t="n"/>
      <c r="N788" s="683" t="n"/>
      <c r="O788" s="683" t="n"/>
      <c r="P788" s="683" t="n"/>
      <c r="Q788" s="683" t="n"/>
      <c r="R788" s="683" t="n"/>
      <c r="S788" s="683" t="n"/>
      <c r="T788" s="683" t="n"/>
      <c r="U788" s="683" t="n"/>
      <c r="V788" s="683" t="n"/>
      <c r="W788" s="683" t="n"/>
      <c r="X788" s="683" t="n"/>
      <c r="Y788" s="683" t="n"/>
    </row>
    <row r="789">
      <c r="A789" s="683" t="n"/>
      <c r="B789" s="683" t="n"/>
      <c r="C789" s="683" t="n"/>
      <c r="D789" s="683" t="n"/>
      <c r="E789" s="683" t="n"/>
      <c r="F789" s="683" t="n"/>
      <c r="G789" s="683" t="n"/>
      <c r="H789" s="683" t="n"/>
      <c r="I789" s="683" t="n"/>
      <c r="J789" s="683" t="n"/>
      <c r="K789" s="683" t="n"/>
      <c r="L789" s="683" t="n"/>
      <c r="M789" s="683" t="n"/>
      <c r="N789" s="683" t="n"/>
      <c r="O789" s="683" t="n"/>
      <c r="P789" s="683" t="n"/>
      <c r="Q789" s="683" t="n"/>
      <c r="R789" s="683" t="n"/>
      <c r="S789" s="683" t="n"/>
      <c r="T789" s="683" t="n"/>
      <c r="U789" s="683" t="n"/>
      <c r="V789" s="683" t="n"/>
      <c r="W789" s="683" t="n"/>
      <c r="X789" s="683" t="n"/>
      <c r="Y789" s="683" t="n"/>
    </row>
    <row r="790">
      <c r="A790" s="683" t="n"/>
      <c r="B790" s="683" t="n"/>
      <c r="C790" s="683" t="n"/>
      <c r="D790" s="683" t="n"/>
      <c r="E790" s="683" t="n"/>
      <c r="F790" s="683" t="n"/>
      <c r="G790" s="683" t="n"/>
      <c r="H790" s="683" t="n"/>
      <c r="I790" s="683" t="n"/>
      <c r="J790" s="683" t="n"/>
      <c r="K790" s="683" t="n"/>
      <c r="L790" s="683" t="n"/>
      <c r="M790" s="683" t="n"/>
      <c r="N790" s="683" t="n"/>
      <c r="O790" s="683" t="n"/>
      <c r="P790" s="683" t="n"/>
      <c r="Q790" s="683" t="n"/>
      <c r="R790" s="683" t="n"/>
      <c r="S790" s="683" t="n"/>
      <c r="T790" s="683" t="n"/>
      <c r="U790" s="683" t="n"/>
      <c r="V790" s="683" t="n"/>
      <c r="W790" s="683" t="n"/>
      <c r="X790" s="683" t="n"/>
      <c r="Y790" s="683" t="n"/>
    </row>
    <row r="791">
      <c r="A791" s="683" t="n"/>
      <c r="B791" s="683" t="n"/>
      <c r="C791" s="683" t="n"/>
      <c r="D791" s="683" t="n"/>
      <c r="E791" s="683" t="n"/>
      <c r="F791" s="683" t="n"/>
      <c r="G791" s="683" t="n"/>
      <c r="H791" s="683" t="n"/>
      <c r="I791" s="683" t="n"/>
      <c r="J791" s="683" t="n"/>
      <c r="K791" s="683" t="n"/>
      <c r="L791" s="683" t="n"/>
      <c r="M791" s="683" t="n"/>
      <c r="N791" s="683" t="n"/>
      <c r="O791" s="683" t="n"/>
      <c r="P791" s="683" t="n"/>
      <c r="Q791" s="683" t="n"/>
      <c r="R791" s="683" t="n"/>
      <c r="S791" s="683" t="n"/>
      <c r="T791" s="683" t="n"/>
      <c r="U791" s="683" t="n"/>
      <c r="V791" s="683" t="n"/>
      <c r="W791" s="683" t="n"/>
      <c r="X791" s="683" t="n"/>
      <c r="Y791" s="683" t="n"/>
    </row>
    <row r="792">
      <c r="A792" s="683" t="n"/>
      <c r="B792" s="683" t="n"/>
      <c r="C792" s="683" t="n"/>
      <c r="D792" s="683" t="n"/>
      <c r="E792" s="683" t="n"/>
      <c r="F792" s="683" t="n"/>
      <c r="G792" s="683" t="n"/>
      <c r="H792" s="683" t="n"/>
      <c r="I792" s="683" t="n"/>
      <c r="J792" s="683" t="n"/>
      <c r="K792" s="683" t="n"/>
      <c r="L792" s="683" t="n"/>
      <c r="M792" s="683" t="n"/>
      <c r="N792" s="683" t="n"/>
      <c r="O792" s="683" t="n"/>
      <c r="P792" s="683" t="n"/>
      <c r="Q792" s="683" t="n"/>
      <c r="R792" s="683" t="n"/>
      <c r="S792" s="683" t="n"/>
      <c r="T792" s="683" t="n"/>
      <c r="U792" s="683" t="n"/>
      <c r="V792" s="683" t="n"/>
      <c r="W792" s="683" t="n"/>
      <c r="X792" s="683" t="n"/>
      <c r="Y792" s="683" t="n"/>
    </row>
    <row r="793">
      <c r="A793" s="683" t="n"/>
      <c r="B793" s="683" t="n"/>
      <c r="C793" s="683" t="n"/>
      <c r="D793" s="683" t="n"/>
      <c r="E793" s="683" t="n"/>
      <c r="F793" s="683" t="n"/>
      <c r="G793" s="683" t="n"/>
      <c r="H793" s="683" t="n"/>
      <c r="I793" s="683" t="n"/>
      <c r="J793" s="683" t="n"/>
      <c r="K793" s="683" t="n"/>
      <c r="L793" s="683" t="n"/>
      <c r="M793" s="683" t="n"/>
      <c r="N793" s="683" t="n"/>
      <c r="O793" s="683" t="n"/>
      <c r="P793" s="683" t="n"/>
      <c r="Q793" s="683" t="n"/>
      <c r="R793" s="683" t="n"/>
      <c r="S793" s="683" t="n"/>
      <c r="T793" s="683" t="n"/>
      <c r="U793" s="683" t="n"/>
      <c r="V793" s="683" t="n"/>
      <c r="W793" s="683" t="n"/>
      <c r="X793" s="683" t="n"/>
      <c r="Y793" s="683" t="n"/>
    </row>
    <row r="794">
      <c r="A794" s="683" t="n"/>
      <c r="B794" s="683" t="n"/>
      <c r="C794" s="683" t="n"/>
      <c r="D794" s="683" t="n"/>
      <c r="E794" s="683" t="n"/>
      <c r="F794" s="683" t="n"/>
      <c r="G794" s="683" t="n"/>
      <c r="H794" s="683" t="n"/>
      <c r="I794" s="683" t="n"/>
      <c r="J794" s="683" t="n"/>
      <c r="K794" s="683" t="n"/>
      <c r="L794" s="683" t="n"/>
      <c r="M794" s="683" t="n"/>
      <c r="N794" s="683" t="n"/>
      <c r="O794" s="683" t="n"/>
      <c r="P794" s="683" t="n"/>
      <c r="Q794" s="683" t="n"/>
      <c r="R794" s="683" t="n"/>
      <c r="S794" s="683" t="n"/>
      <c r="T794" s="683" t="n"/>
      <c r="U794" s="683" t="n"/>
      <c r="V794" s="683" t="n"/>
      <c r="W794" s="683" t="n"/>
      <c r="X794" s="683" t="n"/>
      <c r="Y794" s="683" t="n"/>
    </row>
    <row r="795">
      <c r="A795" s="683" t="n"/>
      <c r="B795" s="683" t="n"/>
      <c r="C795" s="683" t="n"/>
      <c r="D795" s="683" t="n"/>
      <c r="E795" s="683" t="n"/>
      <c r="F795" s="683" t="n"/>
      <c r="G795" s="683" t="n"/>
      <c r="H795" s="683" t="n"/>
      <c r="I795" s="683" t="n"/>
      <c r="J795" s="683" t="n"/>
      <c r="K795" s="683" t="n"/>
      <c r="L795" s="683" t="n"/>
      <c r="M795" s="683" t="n"/>
      <c r="N795" s="683" t="n"/>
      <c r="O795" s="683" t="n"/>
      <c r="P795" s="683" t="n"/>
      <c r="Q795" s="683" t="n"/>
      <c r="R795" s="683" t="n"/>
      <c r="S795" s="683" t="n"/>
      <c r="T795" s="683" t="n"/>
      <c r="U795" s="683" t="n"/>
      <c r="V795" s="683" t="n"/>
      <c r="W795" s="683" t="n"/>
      <c r="X795" s="683" t="n"/>
      <c r="Y795" s="683" t="n"/>
    </row>
    <row r="796">
      <c r="A796" s="683" t="n"/>
      <c r="B796" s="683" t="n"/>
      <c r="C796" s="683" t="n"/>
      <c r="D796" s="683" t="n"/>
      <c r="E796" s="683" t="n"/>
      <c r="F796" s="683" t="n"/>
      <c r="G796" s="683" t="n"/>
      <c r="H796" s="683" t="n"/>
      <c r="I796" s="683" t="n"/>
      <c r="J796" s="683" t="n"/>
      <c r="K796" s="683" t="n"/>
      <c r="L796" s="683" t="n"/>
      <c r="M796" s="683" t="n"/>
      <c r="N796" s="683" t="n"/>
      <c r="O796" s="683" t="n"/>
      <c r="P796" s="683" t="n"/>
      <c r="Q796" s="683" t="n"/>
      <c r="R796" s="683" t="n"/>
      <c r="S796" s="683" t="n"/>
      <c r="T796" s="683" t="n"/>
      <c r="U796" s="683" t="n"/>
      <c r="V796" s="683" t="n"/>
      <c r="W796" s="683" t="n"/>
      <c r="X796" s="683" t="n"/>
      <c r="Y796" s="683" t="n"/>
    </row>
    <row r="797">
      <c r="A797" s="683" t="n"/>
      <c r="B797" s="683" t="n"/>
      <c r="C797" s="683" t="n"/>
      <c r="D797" s="683" t="n"/>
      <c r="E797" s="683" t="n"/>
      <c r="F797" s="683" t="n"/>
      <c r="G797" s="683" t="n"/>
      <c r="H797" s="683" t="n"/>
      <c r="I797" s="683" t="n"/>
      <c r="J797" s="683" t="n"/>
      <c r="K797" s="683" t="n"/>
      <c r="L797" s="683" t="n"/>
      <c r="M797" s="683" t="n"/>
      <c r="N797" s="683" t="n"/>
      <c r="O797" s="683" t="n"/>
      <c r="P797" s="683" t="n"/>
      <c r="Q797" s="683" t="n"/>
      <c r="R797" s="683" t="n"/>
      <c r="S797" s="683" t="n"/>
      <c r="T797" s="683" t="n"/>
      <c r="U797" s="683" t="n"/>
      <c r="V797" s="683" t="n"/>
      <c r="W797" s="683" t="n"/>
      <c r="X797" s="683" t="n"/>
      <c r="Y797" s="683" t="n"/>
    </row>
    <row r="798">
      <c r="A798" s="683" t="n"/>
      <c r="B798" s="683" t="n"/>
      <c r="C798" s="683" t="n"/>
      <c r="D798" s="683" t="n"/>
      <c r="E798" s="683" t="n"/>
      <c r="F798" s="683" t="n"/>
      <c r="G798" s="683" t="n"/>
      <c r="H798" s="683" t="n"/>
      <c r="I798" s="683" t="n"/>
      <c r="J798" s="683" t="n"/>
      <c r="K798" s="683" t="n"/>
      <c r="L798" s="683" t="n"/>
      <c r="M798" s="683" t="n"/>
      <c r="N798" s="683" t="n"/>
      <c r="O798" s="683" t="n"/>
      <c r="P798" s="683" t="n"/>
      <c r="Q798" s="683" t="n"/>
      <c r="R798" s="683" t="n"/>
      <c r="S798" s="683" t="n"/>
      <c r="T798" s="683" t="n"/>
      <c r="U798" s="683" t="n"/>
      <c r="V798" s="683" t="n"/>
      <c r="W798" s="683" t="n"/>
      <c r="X798" s="683" t="n"/>
      <c r="Y798" s="683" t="n"/>
    </row>
    <row r="799">
      <c r="A799" s="683" t="n"/>
      <c r="B799" s="683" t="n"/>
      <c r="C799" s="683" t="n"/>
      <c r="D799" s="683" t="n"/>
      <c r="E799" s="683" t="n"/>
      <c r="F799" s="683" t="n"/>
      <c r="G799" s="683" t="n"/>
      <c r="H799" s="683" t="n"/>
      <c r="I799" s="683" t="n"/>
      <c r="J799" s="683" t="n"/>
      <c r="K799" s="683" t="n"/>
      <c r="L799" s="683" t="n"/>
      <c r="M799" s="683" t="n"/>
      <c r="N799" s="683" t="n"/>
      <c r="O799" s="683" t="n"/>
      <c r="P799" s="683" t="n"/>
      <c r="Q799" s="683" t="n"/>
      <c r="R799" s="683" t="n"/>
      <c r="S799" s="683" t="n"/>
      <c r="T799" s="683" t="n"/>
      <c r="U799" s="683" t="n"/>
      <c r="V799" s="683" t="n"/>
      <c r="W799" s="683" t="n"/>
      <c r="X799" s="683" t="n"/>
      <c r="Y799" s="683" t="n"/>
    </row>
    <row r="800">
      <c r="A800" s="683" t="n"/>
      <c r="B800" s="683" t="n"/>
      <c r="C800" s="683" t="n"/>
      <c r="D800" s="683" t="n"/>
      <c r="E800" s="683" t="n"/>
      <c r="F800" s="683" t="n"/>
      <c r="G800" s="683" t="n"/>
      <c r="H800" s="683" t="n"/>
      <c r="I800" s="683" t="n"/>
      <c r="J800" s="683" t="n"/>
      <c r="K800" s="683" t="n"/>
      <c r="L800" s="683" t="n"/>
      <c r="M800" s="683" t="n"/>
      <c r="N800" s="683" t="n"/>
      <c r="O800" s="683" t="n"/>
      <c r="P800" s="683" t="n"/>
      <c r="Q800" s="683" t="n"/>
      <c r="R800" s="683" t="n"/>
      <c r="S800" s="683" t="n"/>
      <c r="T800" s="683" t="n"/>
      <c r="U800" s="683" t="n"/>
      <c r="V800" s="683" t="n"/>
      <c r="W800" s="683" t="n"/>
      <c r="X800" s="683" t="n"/>
      <c r="Y800" s="683" t="n"/>
    </row>
    <row r="801">
      <c r="A801" s="683" t="n"/>
      <c r="B801" s="683" t="n"/>
      <c r="C801" s="683" t="n"/>
      <c r="D801" s="683" t="n"/>
      <c r="E801" s="683" t="n"/>
      <c r="F801" s="683" t="n"/>
      <c r="G801" s="683" t="n"/>
      <c r="H801" s="683" t="n"/>
      <c r="I801" s="683" t="n"/>
      <c r="J801" s="683" t="n"/>
      <c r="K801" s="683" t="n"/>
      <c r="L801" s="683" t="n"/>
      <c r="M801" s="683" t="n"/>
      <c r="N801" s="683" t="n"/>
      <c r="O801" s="683" t="n"/>
      <c r="P801" s="683" t="n"/>
      <c r="Q801" s="683" t="n"/>
      <c r="R801" s="683" t="n"/>
      <c r="S801" s="683" t="n"/>
      <c r="T801" s="683" t="n"/>
      <c r="U801" s="683" t="n"/>
      <c r="V801" s="683" t="n"/>
      <c r="W801" s="683" t="n"/>
      <c r="X801" s="683" t="n"/>
      <c r="Y801" s="683" t="n"/>
    </row>
    <row r="802">
      <c r="A802" s="683" t="n"/>
      <c r="B802" s="683" t="n"/>
      <c r="C802" s="683" t="n"/>
      <c r="D802" s="683" t="n"/>
      <c r="E802" s="683" t="n"/>
      <c r="F802" s="683" t="n"/>
      <c r="G802" s="683" t="n"/>
      <c r="H802" s="683" t="n"/>
      <c r="I802" s="683" t="n"/>
      <c r="J802" s="683" t="n"/>
      <c r="K802" s="683" t="n"/>
      <c r="L802" s="683" t="n"/>
      <c r="M802" s="683" t="n"/>
      <c r="N802" s="683" t="n"/>
      <c r="O802" s="683" t="n"/>
      <c r="P802" s="683" t="n"/>
      <c r="Q802" s="683" t="n"/>
      <c r="R802" s="683" t="n"/>
      <c r="S802" s="683" t="n"/>
      <c r="T802" s="683" t="n"/>
      <c r="U802" s="683" t="n"/>
      <c r="V802" s="683" t="n"/>
      <c r="W802" s="683" t="n"/>
      <c r="X802" s="683" t="n"/>
      <c r="Y802" s="683" t="n"/>
    </row>
    <row r="803">
      <c r="A803" s="683" t="n"/>
      <c r="B803" s="683" t="n"/>
      <c r="C803" s="683" t="n"/>
      <c r="D803" s="683" t="n"/>
      <c r="E803" s="683" t="n"/>
      <c r="F803" s="683" t="n"/>
      <c r="G803" s="683" t="n"/>
      <c r="H803" s="683" t="n"/>
      <c r="I803" s="683" t="n"/>
      <c r="J803" s="683" t="n"/>
      <c r="K803" s="683" t="n"/>
      <c r="L803" s="683" t="n"/>
      <c r="M803" s="683" t="n"/>
      <c r="N803" s="683" t="n"/>
      <c r="O803" s="683" t="n"/>
      <c r="P803" s="683" t="n"/>
      <c r="Q803" s="683" t="n"/>
      <c r="R803" s="683" t="n"/>
      <c r="S803" s="683" t="n"/>
      <c r="T803" s="683" t="n"/>
      <c r="U803" s="683" t="n"/>
      <c r="V803" s="683" t="n"/>
      <c r="W803" s="683" t="n"/>
      <c r="X803" s="683" t="n"/>
      <c r="Y803" s="683" t="n"/>
    </row>
    <row r="804">
      <c r="A804" s="683" t="n"/>
      <c r="B804" s="683" t="n"/>
      <c r="C804" s="683" t="n"/>
      <c r="D804" s="683" t="n"/>
      <c r="E804" s="683" t="n"/>
      <c r="F804" s="683" t="n"/>
      <c r="G804" s="683" t="n"/>
      <c r="H804" s="683" t="n"/>
      <c r="I804" s="683" t="n"/>
      <c r="J804" s="683" t="n"/>
      <c r="K804" s="683" t="n"/>
      <c r="L804" s="683" t="n"/>
      <c r="M804" s="683" t="n"/>
      <c r="N804" s="683" t="n"/>
      <c r="O804" s="683" t="n"/>
      <c r="P804" s="683" t="n"/>
      <c r="Q804" s="683" t="n"/>
      <c r="R804" s="683" t="n"/>
      <c r="S804" s="683" t="n"/>
      <c r="T804" s="683" t="n"/>
      <c r="U804" s="683" t="n"/>
      <c r="V804" s="683" t="n"/>
      <c r="W804" s="683" t="n"/>
      <c r="X804" s="683" t="n"/>
      <c r="Y804" s="683" t="n"/>
    </row>
    <row r="805">
      <c r="A805" s="683" t="n"/>
      <c r="B805" s="683" t="n"/>
      <c r="C805" s="683" t="n"/>
      <c r="D805" s="683" t="n"/>
      <c r="E805" s="683" t="n"/>
      <c r="F805" s="683" t="n"/>
      <c r="G805" s="683" t="n"/>
      <c r="H805" s="683" t="n"/>
      <c r="I805" s="683" t="n"/>
      <c r="J805" s="683" t="n"/>
      <c r="K805" s="683" t="n"/>
      <c r="L805" s="683" t="n"/>
      <c r="M805" s="683" t="n"/>
      <c r="N805" s="683" t="n"/>
      <c r="O805" s="683" t="n"/>
      <c r="P805" s="683" t="n"/>
      <c r="Q805" s="683" t="n"/>
      <c r="R805" s="683" t="n"/>
      <c r="S805" s="683" t="n"/>
      <c r="T805" s="683" t="n"/>
      <c r="U805" s="683" t="n"/>
      <c r="V805" s="683" t="n"/>
      <c r="W805" s="683" t="n"/>
      <c r="X805" s="683" t="n"/>
      <c r="Y805" s="683" t="n"/>
    </row>
    <row r="806">
      <c r="A806" s="683" t="n"/>
      <c r="B806" s="683" t="n"/>
      <c r="C806" s="683" t="n"/>
      <c r="D806" s="683" t="n"/>
      <c r="E806" s="683" t="n"/>
      <c r="F806" s="683" t="n"/>
      <c r="G806" s="683" t="n"/>
      <c r="H806" s="683" t="n"/>
      <c r="I806" s="683" t="n"/>
      <c r="J806" s="683" t="n"/>
      <c r="K806" s="683" t="n"/>
      <c r="L806" s="683" t="n"/>
      <c r="M806" s="683" t="n"/>
      <c r="N806" s="683" t="n"/>
      <c r="O806" s="683" t="n"/>
      <c r="P806" s="683" t="n"/>
      <c r="Q806" s="683" t="n"/>
      <c r="R806" s="683" t="n"/>
      <c r="S806" s="683" t="n"/>
      <c r="T806" s="683" t="n"/>
      <c r="U806" s="683" t="n"/>
      <c r="V806" s="683" t="n"/>
      <c r="W806" s="683" t="n"/>
      <c r="X806" s="683" t="n"/>
      <c r="Y806" s="683" t="n"/>
    </row>
    <row r="807">
      <c r="A807" s="683" t="n"/>
      <c r="B807" s="683" t="n"/>
      <c r="C807" s="683" t="n"/>
      <c r="D807" s="683" t="n"/>
      <c r="E807" s="683" t="n"/>
      <c r="F807" s="683" t="n"/>
      <c r="G807" s="683" t="n"/>
      <c r="H807" s="683" t="n"/>
      <c r="I807" s="683" t="n"/>
      <c r="J807" s="683" t="n"/>
      <c r="K807" s="683" t="n"/>
      <c r="L807" s="683" t="n"/>
      <c r="M807" s="683" t="n"/>
      <c r="N807" s="683" t="n"/>
      <c r="O807" s="683" t="n"/>
      <c r="P807" s="683" t="n"/>
      <c r="Q807" s="683" t="n"/>
      <c r="R807" s="683" t="n"/>
      <c r="S807" s="683" t="n"/>
      <c r="T807" s="683" t="n"/>
      <c r="U807" s="683" t="n"/>
      <c r="V807" s="683" t="n"/>
      <c r="W807" s="683" t="n"/>
      <c r="X807" s="683" t="n"/>
      <c r="Y807" s="683" t="n"/>
    </row>
    <row r="808">
      <c r="A808" s="683" t="n"/>
      <c r="B808" s="683" t="n"/>
      <c r="C808" s="683" t="n"/>
      <c r="D808" s="683" t="n"/>
      <c r="E808" s="683" t="n"/>
      <c r="F808" s="683" t="n"/>
      <c r="G808" s="683" t="n"/>
      <c r="H808" s="683" t="n"/>
      <c r="I808" s="683" t="n"/>
      <c r="J808" s="683" t="n"/>
      <c r="K808" s="683" t="n"/>
      <c r="L808" s="683" t="n"/>
      <c r="M808" s="683" t="n"/>
      <c r="N808" s="683" t="n"/>
      <c r="O808" s="683" t="n"/>
      <c r="P808" s="683" t="n"/>
      <c r="Q808" s="683" t="n"/>
      <c r="R808" s="683" t="n"/>
      <c r="S808" s="683" t="n"/>
      <c r="T808" s="683" t="n"/>
      <c r="U808" s="683" t="n"/>
      <c r="V808" s="683" t="n"/>
      <c r="W808" s="683" t="n"/>
      <c r="X808" s="683" t="n"/>
      <c r="Y808" s="683" t="n"/>
    </row>
    <row r="809">
      <c r="A809" s="683" t="n"/>
      <c r="B809" s="683" t="n"/>
      <c r="C809" s="683" t="n"/>
      <c r="D809" s="683" t="n"/>
      <c r="E809" s="683" t="n"/>
      <c r="F809" s="683" t="n"/>
      <c r="G809" s="683" t="n"/>
      <c r="H809" s="683" t="n"/>
      <c r="I809" s="683" t="n"/>
      <c r="J809" s="683" t="n"/>
      <c r="K809" s="683" t="n"/>
      <c r="L809" s="683" t="n"/>
      <c r="M809" s="683" t="n"/>
      <c r="N809" s="683" t="n"/>
      <c r="O809" s="683" t="n"/>
      <c r="P809" s="683" t="n"/>
      <c r="Q809" s="683" t="n"/>
      <c r="R809" s="683" t="n"/>
      <c r="S809" s="683" t="n"/>
      <c r="T809" s="683" t="n"/>
      <c r="U809" s="683" t="n"/>
      <c r="V809" s="683" t="n"/>
      <c r="W809" s="683" t="n"/>
      <c r="X809" s="683" t="n"/>
      <c r="Y809" s="683" t="n"/>
    </row>
    <row r="810">
      <c r="A810" s="683" t="n"/>
      <c r="B810" s="683" t="n"/>
      <c r="C810" s="683" t="n"/>
      <c r="D810" s="683" t="n"/>
      <c r="E810" s="683" t="n"/>
      <c r="F810" s="683" t="n"/>
      <c r="G810" s="683" t="n"/>
      <c r="H810" s="683" t="n"/>
      <c r="I810" s="683" t="n"/>
      <c r="J810" s="683" t="n"/>
      <c r="K810" s="683" t="n"/>
      <c r="L810" s="683" t="n"/>
      <c r="M810" s="683" t="n"/>
      <c r="N810" s="683" t="n"/>
      <c r="O810" s="683" t="n"/>
      <c r="P810" s="683" t="n"/>
      <c r="Q810" s="683" t="n"/>
      <c r="R810" s="683" t="n"/>
      <c r="S810" s="683" t="n"/>
      <c r="T810" s="683" t="n"/>
      <c r="U810" s="683" t="n"/>
      <c r="V810" s="683" t="n"/>
      <c r="W810" s="683" t="n"/>
      <c r="X810" s="683" t="n"/>
      <c r="Y810" s="683" t="n"/>
    </row>
    <row r="811">
      <c r="A811" s="683" t="n"/>
      <c r="B811" s="683" t="n"/>
      <c r="C811" s="683" t="n"/>
      <c r="D811" s="683" t="n"/>
      <c r="E811" s="683" t="n"/>
      <c r="F811" s="683" t="n"/>
      <c r="G811" s="683" t="n"/>
      <c r="H811" s="683" t="n"/>
      <c r="I811" s="683" t="n"/>
      <c r="J811" s="683" t="n"/>
      <c r="K811" s="683" t="n"/>
      <c r="L811" s="683" t="n"/>
      <c r="M811" s="683" t="n"/>
      <c r="N811" s="683" t="n"/>
      <c r="O811" s="683" t="n"/>
      <c r="P811" s="683" t="n"/>
      <c r="Q811" s="683" t="n"/>
      <c r="R811" s="683" t="n"/>
      <c r="S811" s="683" t="n"/>
      <c r="T811" s="683" t="n"/>
      <c r="U811" s="683" t="n"/>
      <c r="V811" s="683" t="n"/>
      <c r="W811" s="683" t="n"/>
      <c r="X811" s="683" t="n"/>
      <c r="Y811" s="683" t="n"/>
    </row>
    <row r="812">
      <c r="A812" s="683" t="n"/>
      <c r="B812" s="683" t="n"/>
      <c r="C812" s="683" t="n"/>
      <c r="D812" s="683" t="n"/>
      <c r="E812" s="683" t="n"/>
      <c r="F812" s="683" t="n"/>
      <c r="G812" s="683" t="n"/>
      <c r="H812" s="683" t="n"/>
      <c r="I812" s="683" t="n"/>
      <c r="J812" s="683" t="n"/>
      <c r="K812" s="683" t="n"/>
      <c r="L812" s="683" t="n"/>
      <c r="M812" s="683" t="n"/>
      <c r="N812" s="683" t="n"/>
      <c r="O812" s="683" t="n"/>
      <c r="P812" s="683" t="n"/>
      <c r="Q812" s="683" t="n"/>
      <c r="R812" s="683" t="n"/>
      <c r="S812" s="683" t="n"/>
      <c r="T812" s="683" t="n"/>
      <c r="U812" s="683" t="n"/>
      <c r="V812" s="683" t="n"/>
      <c r="W812" s="683" t="n"/>
      <c r="X812" s="683" t="n"/>
      <c r="Y812" s="683" t="n"/>
    </row>
    <row r="813">
      <c r="A813" s="683" t="n"/>
      <c r="B813" s="683" t="n"/>
      <c r="C813" s="683" t="n"/>
      <c r="D813" s="683" t="n"/>
      <c r="E813" s="683" t="n"/>
      <c r="F813" s="683" t="n"/>
      <c r="G813" s="683" t="n"/>
      <c r="H813" s="683" t="n"/>
      <c r="I813" s="683" t="n"/>
      <c r="J813" s="683" t="n"/>
      <c r="K813" s="683" t="n"/>
      <c r="L813" s="683" t="n"/>
      <c r="M813" s="683" t="n"/>
      <c r="N813" s="683" t="n"/>
      <c r="O813" s="683" t="n"/>
      <c r="P813" s="683" t="n"/>
      <c r="Q813" s="683" t="n"/>
      <c r="R813" s="683" t="n"/>
      <c r="S813" s="683" t="n"/>
      <c r="T813" s="683" t="n"/>
      <c r="U813" s="683" t="n"/>
      <c r="V813" s="683" t="n"/>
      <c r="W813" s="683" t="n"/>
      <c r="X813" s="683" t="n"/>
      <c r="Y813" s="683" t="n"/>
    </row>
    <row r="814">
      <c r="A814" s="683" t="n"/>
      <c r="B814" s="683" t="n"/>
      <c r="C814" s="683" t="n"/>
      <c r="D814" s="683" t="n"/>
      <c r="E814" s="683" t="n"/>
      <c r="F814" s="683" t="n"/>
      <c r="G814" s="683" t="n"/>
      <c r="H814" s="683" t="n"/>
      <c r="I814" s="683" t="n"/>
      <c r="J814" s="683" t="n"/>
      <c r="K814" s="683" t="n"/>
      <c r="L814" s="683" t="n"/>
      <c r="M814" s="683" t="n"/>
      <c r="N814" s="683" t="n"/>
      <c r="O814" s="683" t="n"/>
      <c r="P814" s="683" t="n"/>
      <c r="Q814" s="683" t="n"/>
      <c r="R814" s="683" t="n"/>
      <c r="S814" s="683" t="n"/>
      <c r="T814" s="683" t="n"/>
      <c r="U814" s="683" t="n"/>
      <c r="V814" s="683" t="n"/>
      <c r="W814" s="683" t="n"/>
      <c r="X814" s="683" t="n"/>
      <c r="Y814" s="683" t="n"/>
    </row>
    <row r="815">
      <c r="A815" s="683" t="n"/>
      <c r="B815" s="683" t="n"/>
      <c r="C815" s="683" t="n"/>
      <c r="D815" s="683" t="n"/>
      <c r="E815" s="683" t="n"/>
      <c r="F815" s="683" t="n"/>
      <c r="G815" s="683" t="n"/>
      <c r="H815" s="683" t="n"/>
      <c r="I815" s="683" t="n"/>
      <c r="J815" s="683" t="n"/>
      <c r="K815" s="683" t="n"/>
      <c r="L815" s="683" t="n"/>
      <c r="M815" s="683" t="n"/>
      <c r="N815" s="683" t="n"/>
      <c r="O815" s="683" t="n"/>
      <c r="P815" s="683" t="n"/>
      <c r="Q815" s="683" t="n"/>
      <c r="R815" s="683" t="n"/>
      <c r="S815" s="683" t="n"/>
      <c r="T815" s="683" t="n"/>
      <c r="U815" s="683" t="n"/>
      <c r="V815" s="683" t="n"/>
      <c r="W815" s="683" t="n"/>
      <c r="X815" s="683" t="n"/>
      <c r="Y815" s="683" t="n"/>
    </row>
    <row r="816">
      <c r="A816" s="683" t="n"/>
      <c r="B816" s="683" t="n"/>
      <c r="C816" s="683" t="n"/>
      <c r="D816" s="683" t="n"/>
      <c r="E816" s="683" t="n"/>
      <c r="F816" s="683" t="n"/>
      <c r="G816" s="683" t="n"/>
      <c r="H816" s="683" t="n"/>
      <c r="I816" s="683" t="n"/>
      <c r="J816" s="683" t="n"/>
      <c r="K816" s="683" t="n"/>
      <c r="L816" s="683" t="n"/>
      <c r="M816" s="683" t="n"/>
      <c r="N816" s="683" t="n"/>
      <c r="O816" s="683" t="n"/>
      <c r="P816" s="683" t="n"/>
      <c r="Q816" s="683" t="n"/>
      <c r="R816" s="683" t="n"/>
      <c r="S816" s="683" t="n"/>
      <c r="T816" s="683" t="n"/>
      <c r="U816" s="683" t="n"/>
      <c r="V816" s="683" t="n"/>
      <c r="W816" s="683" t="n"/>
      <c r="X816" s="683" t="n"/>
      <c r="Y816" s="683" t="n"/>
    </row>
    <row r="817">
      <c r="A817" s="683" t="n"/>
      <c r="B817" s="683" t="n"/>
      <c r="C817" s="683" t="n"/>
      <c r="D817" s="683" t="n"/>
      <c r="E817" s="683" t="n"/>
      <c r="F817" s="683" t="n"/>
      <c r="G817" s="683" t="n"/>
      <c r="H817" s="683" t="n"/>
      <c r="I817" s="683" t="n"/>
      <c r="J817" s="683" t="n"/>
      <c r="K817" s="683" t="n"/>
      <c r="L817" s="683" t="n"/>
      <c r="M817" s="683" t="n"/>
      <c r="N817" s="683" t="n"/>
      <c r="O817" s="683" t="n"/>
      <c r="P817" s="683" t="n"/>
      <c r="Q817" s="683" t="n"/>
      <c r="R817" s="683" t="n"/>
      <c r="S817" s="683" t="n"/>
      <c r="T817" s="683" t="n"/>
      <c r="U817" s="683" t="n"/>
      <c r="V817" s="683" t="n"/>
      <c r="W817" s="683" t="n"/>
      <c r="X817" s="683" t="n"/>
      <c r="Y817" s="683" t="n"/>
    </row>
    <row r="818">
      <c r="A818" s="683" t="n"/>
      <c r="B818" s="683" t="n"/>
      <c r="C818" s="683" t="n"/>
      <c r="D818" s="683" t="n"/>
      <c r="E818" s="683" t="n"/>
      <c r="F818" s="683" t="n"/>
      <c r="G818" s="683" t="n"/>
      <c r="H818" s="683" t="n"/>
      <c r="I818" s="683" t="n"/>
      <c r="J818" s="683" t="n"/>
      <c r="K818" s="683" t="n"/>
      <c r="L818" s="683" t="n"/>
      <c r="M818" s="683" t="n"/>
      <c r="N818" s="683" t="n"/>
      <c r="O818" s="683" t="n"/>
      <c r="P818" s="683" t="n"/>
      <c r="Q818" s="683" t="n"/>
      <c r="R818" s="683" t="n"/>
      <c r="S818" s="683" t="n"/>
      <c r="T818" s="683" t="n"/>
      <c r="U818" s="683" t="n"/>
      <c r="V818" s="683" t="n"/>
      <c r="W818" s="683" t="n"/>
      <c r="X818" s="683" t="n"/>
      <c r="Y818" s="683" t="n"/>
    </row>
    <row r="819">
      <c r="A819" s="683" t="n"/>
      <c r="B819" s="683" t="n"/>
      <c r="C819" s="683" t="n"/>
      <c r="D819" s="683" t="n"/>
      <c r="E819" s="683" t="n"/>
      <c r="F819" s="683" t="n"/>
      <c r="G819" s="683" t="n"/>
      <c r="H819" s="683" t="n"/>
      <c r="I819" s="683" t="n"/>
      <c r="J819" s="683" t="n"/>
      <c r="K819" s="683" t="n"/>
      <c r="L819" s="683" t="n"/>
      <c r="M819" s="683" t="n"/>
      <c r="N819" s="683" t="n"/>
      <c r="O819" s="683" t="n"/>
      <c r="P819" s="683" t="n"/>
      <c r="Q819" s="683" t="n"/>
      <c r="R819" s="683" t="n"/>
      <c r="S819" s="683" t="n"/>
      <c r="T819" s="683" t="n"/>
      <c r="U819" s="683" t="n"/>
      <c r="V819" s="683" t="n"/>
      <c r="W819" s="683" t="n"/>
      <c r="X819" s="683" t="n"/>
      <c r="Y819" s="683" t="n"/>
    </row>
    <row r="820">
      <c r="A820" s="683" t="n"/>
      <c r="B820" s="683" t="n"/>
      <c r="C820" s="683" t="n"/>
      <c r="D820" s="683" t="n"/>
      <c r="E820" s="683" t="n"/>
      <c r="F820" s="683" t="n"/>
      <c r="G820" s="683" t="n"/>
      <c r="H820" s="683" t="n"/>
      <c r="I820" s="683" t="n"/>
      <c r="J820" s="683" t="n"/>
      <c r="K820" s="683" t="n"/>
      <c r="L820" s="683" t="n"/>
      <c r="M820" s="683" t="n"/>
      <c r="N820" s="683" t="n"/>
      <c r="O820" s="683" t="n"/>
      <c r="P820" s="683" t="n"/>
      <c r="Q820" s="683" t="n"/>
      <c r="R820" s="683" t="n"/>
      <c r="S820" s="683" t="n"/>
      <c r="T820" s="683" t="n"/>
      <c r="U820" s="683" t="n"/>
      <c r="V820" s="683" t="n"/>
      <c r="W820" s="683" t="n"/>
      <c r="X820" s="683" t="n"/>
      <c r="Y820" s="683" t="n"/>
    </row>
    <row r="821">
      <c r="A821" s="683" t="n"/>
      <c r="B821" s="683" t="n"/>
      <c r="C821" s="683" t="n"/>
      <c r="D821" s="683" t="n"/>
      <c r="E821" s="683" t="n"/>
      <c r="F821" s="683" t="n"/>
      <c r="G821" s="683" t="n"/>
      <c r="H821" s="683" t="n"/>
      <c r="I821" s="683" t="n"/>
      <c r="J821" s="683" t="n"/>
      <c r="K821" s="683" t="n"/>
      <c r="L821" s="683" t="n"/>
      <c r="M821" s="683" t="n"/>
      <c r="N821" s="683" t="n"/>
      <c r="O821" s="683" t="n"/>
      <c r="P821" s="683" t="n"/>
      <c r="Q821" s="683" t="n"/>
      <c r="R821" s="683" t="n"/>
      <c r="S821" s="683" t="n"/>
      <c r="T821" s="683" t="n"/>
      <c r="U821" s="683" t="n"/>
      <c r="V821" s="683" t="n"/>
      <c r="W821" s="683" t="n"/>
      <c r="X821" s="683" t="n"/>
      <c r="Y821" s="683" t="n"/>
    </row>
    <row r="822">
      <c r="A822" s="683" t="n"/>
      <c r="B822" s="683" t="n"/>
      <c r="C822" s="683" t="n"/>
      <c r="D822" s="683" t="n"/>
      <c r="E822" s="683" t="n"/>
      <c r="F822" s="683" t="n"/>
      <c r="G822" s="683" t="n"/>
      <c r="H822" s="683" t="n"/>
      <c r="I822" s="683" t="n"/>
      <c r="J822" s="683" t="n"/>
      <c r="K822" s="683" t="n"/>
      <c r="L822" s="683" t="n"/>
      <c r="M822" s="683" t="n"/>
      <c r="N822" s="683" t="n"/>
      <c r="O822" s="683" t="n"/>
      <c r="P822" s="683" t="n"/>
      <c r="Q822" s="683" t="n"/>
      <c r="R822" s="683" t="n"/>
      <c r="S822" s="683" t="n"/>
      <c r="T822" s="683" t="n"/>
      <c r="U822" s="683" t="n"/>
      <c r="V822" s="683" t="n"/>
      <c r="W822" s="683" t="n"/>
      <c r="X822" s="683" t="n"/>
      <c r="Y822" s="683" t="n"/>
    </row>
    <row r="823">
      <c r="A823" s="683" t="n"/>
      <c r="B823" s="683" t="n"/>
      <c r="C823" s="683" t="n"/>
      <c r="D823" s="683" t="n"/>
      <c r="E823" s="683" t="n"/>
      <c r="F823" s="683" t="n"/>
      <c r="G823" s="683" t="n"/>
      <c r="H823" s="683" t="n"/>
      <c r="I823" s="683" t="n"/>
      <c r="J823" s="683" t="n"/>
      <c r="K823" s="683" t="n"/>
      <c r="L823" s="683" t="n"/>
      <c r="M823" s="683" t="n"/>
      <c r="N823" s="683" t="n"/>
      <c r="O823" s="683" t="n"/>
      <c r="P823" s="683" t="n"/>
      <c r="Q823" s="683" t="n"/>
      <c r="R823" s="683" t="n"/>
      <c r="S823" s="683" t="n"/>
      <c r="T823" s="683" t="n"/>
      <c r="U823" s="683" t="n"/>
      <c r="V823" s="683" t="n"/>
      <c r="W823" s="683" t="n"/>
      <c r="X823" s="683" t="n"/>
      <c r="Y823" s="683" t="n"/>
    </row>
    <row r="824">
      <c r="A824" s="683" t="n"/>
      <c r="B824" s="683" t="n"/>
      <c r="C824" s="683" t="n"/>
      <c r="D824" s="683" t="n"/>
      <c r="E824" s="683" t="n"/>
      <c r="F824" s="683" t="n"/>
      <c r="G824" s="683" t="n"/>
      <c r="H824" s="683" t="n"/>
      <c r="I824" s="683" t="n"/>
      <c r="J824" s="683" t="n"/>
      <c r="K824" s="683" t="n"/>
      <c r="L824" s="683" t="n"/>
      <c r="M824" s="683" t="n"/>
      <c r="N824" s="683" t="n"/>
      <c r="O824" s="683" t="n"/>
      <c r="P824" s="683" t="n"/>
      <c r="Q824" s="683" t="n"/>
      <c r="R824" s="683" t="n"/>
      <c r="S824" s="683" t="n"/>
      <c r="T824" s="683" t="n"/>
      <c r="U824" s="683" t="n"/>
      <c r="V824" s="683" t="n"/>
      <c r="W824" s="683" t="n"/>
      <c r="X824" s="683" t="n"/>
      <c r="Y824" s="683" t="n"/>
    </row>
    <row r="825">
      <c r="A825" s="683" t="n"/>
      <c r="B825" s="683" t="n"/>
      <c r="C825" s="683" t="n"/>
      <c r="D825" s="683" t="n"/>
      <c r="E825" s="683" t="n"/>
      <c r="F825" s="683" t="n"/>
      <c r="G825" s="683" t="n"/>
      <c r="H825" s="683" t="n"/>
      <c r="I825" s="683" t="n"/>
      <c r="J825" s="683" t="n"/>
      <c r="K825" s="683" t="n"/>
      <c r="L825" s="683" t="n"/>
      <c r="M825" s="683" t="n"/>
      <c r="N825" s="683" t="n"/>
      <c r="O825" s="683" t="n"/>
      <c r="P825" s="683" t="n"/>
      <c r="Q825" s="683" t="n"/>
      <c r="R825" s="683" t="n"/>
      <c r="S825" s="683" t="n"/>
      <c r="T825" s="683" t="n"/>
      <c r="U825" s="683" t="n"/>
      <c r="V825" s="683" t="n"/>
      <c r="W825" s="683" t="n"/>
      <c r="X825" s="683" t="n"/>
      <c r="Y825" s="683" t="n"/>
    </row>
    <row r="826">
      <c r="A826" s="683" t="n"/>
      <c r="B826" s="683" t="n"/>
      <c r="C826" s="683" t="n"/>
      <c r="D826" s="683" t="n"/>
      <c r="E826" s="683" t="n"/>
      <c r="F826" s="683" t="n"/>
      <c r="G826" s="683" t="n"/>
      <c r="H826" s="683" t="n"/>
      <c r="I826" s="683" t="n"/>
      <c r="J826" s="683" t="n"/>
      <c r="K826" s="683" t="n"/>
      <c r="L826" s="683" t="n"/>
      <c r="M826" s="683" t="n"/>
      <c r="N826" s="683" t="n"/>
      <c r="O826" s="683" t="n"/>
      <c r="P826" s="683" t="n"/>
      <c r="Q826" s="683" t="n"/>
      <c r="R826" s="683" t="n"/>
      <c r="S826" s="683" t="n"/>
      <c r="T826" s="683" t="n"/>
      <c r="U826" s="683" t="n"/>
      <c r="V826" s="683" t="n"/>
      <c r="W826" s="683" t="n"/>
      <c r="X826" s="683" t="n"/>
      <c r="Y826" s="683" t="n"/>
    </row>
    <row r="827">
      <c r="A827" s="683" t="n"/>
      <c r="B827" s="683" t="n"/>
      <c r="C827" s="683" t="n"/>
      <c r="D827" s="683" t="n"/>
      <c r="E827" s="683" t="n"/>
      <c r="F827" s="683" t="n"/>
      <c r="G827" s="683" t="n"/>
      <c r="H827" s="683" t="n"/>
      <c r="I827" s="683" t="n"/>
      <c r="J827" s="683" t="n"/>
      <c r="K827" s="683" t="n"/>
      <c r="L827" s="683" t="n"/>
      <c r="M827" s="683" t="n"/>
      <c r="N827" s="683" t="n"/>
      <c r="O827" s="683" t="n"/>
      <c r="P827" s="683" t="n"/>
      <c r="Q827" s="683" t="n"/>
      <c r="R827" s="683" t="n"/>
      <c r="S827" s="683" t="n"/>
      <c r="T827" s="683" t="n"/>
      <c r="U827" s="683" t="n"/>
      <c r="V827" s="683" t="n"/>
      <c r="W827" s="683" t="n"/>
      <c r="X827" s="683" t="n"/>
      <c r="Y827" s="683" t="n"/>
    </row>
    <row r="828">
      <c r="A828" s="683" t="n"/>
      <c r="B828" s="683" t="n"/>
      <c r="C828" s="683" t="n"/>
      <c r="D828" s="683" t="n"/>
      <c r="E828" s="683" t="n"/>
      <c r="F828" s="683" t="n"/>
      <c r="G828" s="683" t="n"/>
      <c r="H828" s="683" t="n"/>
      <c r="I828" s="683" t="n"/>
      <c r="J828" s="683" t="n"/>
      <c r="K828" s="683" t="n"/>
      <c r="L828" s="683" t="n"/>
      <c r="M828" s="683" t="n"/>
      <c r="N828" s="683" t="n"/>
      <c r="O828" s="683" t="n"/>
      <c r="P828" s="683" t="n"/>
      <c r="Q828" s="683" t="n"/>
      <c r="R828" s="683" t="n"/>
      <c r="S828" s="683" t="n"/>
      <c r="T828" s="683" t="n"/>
      <c r="U828" s="683" t="n"/>
      <c r="V828" s="683" t="n"/>
      <c r="W828" s="683" t="n"/>
      <c r="X828" s="683" t="n"/>
      <c r="Y828" s="683" t="n"/>
    </row>
    <row r="829">
      <c r="A829" s="683" t="n"/>
      <c r="B829" s="683" t="n"/>
      <c r="C829" s="683" t="n"/>
      <c r="D829" s="683" t="n"/>
      <c r="E829" s="683" t="n"/>
      <c r="F829" s="683" t="n"/>
      <c r="G829" s="683" t="n"/>
      <c r="H829" s="683" t="n"/>
      <c r="I829" s="683" t="n"/>
      <c r="J829" s="683" t="n"/>
      <c r="K829" s="683" t="n"/>
      <c r="L829" s="683" t="n"/>
      <c r="M829" s="683" t="n"/>
      <c r="N829" s="683" t="n"/>
      <c r="O829" s="683" t="n"/>
      <c r="P829" s="683" t="n"/>
      <c r="Q829" s="683" t="n"/>
      <c r="R829" s="683" t="n"/>
      <c r="S829" s="683" t="n"/>
      <c r="T829" s="683" t="n"/>
      <c r="U829" s="683" t="n"/>
      <c r="V829" s="683" t="n"/>
      <c r="W829" s="683" t="n"/>
      <c r="X829" s="683" t="n"/>
      <c r="Y829" s="683" t="n"/>
    </row>
    <row r="830">
      <c r="A830" s="683" t="n"/>
      <c r="B830" s="683" t="n"/>
      <c r="C830" s="683" t="n"/>
      <c r="D830" s="683" t="n"/>
      <c r="E830" s="683" t="n"/>
      <c r="F830" s="683" t="n"/>
      <c r="G830" s="683" t="n"/>
      <c r="H830" s="683" t="n"/>
      <c r="I830" s="683" t="n"/>
      <c r="J830" s="683" t="n"/>
      <c r="K830" s="683" t="n"/>
      <c r="L830" s="683" t="n"/>
      <c r="M830" s="683" t="n"/>
      <c r="N830" s="683" t="n"/>
      <c r="O830" s="683" t="n"/>
      <c r="P830" s="683" t="n"/>
      <c r="Q830" s="683" t="n"/>
      <c r="R830" s="683" t="n"/>
      <c r="S830" s="683" t="n"/>
      <c r="T830" s="683" t="n"/>
      <c r="U830" s="683" t="n"/>
      <c r="V830" s="683" t="n"/>
      <c r="W830" s="683" t="n"/>
      <c r="X830" s="683" t="n"/>
      <c r="Y830" s="683" t="n"/>
    </row>
    <row r="831">
      <c r="A831" s="683" t="n"/>
      <c r="B831" s="683" t="n"/>
      <c r="C831" s="683" t="n"/>
      <c r="D831" s="683" t="n"/>
      <c r="E831" s="683" t="n"/>
      <c r="F831" s="683" t="n"/>
      <c r="G831" s="683" t="n"/>
      <c r="H831" s="683" t="n"/>
      <c r="I831" s="683" t="n"/>
      <c r="J831" s="683" t="n"/>
      <c r="K831" s="683" t="n"/>
      <c r="L831" s="683" t="n"/>
      <c r="M831" s="683" t="n"/>
      <c r="N831" s="683" t="n"/>
      <c r="O831" s="683" t="n"/>
      <c r="P831" s="683" t="n"/>
      <c r="Q831" s="683" t="n"/>
      <c r="R831" s="683" t="n"/>
      <c r="S831" s="683" t="n"/>
      <c r="T831" s="683" t="n"/>
      <c r="U831" s="683" t="n"/>
      <c r="V831" s="683" t="n"/>
      <c r="W831" s="683" t="n"/>
      <c r="X831" s="683" t="n"/>
      <c r="Y831" s="683" t="n"/>
    </row>
    <row r="832">
      <c r="A832" s="683" t="n"/>
      <c r="B832" s="683" t="n"/>
      <c r="C832" s="683" t="n"/>
      <c r="D832" s="683" t="n"/>
      <c r="E832" s="683" t="n"/>
      <c r="F832" s="683" t="n"/>
      <c r="G832" s="683" t="n"/>
      <c r="H832" s="683" t="n"/>
      <c r="I832" s="683" t="n"/>
      <c r="J832" s="683" t="n"/>
      <c r="K832" s="683" t="n"/>
      <c r="L832" s="683" t="n"/>
      <c r="M832" s="683" t="n"/>
      <c r="N832" s="683" t="n"/>
      <c r="O832" s="683" t="n"/>
      <c r="P832" s="683" t="n"/>
      <c r="Q832" s="683" t="n"/>
      <c r="R832" s="683" t="n"/>
      <c r="S832" s="683" t="n"/>
      <c r="T832" s="683" t="n"/>
      <c r="U832" s="683" t="n"/>
      <c r="V832" s="683" t="n"/>
      <c r="W832" s="683" t="n"/>
      <c r="X832" s="683" t="n"/>
      <c r="Y832" s="683" t="n"/>
    </row>
    <row r="833">
      <c r="A833" s="683" t="n"/>
      <c r="B833" s="683" t="n"/>
      <c r="C833" s="683" t="n"/>
      <c r="D833" s="683" t="n"/>
      <c r="E833" s="683" t="n"/>
      <c r="F833" s="683" t="n"/>
      <c r="G833" s="683" t="n"/>
      <c r="H833" s="683" t="n"/>
      <c r="I833" s="683" t="n"/>
      <c r="J833" s="683" t="n"/>
      <c r="K833" s="683" t="n"/>
      <c r="L833" s="683" t="n"/>
      <c r="M833" s="683" t="n"/>
      <c r="N833" s="683" t="n"/>
      <c r="O833" s="683" t="n"/>
      <c r="P833" s="683" t="n"/>
      <c r="Q833" s="683" t="n"/>
      <c r="R833" s="683" t="n"/>
      <c r="S833" s="683" t="n"/>
      <c r="T833" s="683" t="n"/>
      <c r="U833" s="683" t="n"/>
      <c r="V833" s="683" t="n"/>
      <c r="W833" s="683" t="n"/>
      <c r="X833" s="683" t="n"/>
      <c r="Y833" s="683" t="n"/>
    </row>
    <row r="834">
      <c r="A834" s="683" t="n"/>
      <c r="B834" s="683" t="n"/>
      <c r="C834" s="683" t="n"/>
      <c r="D834" s="683" t="n"/>
      <c r="E834" s="683" t="n"/>
      <c r="F834" s="683" t="n"/>
      <c r="G834" s="683" t="n"/>
      <c r="H834" s="683" t="n"/>
      <c r="I834" s="683" t="n"/>
      <c r="J834" s="683" t="n"/>
      <c r="K834" s="683" t="n"/>
      <c r="L834" s="683" t="n"/>
      <c r="M834" s="683" t="n"/>
      <c r="N834" s="683" t="n"/>
      <c r="O834" s="683" t="n"/>
      <c r="P834" s="683" t="n"/>
      <c r="Q834" s="683" t="n"/>
      <c r="R834" s="683" t="n"/>
      <c r="S834" s="683" t="n"/>
      <c r="T834" s="683" t="n"/>
      <c r="U834" s="683" t="n"/>
      <c r="V834" s="683" t="n"/>
      <c r="W834" s="683" t="n"/>
      <c r="X834" s="683" t="n"/>
      <c r="Y834" s="683" t="n"/>
    </row>
    <row r="835">
      <c r="A835" s="683" t="n"/>
      <c r="B835" s="683" t="n"/>
      <c r="C835" s="683" t="n"/>
      <c r="D835" s="683" t="n"/>
      <c r="E835" s="683" t="n"/>
      <c r="F835" s="683" t="n"/>
      <c r="G835" s="683" t="n"/>
      <c r="H835" s="683" t="n"/>
      <c r="I835" s="683" t="n"/>
      <c r="J835" s="683" t="n"/>
      <c r="K835" s="683" t="n"/>
      <c r="L835" s="683" t="n"/>
      <c r="M835" s="683" t="n"/>
      <c r="N835" s="683" t="n"/>
      <c r="O835" s="683" t="n"/>
      <c r="P835" s="683" t="n"/>
      <c r="Q835" s="683" t="n"/>
      <c r="R835" s="683" t="n"/>
      <c r="S835" s="683" t="n"/>
      <c r="T835" s="683" t="n"/>
      <c r="U835" s="683" t="n"/>
      <c r="V835" s="683" t="n"/>
      <c r="W835" s="683" t="n"/>
      <c r="X835" s="683" t="n"/>
      <c r="Y835" s="683" t="n"/>
    </row>
    <row r="836">
      <c r="A836" s="683" t="n"/>
      <c r="B836" s="683" t="n"/>
      <c r="C836" s="683" t="n"/>
      <c r="D836" s="683" t="n"/>
      <c r="E836" s="683" t="n"/>
      <c r="F836" s="683" t="n"/>
      <c r="G836" s="683" t="n"/>
      <c r="H836" s="683" t="n"/>
      <c r="I836" s="683" t="n"/>
      <c r="J836" s="683" t="n"/>
      <c r="K836" s="683" t="n"/>
      <c r="L836" s="683" t="n"/>
      <c r="M836" s="683" t="n"/>
      <c r="N836" s="683" t="n"/>
      <c r="O836" s="683" t="n"/>
      <c r="P836" s="683" t="n"/>
      <c r="Q836" s="683" t="n"/>
      <c r="R836" s="683" t="n"/>
      <c r="S836" s="683" t="n"/>
      <c r="T836" s="683" t="n"/>
      <c r="U836" s="683" t="n"/>
      <c r="V836" s="683" t="n"/>
      <c r="W836" s="683" t="n"/>
      <c r="X836" s="683" t="n"/>
      <c r="Y836" s="683" t="n"/>
    </row>
    <row r="837">
      <c r="A837" s="683" t="n"/>
      <c r="B837" s="683" t="n"/>
      <c r="C837" s="683" t="n"/>
      <c r="D837" s="683" t="n"/>
      <c r="E837" s="683" t="n"/>
      <c r="F837" s="683" t="n"/>
      <c r="G837" s="683" t="n"/>
      <c r="H837" s="683" t="n"/>
      <c r="I837" s="683" t="n"/>
      <c r="J837" s="683" t="n"/>
      <c r="K837" s="683" t="n"/>
      <c r="L837" s="683" t="n"/>
      <c r="M837" s="683" t="n"/>
      <c r="N837" s="683" t="n"/>
      <c r="O837" s="683" t="n"/>
      <c r="P837" s="683" t="n"/>
      <c r="Q837" s="683" t="n"/>
      <c r="R837" s="683" t="n"/>
      <c r="S837" s="683" t="n"/>
      <c r="T837" s="683" t="n"/>
      <c r="U837" s="683" t="n"/>
      <c r="V837" s="683" t="n"/>
      <c r="W837" s="683" t="n"/>
      <c r="X837" s="683" t="n"/>
      <c r="Y837" s="683" t="n"/>
    </row>
    <row r="838">
      <c r="A838" s="683" t="n"/>
      <c r="B838" s="683" t="n"/>
      <c r="C838" s="683" t="n"/>
      <c r="D838" s="683" t="n"/>
      <c r="E838" s="683" t="n"/>
      <c r="F838" s="683" t="n"/>
      <c r="G838" s="683" t="n"/>
      <c r="H838" s="683" t="n"/>
      <c r="I838" s="683" t="n"/>
      <c r="J838" s="683" t="n"/>
      <c r="K838" s="683" t="n"/>
      <c r="L838" s="683" t="n"/>
      <c r="M838" s="683" t="n"/>
      <c r="N838" s="683" t="n"/>
      <c r="O838" s="683" t="n"/>
      <c r="P838" s="683" t="n"/>
      <c r="Q838" s="683" t="n"/>
      <c r="R838" s="683" t="n"/>
      <c r="S838" s="683" t="n"/>
      <c r="T838" s="683" t="n"/>
      <c r="U838" s="683" t="n"/>
      <c r="V838" s="683" t="n"/>
      <c r="W838" s="683" t="n"/>
      <c r="X838" s="683" t="n"/>
      <c r="Y838" s="683" t="n"/>
    </row>
    <row r="839">
      <c r="A839" s="683" t="n"/>
      <c r="B839" s="683" t="n"/>
      <c r="C839" s="683" t="n"/>
      <c r="D839" s="683" t="n"/>
      <c r="E839" s="683" t="n"/>
      <c r="F839" s="683" t="n"/>
      <c r="G839" s="683" t="n"/>
      <c r="H839" s="683" t="n"/>
      <c r="I839" s="683" t="n"/>
      <c r="J839" s="683" t="n"/>
      <c r="K839" s="683" t="n"/>
      <c r="L839" s="683" t="n"/>
      <c r="M839" s="683" t="n"/>
      <c r="N839" s="683" t="n"/>
      <c r="O839" s="683" t="n"/>
      <c r="P839" s="683" t="n"/>
      <c r="Q839" s="683" t="n"/>
      <c r="R839" s="683" t="n"/>
      <c r="S839" s="683" t="n"/>
      <c r="T839" s="683" t="n"/>
      <c r="U839" s="683" t="n"/>
      <c r="V839" s="683" t="n"/>
      <c r="W839" s="683" t="n"/>
      <c r="X839" s="683" t="n"/>
      <c r="Y839" s="683" t="n"/>
    </row>
    <row r="840">
      <c r="A840" s="683" t="n"/>
      <c r="B840" s="683" t="n"/>
      <c r="C840" s="683" t="n"/>
      <c r="D840" s="683" t="n"/>
      <c r="E840" s="683" t="n"/>
      <c r="F840" s="683" t="n"/>
      <c r="G840" s="683" t="n"/>
      <c r="H840" s="683" t="n"/>
      <c r="I840" s="683" t="n"/>
      <c r="J840" s="683" t="n"/>
      <c r="K840" s="683" t="n"/>
      <c r="L840" s="683" t="n"/>
      <c r="M840" s="683" t="n"/>
      <c r="N840" s="683" t="n"/>
      <c r="O840" s="683" t="n"/>
      <c r="P840" s="683" t="n"/>
      <c r="Q840" s="683" t="n"/>
      <c r="R840" s="683" t="n"/>
      <c r="S840" s="683" t="n"/>
      <c r="T840" s="683" t="n"/>
      <c r="U840" s="683" t="n"/>
      <c r="V840" s="683" t="n"/>
      <c r="W840" s="683" t="n"/>
      <c r="X840" s="683" t="n"/>
      <c r="Y840" s="683" t="n"/>
    </row>
    <row r="841">
      <c r="A841" s="683" t="n"/>
      <c r="B841" s="683" t="n"/>
      <c r="C841" s="683" t="n"/>
      <c r="D841" s="683" t="n"/>
      <c r="E841" s="683" t="n"/>
      <c r="F841" s="683" t="n"/>
      <c r="G841" s="683" t="n"/>
      <c r="H841" s="683" t="n"/>
      <c r="I841" s="683" t="n"/>
      <c r="J841" s="683" t="n"/>
      <c r="K841" s="683" t="n"/>
      <c r="L841" s="683" t="n"/>
      <c r="M841" s="683" t="n"/>
      <c r="N841" s="683" t="n"/>
      <c r="O841" s="683" t="n"/>
      <c r="P841" s="683" t="n"/>
      <c r="Q841" s="683" t="n"/>
      <c r="R841" s="683" t="n"/>
      <c r="S841" s="683" t="n"/>
      <c r="T841" s="683" t="n"/>
      <c r="U841" s="683" t="n"/>
      <c r="V841" s="683" t="n"/>
      <c r="W841" s="683" t="n"/>
      <c r="X841" s="683" t="n"/>
      <c r="Y841" s="683" t="n"/>
    </row>
    <row r="842">
      <c r="A842" s="683" t="n"/>
      <c r="B842" s="683" t="n"/>
      <c r="C842" s="683" t="n"/>
      <c r="D842" s="683" t="n"/>
      <c r="E842" s="683" t="n"/>
      <c r="F842" s="683" t="n"/>
      <c r="G842" s="683" t="n"/>
      <c r="H842" s="683" t="n"/>
      <c r="I842" s="683" t="n"/>
      <c r="J842" s="683" t="n"/>
      <c r="K842" s="683" t="n"/>
      <c r="L842" s="683" t="n"/>
      <c r="M842" s="683" t="n"/>
      <c r="N842" s="683" t="n"/>
      <c r="O842" s="683" t="n"/>
      <c r="P842" s="683" t="n"/>
      <c r="Q842" s="683" t="n"/>
      <c r="R842" s="683" t="n"/>
      <c r="S842" s="683" t="n"/>
      <c r="T842" s="683" t="n"/>
      <c r="U842" s="683" t="n"/>
      <c r="V842" s="683" t="n"/>
      <c r="W842" s="683" t="n"/>
      <c r="X842" s="683" t="n"/>
      <c r="Y842" s="683" t="n"/>
    </row>
    <row r="843">
      <c r="A843" s="683" t="n"/>
      <c r="B843" s="683" t="n"/>
      <c r="C843" s="683" t="n"/>
      <c r="D843" s="683" t="n"/>
      <c r="E843" s="683" t="n"/>
      <c r="F843" s="683" t="n"/>
      <c r="G843" s="683" t="n"/>
      <c r="H843" s="683" t="n"/>
      <c r="I843" s="683" t="n"/>
      <c r="J843" s="683" t="n"/>
      <c r="K843" s="683" t="n"/>
      <c r="L843" s="683" t="n"/>
      <c r="M843" s="683" t="n"/>
      <c r="N843" s="683" t="n"/>
      <c r="O843" s="683" t="n"/>
      <c r="P843" s="683" t="n"/>
      <c r="Q843" s="683" t="n"/>
      <c r="R843" s="683" t="n"/>
      <c r="S843" s="683" t="n"/>
      <c r="T843" s="683" t="n"/>
      <c r="U843" s="683" t="n"/>
      <c r="V843" s="683" t="n"/>
      <c r="W843" s="683" t="n"/>
      <c r="X843" s="683" t="n"/>
      <c r="Y843" s="683" t="n"/>
    </row>
    <row r="844">
      <c r="A844" s="683" t="n"/>
      <c r="B844" s="683" t="n"/>
      <c r="C844" s="683" t="n"/>
      <c r="D844" s="683" t="n"/>
      <c r="E844" s="683" t="n"/>
      <c r="F844" s="683" t="n"/>
      <c r="G844" s="683" t="n"/>
      <c r="H844" s="683" t="n"/>
      <c r="I844" s="683" t="n"/>
      <c r="J844" s="683" t="n"/>
      <c r="K844" s="683" t="n"/>
      <c r="L844" s="683" t="n"/>
      <c r="M844" s="683" t="n"/>
      <c r="N844" s="683" t="n"/>
      <c r="O844" s="683" t="n"/>
      <c r="P844" s="683" t="n"/>
      <c r="Q844" s="683" t="n"/>
      <c r="R844" s="683" t="n"/>
      <c r="S844" s="683" t="n"/>
      <c r="T844" s="683" t="n"/>
      <c r="U844" s="683" t="n"/>
      <c r="V844" s="683" t="n"/>
      <c r="W844" s="683" t="n"/>
      <c r="X844" s="683" t="n"/>
      <c r="Y844" s="683" t="n"/>
    </row>
    <row r="845">
      <c r="A845" s="683" t="n"/>
      <c r="B845" s="683" t="n"/>
      <c r="C845" s="683" t="n"/>
      <c r="D845" s="683" t="n"/>
      <c r="E845" s="683" t="n"/>
      <c r="F845" s="683" t="n"/>
      <c r="G845" s="683" t="n"/>
      <c r="H845" s="683" t="n"/>
      <c r="I845" s="683" t="n"/>
      <c r="J845" s="683" t="n"/>
      <c r="K845" s="683" t="n"/>
      <c r="L845" s="683" t="n"/>
      <c r="M845" s="683" t="n"/>
      <c r="N845" s="683" t="n"/>
      <c r="O845" s="683" t="n"/>
      <c r="P845" s="683" t="n"/>
      <c r="Q845" s="683" t="n"/>
      <c r="R845" s="683" t="n"/>
      <c r="S845" s="683" t="n"/>
      <c r="T845" s="683" t="n"/>
      <c r="U845" s="683" t="n"/>
      <c r="V845" s="683" t="n"/>
      <c r="W845" s="683" t="n"/>
      <c r="X845" s="683" t="n"/>
      <c r="Y845" s="683" t="n"/>
    </row>
    <row r="846">
      <c r="A846" s="683" t="n"/>
      <c r="B846" s="683" t="n"/>
      <c r="C846" s="683" t="n"/>
      <c r="D846" s="683" t="n"/>
      <c r="E846" s="683" t="n"/>
      <c r="F846" s="683" t="n"/>
      <c r="G846" s="683" t="n"/>
      <c r="H846" s="683" t="n"/>
      <c r="I846" s="683" t="n"/>
      <c r="J846" s="683" t="n"/>
      <c r="K846" s="683" t="n"/>
      <c r="L846" s="683" t="n"/>
      <c r="M846" s="683" t="n"/>
      <c r="N846" s="683" t="n"/>
      <c r="O846" s="683" t="n"/>
      <c r="P846" s="683" t="n"/>
      <c r="Q846" s="683" t="n"/>
      <c r="R846" s="683" t="n"/>
      <c r="S846" s="683" t="n"/>
      <c r="T846" s="683" t="n"/>
      <c r="U846" s="683" t="n"/>
      <c r="V846" s="683" t="n"/>
      <c r="W846" s="683" t="n"/>
      <c r="X846" s="683" t="n"/>
      <c r="Y846" s="683" t="n"/>
    </row>
    <row r="847">
      <c r="A847" s="683" t="n"/>
      <c r="B847" s="683" t="n"/>
      <c r="C847" s="683" t="n"/>
      <c r="D847" s="683" t="n"/>
      <c r="E847" s="683" t="n"/>
      <c r="F847" s="683" t="n"/>
      <c r="G847" s="683" t="n"/>
      <c r="H847" s="683" t="n"/>
      <c r="I847" s="683" t="n"/>
      <c r="J847" s="683" t="n"/>
      <c r="K847" s="683" t="n"/>
      <c r="L847" s="683" t="n"/>
      <c r="M847" s="683" t="n"/>
      <c r="N847" s="683" t="n"/>
      <c r="O847" s="683" t="n"/>
      <c r="P847" s="683" t="n"/>
      <c r="Q847" s="683" t="n"/>
      <c r="R847" s="683" t="n"/>
      <c r="S847" s="683" t="n"/>
      <c r="T847" s="683" t="n"/>
      <c r="U847" s="683" t="n"/>
      <c r="V847" s="683" t="n"/>
      <c r="W847" s="683" t="n"/>
      <c r="X847" s="683" t="n"/>
      <c r="Y847" s="683" t="n"/>
    </row>
    <row r="848">
      <c r="A848" s="683" t="n"/>
      <c r="B848" s="683" t="n"/>
      <c r="C848" s="683" t="n"/>
      <c r="D848" s="683" t="n"/>
      <c r="E848" s="683" t="n"/>
      <c r="F848" s="683" t="n"/>
      <c r="G848" s="683" t="n"/>
      <c r="H848" s="683" t="n"/>
      <c r="I848" s="683" t="n"/>
      <c r="J848" s="683" t="n"/>
      <c r="K848" s="683" t="n"/>
      <c r="L848" s="683" t="n"/>
      <c r="M848" s="683" t="n"/>
      <c r="N848" s="683" t="n"/>
      <c r="O848" s="683" t="n"/>
      <c r="P848" s="683" t="n"/>
      <c r="Q848" s="683" t="n"/>
      <c r="R848" s="683" t="n"/>
      <c r="S848" s="683" t="n"/>
      <c r="T848" s="683" t="n"/>
      <c r="U848" s="683" t="n"/>
      <c r="V848" s="683" t="n"/>
      <c r="W848" s="683" t="n"/>
      <c r="X848" s="683" t="n"/>
      <c r="Y848" s="683" t="n"/>
    </row>
    <row r="849">
      <c r="A849" s="683" t="n"/>
      <c r="B849" s="683" t="n"/>
      <c r="C849" s="683" t="n"/>
      <c r="D849" s="683" t="n"/>
      <c r="E849" s="683" t="n"/>
      <c r="F849" s="683" t="n"/>
      <c r="G849" s="683" t="n"/>
      <c r="H849" s="683" t="n"/>
      <c r="I849" s="683" t="n"/>
      <c r="J849" s="683" t="n"/>
      <c r="K849" s="683" t="n"/>
      <c r="L849" s="683" t="n"/>
      <c r="M849" s="683" t="n"/>
      <c r="N849" s="683" t="n"/>
      <c r="O849" s="683" t="n"/>
      <c r="P849" s="683" t="n"/>
      <c r="Q849" s="683" t="n"/>
      <c r="R849" s="683" t="n"/>
      <c r="S849" s="683" t="n"/>
      <c r="T849" s="683" t="n"/>
      <c r="U849" s="683" t="n"/>
      <c r="V849" s="683" t="n"/>
      <c r="W849" s="683" t="n"/>
      <c r="X849" s="683" t="n"/>
      <c r="Y849" s="683" t="n"/>
    </row>
    <row r="850">
      <c r="A850" s="683" t="n"/>
      <c r="B850" s="683" t="n"/>
      <c r="C850" s="683" t="n"/>
      <c r="D850" s="683" t="n"/>
      <c r="E850" s="683" t="n"/>
      <c r="F850" s="683" t="n"/>
      <c r="G850" s="683" t="n"/>
      <c r="H850" s="683" t="n"/>
      <c r="I850" s="683" t="n"/>
      <c r="J850" s="683" t="n"/>
      <c r="K850" s="683" t="n"/>
      <c r="L850" s="683" t="n"/>
      <c r="M850" s="683" t="n"/>
      <c r="N850" s="683" t="n"/>
      <c r="O850" s="683" t="n"/>
      <c r="P850" s="683" t="n"/>
      <c r="Q850" s="683" t="n"/>
      <c r="R850" s="683" t="n"/>
      <c r="S850" s="683" t="n"/>
      <c r="T850" s="683" t="n"/>
      <c r="U850" s="683" t="n"/>
      <c r="V850" s="683" t="n"/>
      <c r="W850" s="683" t="n"/>
      <c r="X850" s="683" t="n"/>
      <c r="Y850" s="683" t="n"/>
    </row>
    <row r="851">
      <c r="A851" s="683" t="n"/>
      <c r="B851" s="683" t="n"/>
      <c r="C851" s="683" t="n"/>
      <c r="D851" s="683" t="n"/>
      <c r="E851" s="683" t="n"/>
      <c r="F851" s="683" t="n"/>
      <c r="G851" s="683" t="n"/>
      <c r="H851" s="683" t="n"/>
      <c r="I851" s="683" t="n"/>
      <c r="J851" s="683" t="n"/>
      <c r="K851" s="683" t="n"/>
      <c r="L851" s="683" t="n"/>
      <c r="M851" s="683" t="n"/>
      <c r="N851" s="683" t="n"/>
      <c r="O851" s="683" t="n"/>
      <c r="P851" s="683" t="n"/>
      <c r="Q851" s="683" t="n"/>
      <c r="R851" s="683" t="n"/>
      <c r="S851" s="683" t="n"/>
      <c r="T851" s="683" t="n"/>
      <c r="U851" s="683" t="n"/>
      <c r="V851" s="683" t="n"/>
      <c r="W851" s="683" t="n"/>
      <c r="X851" s="683" t="n"/>
      <c r="Y851" s="683" t="n"/>
    </row>
    <row r="852">
      <c r="A852" s="683" t="n"/>
      <c r="B852" s="683" t="n"/>
      <c r="C852" s="683" t="n"/>
      <c r="D852" s="683" t="n"/>
      <c r="E852" s="683" t="n"/>
      <c r="F852" s="683" t="n"/>
      <c r="G852" s="683" t="n"/>
      <c r="H852" s="683" t="n"/>
      <c r="I852" s="683" t="n"/>
      <c r="J852" s="683" t="n"/>
      <c r="K852" s="683" t="n"/>
      <c r="L852" s="683" t="n"/>
      <c r="M852" s="683" t="n"/>
      <c r="N852" s="683" t="n"/>
      <c r="O852" s="683" t="n"/>
      <c r="P852" s="683" t="n"/>
      <c r="Q852" s="683" t="n"/>
      <c r="R852" s="683" t="n"/>
      <c r="S852" s="683" t="n"/>
      <c r="T852" s="683" t="n"/>
      <c r="U852" s="683" t="n"/>
      <c r="V852" s="683" t="n"/>
      <c r="W852" s="683" t="n"/>
      <c r="X852" s="683" t="n"/>
      <c r="Y852" s="683" t="n"/>
    </row>
    <row r="853">
      <c r="A853" s="683" t="n"/>
      <c r="B853" s="683" t="n"/>
      <c r="C853" s="683" t="n"/>
      <c r="D853" s="683" t="n"/>
      <c r="E853" s="683" t="n"/>
      <c r="F853" s="683" t="n"/>
      <c r="G853" s="683" t="n"/>
      <c r="H853" s="683" t="n"/>
      <c r="I853" s="683" t="n"/>
      <c r="J853" s="683" t="n"/>
      <c r="K853" s="683" t="n"/>
      <c r="L853" s="683" t="n"/>
      <c r="M853" s="683" t="n"/>
      <c r="N853" s="683" t="n"/>
      <c r="O853" s="683" t="n"/>
      <c r="P853" s="683" t="n"/>
      <c r="Q853" s="683" t="n"/>
      <c r="R853" s="683" t="n"/>
      <c r="S853" s="683" t="n"/>
      <c r="T853" s="683" t="n"/>
      <c r="U853" s="683" t="n"/>
      <c r="V853" s="683" t="n"/>
      <c r="W853" s="683" t="n"/>
      <c r="X853" s="683" t="n"/>
      <c r="Y853" s="683" t="n"/>
    </row>
    <row r="854">
      <c r="A854" s="683" t="n"/>
      <c r="B854" s="683" t="n"/>
      <c r="C854" s="683" t="n"/>
      <c r="D854" s="683" t="n"/>
      <c r="E854" s="683" t="n"/>
      <c r="F854" s="683" t="n"/>
      <c r="G854" s="683" t="n"/>
      <c r="H854" s="683" t="n"/>
      <c r="I854" s="683" t="n"/>
      <c r="J854" s="683" t="n"/>
      <c r="K854" s="683" t="n"/>
      <c r="L854" s="683" t="n"/>
      <c r="M854" s="683" t="n"/>
      <c r="N854" s="683" t="n"/>
      <c r="O854" s="683" t="n"/>
      <c r="P854" s="683" t="n"/>
      <c r="Q854" s="683" t="n"/>
      <c r="R854" s="683" t="n"/>
      <c r="S854" s="683" t="n"/>
      <c r="T854" s="683" t="n"/>
      <c r="U854" s="683" t="n"/>
      <c r="V854" s="683" t="n"/>
      <c r="W854" s="683" t="n"/>
      <c r="X854" s="683" t="n"/>
      <c r="Y854" s="683" t="n"/>
    </row>
    <row r="855">
      <c r="A855" s="683" t="n"/>
      <c r="B855" s="683" t="n"/>
      <c r="C855" s="683" t="n"/>
      <c r="D855" s="683" t="n"/>
      <c r="E855" s="683" t="n"/>
      <c r="F855" s="683" t="n"/>
      <c r="G855" s="683" t="n"/>
      <c r="H855" s="683" t="n"/>
      <c r="I855" s="683" t="n"/>
      <c r="J855" s="683" t="n"/>
      <c r="K855" s="683" t="n"/>
      <c r="L855" s="683" t="n"/>
      <c r="M855" s="683" t="n"/>
      <c r="N855" s="683" t="n"/>
      <c r="O855" s="683" t="n"/>
      <c r="P855" s="683" t="n"/>
      <c r="Q855" s="683" t="n"/>
      <c r="R855" s="683" t="n"/>
      <c r="S855" s="683" t="n"/>
      <c r="T855" s="683" t="n"/>
      <c r="U855" s="683" t="n"/>
      <c r="V855" s="683" t="n"/>
      <c r="W855" s="683" t="n"/>
      <c r="X855" s="683" t="n"/>
      <c r="Y855" s="683" t="n"/>
    </row>
    <row r="856">
      <c r="A856" s="683" t="n"/>
      <c r="B856" s="683" t="n"/>
      <c r="C856" s="683" t="n"/>
      <c r="D856" s="683" t="n"/>
      <c r="E856" s="683" t="n"/>
      <c r="F856" s="683" t="n"/>
      <c r="G856" s="683" t="n"/>
      <c r="H856" s="683" t="n"/>
      <c r="I856" s="683" t="n"/>
      <c r="J856" s="683" t="n"/>
      <c r="K856" s="683" t="n"/>
      <c r="L856" s="683" t="n"/>
      <c r="M856" s="683" t="n"/>
      <c r="N856" s="683" t="n"/>
      <c r="O856" s="683" t="n"/>
      <c r="P856" s="683" t="n"/>
      <c r="Q856" s="683" t="n"/>
      <c r="R856" s="683" t="n"/>
      <c r="S856" s="683" t="n"/>
      <c r="T856" s="683" t="n"/>
      <c r="U856" s="683" t="n"/>
      <c r="V856" s="683" t="n"/>
      <c r="W856" s="683" t="n"/>
      <c r="X856" s="683" t="n"/>
      <c r="Y856" s="683" t="n"/>
    </row>
    <row r="857">
      <c r="A857" s="683" t="n"/>
      <c r="B857" s="683" t="n"/>
      <c r="C857" s="683" t="n"/>
      <c r="D857" s="683" t="n"/>
      <c r="E857" s="683" t="n"/>
      <c r="F857" s="683" t="n"/>
      <c r="G857" s="683" t="n"/>
      <c r="H857" s="683" t="n"/>
      <c r="I857" s="683" t="n"/>
      <c r="J857" s="683" t="n"/>
      <c r="K857" s="683" t="n"/>
      <c r="L857" s="683" t="n"/>
      <c r="M857" s="683" t="n"/>
      <c r="N857" s="683" t="n"/>
      <c r="O857" s="683" t="n"/>
      <c r="P857" s="683" t="n"/>
      <c r="Q857" s="683" t="n"/>
      <c r="R857" s="683" t="n"/>
      <c r="S857" s="683" t="n"/>
      <c r="T857" s="683" t="n"/>
      <c r="U857" s="683" t="n"/>
      <c r="V857" s="683" t="n"/>
      <c r="W857" s="683" t="n"/>
      <c r="X857" s="683" t="n"/>
      <c r="Y857" s="683" t="n"/>
    </row>
    <row r="858">
      <c r="A858" s="683" t="n"/>
      <c r="B858" s="683" t="n"/>
      <c r="C858" s="683" t="n"/>
      <c r="D858" s="683" t="n"/>
      <c r="E858" s="683" t="n"/>
      <c r="F858" s="683" t="n"/>
      <c r="G858" s="683" t="n"/>
      <c r="H858" s="683" t="n"/>
      <c r="I858" s="683" t="n"/>
      <c r="J858" s="683" t="n"/>
      <c r="K858" s="683" t="n"/>
      <c r="L858" s="683" t="n"/>
      <c r="M858" s="683" t="n"/>
      <c r="N858" s="683" t="n"/>
      <c r="O858" s="683" t="n"/>
      <c r="P858" s="683" t="n"/>
      <c r="Q858" s="683" t="n"/>
      <c r="R858" s="683" t="n"/>
      <c r="S858" s="683" t="n"/>
      <c r="T858" s="683" t="n"/>
      <c r="U858" s="683" t="n"/>
      <c r="V858" s="683" t="n"/>
      <c r="W858" s="683" t="n"/>
      <c r="X858" s="683" t="n"/>
      <c r="Y858" s="683" t="n"/>
    </row>
    <row r="859">
      <c r="A859" s="683" t="n"/>
      <c r="B859" s="683" t="n"/>
      <c r="C859" s="683" t="n"/>
      <c r="D859" s="683" t="n"/>
      <c r="E859" s="683" t="n"/>
      <c r="F859" s="683" t="n"/>
      <c r="G859" s="683" t="n"/>
      <c r="H859" s="683" t="n"/>
      <c r="I859" s="683" t="n"/>
      <c r="J859" s="683" t="n"/>
      <c r="K859" s="683" t="n"/>
      <c r="L859" s="683" t="n"/>
      <c r="M859" s="683" t="n"/>
      <c r="N859" s="683" t="n"/>
      <c r="O859" s="683" t="n"/>
      <c r="P859" s="683" t="n"/>
      <c r="Q859" s="683" t="n"/>
      <c r="R859" s="683" t="n"/>
      <c r="S859" s="683" t="n"/>
      <c r="T859" s="683" t="n"/>
      <c r="U859" s="683" t="n"/>
      <c r="V859" s="683" t="n"/>
      <c r="W859" s="683" t="n"/>
      <c r="X859" s="683" t="n"/>
      <c r="Y859" s="683" t="n"/>
    </row>
    <row r="860">
      <c r="A860" s="683" t="n"/>
      <c r="B860" s="683" t="n"/>
      <c r="C860" s="683" t="n"/>
      <c r="D860" s="683" t="n"/>
      <c r="E860" s="683" t="n"/>
      <c r="F860" s="683" t="n"/>
      <c r="G860" s="683" t="n"/>
      <c r="H860" s="683" t="n"/>
      <c r="I860" s="683" t="n"/>
      <c r="J860" s="683" t="n"/>
      <c r="K860" s="683" t="n"/>
      <c r="L860" s="683" t="n"/>
      <c r="M860" s="683" t="n"/>
      <c r="N860" s="683" t="n"/>
      <c r="O860" s="683" t="n"/>
      <c r="P860" s="683" t="n"/>
      <c r="Q860" s="683" t="n"/>
      <c r="R860" s="683" t="n"/>
      <c r="S860" s="683" t="n"/>
      <c r="T860" s="683" t="n"/>
      <c r="U860" s="683" t="n"/>
      <c r="V860" s="683" t="n"/>
      <c r="W860" s="683" t="n"/>
      <c r="X860" s="683" t="n"/>
      <c r="Y860" s="683" t="n"/>
    </row>
    <row r="861">
      <c r="A861" s="683" t="n"/>
      <c r="B861" s="683" t="n"/>
      <c r="C861" s="683" t="n"/>
      <c r="D861" s="683" t="n"/>
      <c r="E861" s="683" t="n"/>
      <c r="F861" s="683" t="n"/>
      <c r="G861" s="683" t="n"/>
      <c r="H861" s="683" t="n"/>
      <c r="I861" s="683" t="n"/>
      <c r="J861" s="683" t="n"/>
      <c r="K861" s="683" t="n"/>
      <c r="L861" s="683" t="n"/>
      <c r="M861" s="683" t="n"/>
      <c r="N861" s="683" t="n"/>
      <c r="O861" s="683" t="n"/>
      <c r="P861" s="683" t="n"/>
      <c r="Q861" s="683" t="n"/>
      <c r="R861" s="683" t="n"/>
      <c r="S861" s="683" t="n"/>
      <c r="T861" s="683" t="n"/>
      <c r="U861" s="683" t="n"/>
      <c r="V861" s="683" t="n"/>
      <c r="W861" s="683" t="n"/>
      <c r="X861" s="683" t="n"/>
      <c r="Y861" s="683" t="n"/>
    </row>
    <row r="862">
      <c r="A862" s="683" t="n"/>
      <c r="B862" s="683" t="n"/>
      <c r="C862" s="683" t="n"/>
      <c r="D862" s="683" t="n"/>
      <c r="E862" s="683" t="n"/>
      <c r="F862" s="683" t="n"/>
      <c r="G862" s="683" t="n"/>
      <c r="H862" s="683" t="n"/>
      <c r="I862" s="683" t="n"/>
      <c r="J862" s="683" t="n"/>
      <c r="K862" s="683" t="n"/>
      <c r="L862" s="683" t="n"/>
      <c r="M862" s="683" t="n"/>
      <c r="N862" s="683" t="n"/>
      <c r="O862" s="683" t="n"/>
      <c r="P862" s="683" t="n"/>
      <c r="Q862" s="683" t="n"/>
      <c r="R862" s="683" t="n"/>
      <c r="S862" s="683" t="n"/>
      <c r="T862" s="683" t="n"/>
      <c r="U862" s="683" t="n"/>
      <c r="V862" s="683" t="n"/>
      <c r="W862" s="683" t="n"/>
      <c r="X862" s="683" t="n"/>
      <c r="Y862" s="683" t="n"/>
    </row>
    <row r="863">
      <c r="A863" s="683" t="n"/>
      <c r="B863" s="683" t="n"/>
      <c r="C863" s="683" t="n"/>
      <c r="D863" s="683" t="n"/>
      <c r="E863" s="683" t="n"/>
      <c r="F863" s="683" t="n"/>
      <c r="G863" s="683" t="n"/>
      <c r="H863" s="683" t="n"/>
      <c r="I863" s="683" t="n"/>
      <c r="J863" s="683" t="n"/>
      <c r="K863" s="683" t="n"/>
      <c r="L863" s="683" t="n"/>
      <c r="M863" s="683" t="n"/>
      <c r="N863" s="683" t="n"/>
      <c r="O863" s="683" t="n"/>
      <c r="P863" s="683" t="n"/>
      <c r="Q863" s="683" t="n"/>
      <c r="R863" s="683" t="n"/>
      <c r="S863" s="683" t="n"/>
      <c r="T863" s="683" t="n"/>
      <c r="U863" s="683" t="n"/>
      <c r="V863" s="683" t="n"/>
      <c r="W863" s="683" t="n"/>
      <c r="X863" s="683" t="n"/>
      <c r="Y863" s="683" t="n"/>
    </row>
    <row r="864">
      <c r="A864" s="683" t="n"/>
      <c r="B864" s="683" t="n"/>
      <c r="C864" s="683" t="n"/>
      <c r="D864" s="683" t="n"/>
      <c r="E864" s="683" t="n"/>
      <c r="F864" s="683" t="n"/>
      <c r="G864" s="683" t="n"/>
      <c r="H864" s="683" t="n"/>
      <c r="I864" s="683" t="n"/>
      <c r="J864" s="683" t="n"/>
      <c r="K864" s="683" t="n"/>
      <c r="L864" s="683" t="n"/>
      <c r="M864" s="683" t="n"/>
      <c r="N864" s="683" t="n"/>
      <c r="O864" s="683" t="n"/>
      <c r="P864" s="683" t="n"/>
      <c r="Q864" s="683" t="n"/>
      <c r="R864" s="683" t="n"/>
      <c r="S864" s="683" t="n"/>
      <c r="T864" s="683" t="n"/>
      <c r="U864" s="683" t="n"/>
      <c r="V864" s="683" t="n"/>
      <c r="W864" s="683" t="n"/>
      <c r="X864" s="683" t="n"/>
      <c r="Y864" s="683" t="n"/>
    </row>
    <row r="865">
      <c r="A865" s="683" t="n"/>
      <c r="B865" s="683" t="n"/>
      <c r="C865" s="683" t="n"/>
      <c r="D865" s="683" t="n"/>
      <c r="E865" s="683" t="n"/>
      <c r="F865" s="683" t="n"/>
      <c r="G865" s="683" t="n"/>
      <c r="H865" s="683" t="n"/>
      <c r="I865" s="683" t="n"/>
      <c r="J865" s="683" t="n"/>
      <c r="K865" s="683" t="n"/>
      <c r="L865" s="683" t="n"/>
      <c r="M865" s="683" t="n"/>
      <c r="N865" s="683" t="n"/>
      <c r="O865" s="683" t="n"/>
      <c r="P865" s="683" t="n"/>
      <c r="Q865" s="683" t="n"/>
      <c r="R865" s="683" t="n"/>
      <c r="S865" s="683" t="n"/>
      <c r="T865" s="683" t="n"/>
      <c r="U865" s="683" t="n"/>
      <c r="V865" s="683" t="n"/>
      <c r="W865" s="683" t="n"/>
      <c r="X865" s="683" t="n"/>
      <c r="Y865" s="683" t="n"/>
    </row>
    <row r="866">
      <c r="A866" s="683" t="n"/>
      <c r="B866" s="683" t="n"/>
      <c r="C866" s="683" t="n"/>
      <c r="D866" s="683" t="n"/>
      <c r="E866" s="683" t="n"/>
      <c r="F866" s="683" t="n"/>
      <c r="G866" s="683" t="n"/>
      <c r="H866" s="683" t="n"/>
      <c r="I866" s="683" t="n"/>
      <c r="J866" s="683" t="n"/>
      <c r="K866" s="683" t="n"/>
      <c r="L866" s="683" t="n"/>
      <c r="M866" s="683" t="n"/>
      <c r="N866" s="683" t="n"/>
      <c r="O866" s="683" t="n"/>
      <c r="P866" s="683" t="n"/>
      <c r="Q866" s="683" t="n"/>
      <c r="R866" s="683" t="n"/>
      <c r="S866" s="683" t="n"/>
      <c r="T866" s="683" t="n"/>
      <c r="U866" s="683" t="n"/>
      <c r="V866" s="683" t="n"/>
      <c r="W866" s="683" t="n"/>
      <c r="X866" s="683" t="n"/>
      <c r="Y866" s="683" t="n"/>
    </row>
    <row r="867">
      <c r="A867" s="683" t="n"/>
      <c r="B867" s="683" t="n"/>
      <c r="C867" s="683" t="n"/>
      <c r="D867" s="683" t="n"/>
      <c r="E867" s="683" t="n"/>
      <c r="F867" s="683" t="n"/>
      <c r="G867" s="683" t="n"/>
      <c r="H867" s="683" t="n"/>
      <c r="I867" s="683" t="n"/>
      <c r="J867" s="683" t="n"/>
      <c r="K867" s="683" t="n"/>
      <c r="L867" s="683" t="n"/>
      <c r="M867" s="683" t="n"/>
      <c r="N867" s="683" t="n"/>
      <c r="O867" s="683" t="n"/>
      <c r="P867" s="683" t="n"/>
      <c r="Q867" s="683" t="n"/>
      <c r="R867" s="683" t="n"/>
      <c r="S867" s="683" t="n"/>
      <c r="T867" s="683" t="n"/>
      <c r="U867" s="683" t="n"/>
      <c r="V867" s="683" t="n"/>
      <c r="W867" s="683" t="n"/>
      <c r="X867" s="683" t="n"/>
      <c r="Y867" s="683" t="n"/>
    </row>
    <row r="868">
      <c r="A868" s="683" t="n"/>
      <c r="B868" s="683" t="n"/>
      <c r="C868" s="683" t="n"/>
      <c r="D868" s="683" t="n"/>
      <c r="E868" s="683" t="n"/>
      <c r="F868" s="683" t="n"/>
      <c r="G868" s="683" t="n"/>
      <c r="H868" s="683" t="n"/>
      <c r="I868" s="683" t="n"/>
      <c r="J868" s="683" t="n"/>
      <c r="K868" s="683" t="n"/>
      <c r="L868" s="683" t="n"/>
      <c r="M868" s="683" t="n"/>
      <c r="N868" s="683" t="n"/>
      <c r="O868" s="683" t="n"/>
      <c r="P868" s="683" t="n"/>
      <c r="Q868" s="683" t="n"/>
      <c r="R868" s="683" t="n"/>
      <c r="S868" s="683" t="n"/>
      <c r="T868" s="683" t="n"/>
      <c r="U868" s="683" t="n"/>
      <c r="V868" s="683" t="n"/>
      <c r="W868" s="683" t="n"/>
      <c r="X868" s="683" t="n"/>
      <c r="Y868" s="683" t="n"/>
    </row>
    <row r="869">
      <c r="A869" s="683" t="n"/>
      <c r="B869" s="683" t="n"/>
      <c r="C869" s="683" t="n"/>
      <c r="D869" s="683" t="n"/>
      <c r="E869" s="683" t="n"/>
      <c r="F869" s="683" t="n"/>
      <c r="G869" s="683" t="n"/>
      <c r="H869" s="683" t="n"/>
      <c r="I869" s="683" t="n"/>
      <c r="J869" s="683" t="n"/>
      <c r="K869" s="683" t="n"/>
      <c r="L869" s="683" t="n"/>
      <c r="M869" s="683" t="n"/>
      <c r="N869" s="683" t="n"/>
      <c r="O869" s="683" t="n"/>
      <c r="P869" s="683" t="n"/>
      <c r="Q869" s="683" t="n"/>
      <c r="R869" s="683" t="n"/>
      <c r="S869" s="683" t="n"/>
      <c r="T869" s="683" t="n"/>
      <c r="U869" s="683" t="n"/>
      <c r="V869" s="683" t="n"/>
      <c r="W869" s="683" t="n"/>
      <c r="X869" s="683" t="n"/>
      <c r="Y869" s="683" t="n"/>
    </row>
    <row r="870">
      <c r="A870" s="683" t="n"/>
      <c r="B870" s="683" t="n"/>
      <c r="C870" s="683" t="n"/>
      <c r="D870" s="683" t="n"/>
      <c r="E870" s="683" t="n"/>
      <c r="F870" s="683" t="n"/>
      <c r="G870" s="683" t="n"/>
      <c r="H870" s="683" t="n"/>
      <c r="I870" s="683" t="n"/>
      <c r="J870" s="683" t="n"/>
      <c r="K870" s="683" t="n"/>
      <c r="L870" s="683" t="n"/>
      <c r="M870" s="683" t="n"/>
      <c r="N870" s="683" t="n"/>
      <c r="O870" s="683" t="n"/>
      <c r="P870" s="683" t="n"/>
      <c r="Q870" s="683" t="n"/>
      <c r="R870" s="683" t="n"/>
      <c r="S870" s="683" t="n"/>
      <c r="T870" s="683" t="n"/>
      <c r="U870" s="683" t="n"/>
      <c r="V870" s="683" t="n"/>
      <c r="W870" s="683" t="n"/>
      <c r="X870" s="683" t="n"/>
      <c r="Y870" s="683" t="n"/>
    </row>
    <row r="871">
      <c r="A871" s="683" t="n"/>
      <c r="B871" s="683" t="n"/>
      <c r="C871" s="683" t="n"/>
      <c r="D871" s="683" t="n"/>
      <c r="E871" s="683" t="n"/>
      <c r="F871" s="683" t="n"/>
      <c r="G871" s="683" t="n"/>
      <c r="H871" s="683" t="n"/>
      <c r="I871" s="683" t="n"/>
      <c r="J871" s="683" t="n"/>
      <c r="K871" s="683" t="n"/>
      <c r="L871" s="683" t="n"/>
      <c r="M871" s="683" t="n"/>
      <c r="N871" s="683" t="n"/>
      <c r="O871" s="683" t="n"/>
      <c r="P871" s="683" t="n"/>
      <c r="Q871" s="683" t="n"/>
      <c r="R871" s="683" t="n"/>
      <c r="S871" s="683" t="n"/>
      <c r="T871" s="683" t="n"/>
      <c r="U871" s="683" t="n"/>
      <c r="V871" s="683" t="n"/>
      <c r="W871" s="683" t="n"/>
      <c r="X871" s="683" t="n"/>
      <c r="Y871" s="683" t="n"/>
    </row>
    <row r="872">
      <c r="A872" s="683" t="n"/>
      <c r="B872" s="683" t="n"/>
      <c r="C872" s="683" t="n"/>
      <c r="D872" s="683" t="n"/>
      <c r="E872" s="683" t="n"/>
      <c r="F872" s="683" t="n"/>
      <c r="G872" s="683" t="n"/>
      <c r="H872" s="683" t="n"/>
      <c r="I872" s="683" t="n"/>
      <c r="J872" s="683" t="n"/>
      <c r="K872" s="683" t="n"/>
      <c r="L872" s="683" t="n"/>
      <c r="M872" s="683" t="n"/>
      <c r="N872" s="683" t="n"/>
      <c r="O872" s="683" t="n"/>
      <c r="P872" s="683" t="n"/>
      <c r="Q872" s="683" t="n"/>
      <c r="R872" s="683" t="n"/>
      <c r="S872" s="683" t="n"/>
      <c r="T872" s="683" t="n"/>
      <c r="U872" s="683" t="n"/>
      <c r="V872" s="683" t="n"/>
      <c r="W872" s="683" t="n"/>
      <c r="X872" s="683" t="n"/>
      <c r="Y872" s="683" t="n"/>
    </row>
    <row r="873">
      <c r="A873" s="683" t="n"/>
      <c r="B873" s="683" t="n"/>
      <c r="C873" s="683" t="n"/>
      <c r="D873" s="683" t="n"/>
      <c r="E873" s="683" t="n"/>
      <c r="F873" s="683" t="n"/>
      <c r="G873" s="683" t="n"/>
      <c r="H873" s="683" t="n"/>
      <c r="I873" s="683" t="n"/>
      <c r="J873" s="683" t="n"/>
      <c r="K873" s="683" t="n"/>
      <c r="L873" s="683" t="n"/>
      <c r="M873" s="683" t="n"/>
      <c r="N873" s="683" t="n"/>
      <c r="O873" s="683" t="n"/>
      <c r="P873" s="683" t="n"/>
      <c r="Q873" s="683" t="n"/>
      <c r="R873" s="683" t="n"/>
      <c r="S873" s="683" t="n"/>
      <c r="T873" s="683" t="n"/>
      <c r="U873" s="683" t="n"/>
      <c r="V873" s="683" t="n"/>
      <c r="W873" s="683" t="n"/>
      <c r="X873" s="683" t="n"/>
      <c r="Y873" s="683" t="n"/>
    </row>
    <row r="874">
      <c r="A874" s="683" t="n"/>
      <c r="B874" s="683" t="n"/>
      <c r="C874" s="683" t="n"/>
      <c r="D874" s="683" t="n"/>
      <c r="E874" s="683" t="n"/>
      <c r="F874" s="683" t="n"/>
      <c r="G874" s="683" t="n"/>
      <c r="H874" s="683" t="n"/>
      <c r="I874" s="683" t="n"/>
      <c r="J874" s="683" t="n"/>
      <c r="K874" s="683" t="n"/>
      <c r="L874" s="683" t="n"/>
      <c r="M874" s="683" t="n"/>
      <c r="N874" s="683" t="n"/>
      <c r="O874" s="683" t="n"/>
      <c r="P874" s="683" t="n"/>
      <c r="Q874" s="683" t="n"/>
      <c r="R874" s="683" t="n"/>
      <c r="S874" s="683" t="n"/>
      <c r="T874" s="683" t="n"/>
      <c r="U874" s="683" t="n"/>
      <c r="V874" s="683" t="n"/>
      <c r="W874" s="683" t="n"/>
      <c r="X874" s="683" t="n"/>
      <c r="Y874" s="683" t="n"/>
    </row>
    <row r="875">
      <c r="A875" s="683" t="n"/>
      <c r="B875" s="683" t="n"/>
      <c r="C875" s="683" t="n"/>
      <c r="D875" s="683" t="n"/>
      <c r="E875" s="683" t="n"/>
      <c r="F875" s="683" t="n"/>
      <c r="G875" s="683" t="n"/>
      <c r="H875" s="683" t="n"/>
      <c r="I875" s="683" t="n"/>
      <c r="J875" s="683" t="n"/>
      <c r="K875" s="683" t="n"/>
      <c r="L875" s="683" t="n"/>
      <c r="M875" s="683" t="n"/>
      <c r="N875" s="683" t="n"/>
      <c r="O875" s="683" t="n"/>
      <c r="P875" s="683" t="n"/>
      <c r="Q875" s="683" t="n"/>
      <c r="R875" s="683" t="n"/>
      <c r="S875" s="683" t="n"/>
      <c r="T875" s="683" t="n"/>
      <c r="U875" s="683" t="n"/>
      <c r="V875" s="683" t="n"/>
      <c r="W875" s="683" t="n"/>
      <c r="X875" s="683" t="n"/>
      <c r="Y875" s="683" t="n"/>
    </row>
    <row r="876">
      <c r="A876" s="683" t="n"/>
      <c r="B876" s="683" t="n"/>
      <c r="C876" s="683" t="n"/>
      <c r="D876" s="683" t="n"/>
      <c r="E876" s="683" t="n"/>
      <c r="F876" s="683" t="n"/>
      <c r="G876" s="683" t="n"/>
      <c r="H876" s="683" t="n"/>
      <c r="I876" s="683" t="n"/>
      <c r="J876" s="683" t="n"/>
      <c r="K876" s="683" t="n"/>
      <c r="L876" s="683" t="n"/>
      <c r="M876" s="683" t="n"/>
      <c r="N876" s="683" t="n"/>
      <c r="O876" s="683" t="n"/>
      <c r="P876" s="683" t="n"/>
      <c r="Q876" s="683" t="n"/>
      <c r="R876" s="683" t="n"/>
      <c r="S876" s="683" t="n"/>
      <c r="T876" s="683" t="n"/>
      <c r="U876" s="683" t="n"/>
      <c r="V876" s="683" t="n"/>
      <c r="W876" s="683" t="n"/>
      <c r="X876" s="683" t="n"/>
      <c r="Y876" s="683" t="n"/>
    </row>
    <row r="877">
      <c r="A877" s="683" t="n"/>
      <c r="B877" s="683" t="n"/>
      <c r="C877" s="683" t="n"/>
      <c r="D877" s="683" t="n"/>
      <c r="E877" s="683" t="n"/>
      <c r="F877" s="683" t="n"/>
      <c r="G877" s="683" t="n"/>
      <c r="H877" s="683" t="n"/>
      <c r="I877" s="683" t="n"/>
      <c r="J877" s="683" t="n"/>
      <c r="K877" s="683" t="n"/>
      <c r="L877" s="683" t="n"/>
      <c r="M877" s="683" t="n"/>
      <c r="N877" s="683" t="n"/>
      <c r="O877" s="683" t="n"/>
      <c r="P877" s="683" t="n"/>
      <c r="Q877" s="683" t="n"/>
      <c r="R877" s="683" t="n"/>
      <c r="S877" s="683" t="n"/>
      <c r="T877" s="683" t="n"/>
      <c r="U877" s="683" t="n"/>
      <c r="V877" s="683" t="n"/>
      <c r="W877" s="683" t="n"/>
      <c r="X877" s="683" t="n"/>
      <c r="Y877" s="683" t="n"/>
    </row>
    <row r="878">
      <c r="A878" s="683" t="n"/>
      <c r="B878" s="683" t="n"/>
      <c r="C878" s="683" t="n"/>
      <c r="D878" s="683" t="n"/>
      <c r="E878" s="683" t="n"/>
      <c r="F878" s="683" t="n"/>
      <c r="G878" s="683" t="n"/>
      <c r="H878" s="683" t="n"/>
      <c r="I878" s="683" t="n"/>
      <c r="J878" s="683" t="n"/>
      <c r="K878" s="683" t="n"/>
      <c r="L878" s="683" t="n"/>
      <c r="M878" s="683" t="n"/>
      <c r="N878" s="683" t="n"/>
      <c r="O878" s="683" t="n"/>
      <c r="P878" s="683" t="n"/>
      <c r="Q878" s="683" t="n"/>
      <c r="R878" s="683" t="n"/>
      <c r="S878" s="683" t="n"/>
      <c r="T878" s="683" t="n"/>
      <c r="U878" s="683" t="n"/>
      <c r="V878" s="683" t="n"/>
      <c r="W878" s="683" t="n"/>
      <c r="X878" s="683" t="n"/>
      <c r="Y878" s="683" t="n"/>
    </row>
    <row r="879">
      <c r="A879" s="683" t="n"/>
      <c r="B879" s="683" t="n"/>
      <c r="C879" s="683" t="n"/>
      <c r="D879" s="683" t="n"/>
      <c r="E879" s="683" t="n"/>
      <c r="F879" s="683" t="n"/>
      <c r="G879" s="683" t="n"/>
      <c r="H879" s="683" t="n"/>
      <c r="I879" s="683" t="n"/>
      <c r="J879" s="683" t="n"/>
      <c r="K879" s="683" t="n"/>
      <c r="L879" s="683" t="n"/>
      <c r="M879" s="683" t="n"/>
      <c r="N879" s="683" t="n"/>
      <c r="O879" s="683" t="n"/>
      <c r="P879" s="683" t="n"/>
      <c r="Q879" s="683" t="n"/>
      <c r="R879" s="683" t="n"/>
      <c r="S879" s="683" t="n"/>
      <c r="T879" s="683" t="n"/>
      <c r="U879" s="683" t="n"/>
      <c r="V879" s="683" t="n"/>
      <c r="W879" s="683" t="n"/>
      <c r="X879" s="683" t="n"/>
      <c r="Y879" s="683" t="n"/>
    </row>
    <row r="880">
      <c r="A880" s="683" t="n"/>
      <c r="B880" s="683" t="n"/>
      <c r="C880" s="683" t="n"/>
      <c r="D880" s="683" t="n"/>
      <c r="E880" s="683" t="n"/>
      <c r="F880" s="683" t="n"/>
      <c r="G880" s="683" t="n"/>
      <c r="H880" s="683" t="n"/>
      <c r="I880" s="683" t="n"/>
      <c r="J880" s="683" t="n"/>
      <c r="K880" s="683" t="n"/>
      <c r="L880" s="683" t="n"/>
      <c r="M880" s="683" t="n"/>
      <c r="N880" s="683" t="n"/>
      <c r="O880" s="683" t="n"/>
      <c r="P880" s="683" t="n"/>
      <c r="Q880" s="683" t="n"/>
      <c r="R880" s="683" t="n"/>
      <c r="S880" s="683" t="n"/>
      <c r="T880" s="683" t="n"/>
      <c r="U880" s="683" t="n"/>
      <c r="V880" s="683" t="n"/>
      <c r="W880" s="683" t="n"/>
      <c r="X880" s="683" t="n"/>
      <c r="Y880" s="683" t="n"/>
    </row>
    <row r="881">
      <c r="A881" s="683" t="n"/>
      <c r="B881" s="683" t="n"/>
      <c r="C881" s="683" t="n"/>
      <c r="D881" s="683" t="n"/>
      <c r="E881" s="683" t="n"/>
      <c r="F881" s="683" t="n"/>
      <c r="G881" s="683" t="n"/>
      <c r="H881" s="683" t="n"/>
      <c r="I881" s="683" t="n"/>
      <c r="J881" s="683" t="n"/>
      <c r="K881" s="683" t="n"/>
      <c r="L881" s="683" t="n"/>
      <c r="M881" s="683" t="n"/>
      <c r="N881" s="683" t="n"/>
      <c r="O881" s="683" t="n"/>
      <c r="P881" s="683" t="n"/>
      <c r="Q881" s="683" t="n"/>
      <c r="R881" s="683" t="n"/>
      <c r="S881" s="683" t="n"/>
      <c r="T881" s="683" t="n"/>
      <c r="U881" s="683" t="n"/>
      <c r="V881" s="683" t="n"/>
      <c r="W881" s="683" t="n"/>
      <c r="X881" s="683" t="n"/>
      <c r="Y881" s="683" t="n"/>
    </row>
    <row r="882">
      <c r="A882" s="683" t="n"/>
      <c r="B882" s="683" t="n"/>
      <c r="C882" s="683" t="n"/>
      <c r="D882" s="683" t="n"/>
      <c r="E882" s="683" t="n"/>
      <c r="F882" s="683" t="n"/>
      <c r="G882" s="683" t="n"/>
      <c r="H882" s="683" t="n"/>
      <c r="I882" s="683" t="n"/>
      <c r="J882" s="683" t="n"/>
      <c r="K882" s="683" t="n"/>
      <c r="L882" s="683" t="n"/>
      <c r="M882" s="683" t="n"/>
      <c r="N882" s="683" t="n"/>
      <c r="O882" s="683" t="n"/>
      <c r="P882" s="683" t="n"/>
      <c r="Q882" s="683" t="n"/>
      <c r="R882" s="683" t="n"/>
      <c r="S882" s="683" t="n"/>
      <c r="T882" s="683" t="n"/>
      <c r="U882" s="683" t="n"/>
      <c r="V882" s="683" t="n"/>
      <c r="W882" s="683" t="n"/>
      <c r="X882" s="683" t="n"/>
      <c r="Y882" s="683" t="n"/>
    </row>
    <row r="883">
      <c r="A883" s="683" t="n"/>
      <c r="B883" s="683" t="n"/>
      <c r="C883" s="683" t="n"/>
      <c r="D883" s="683" t="n"/>
      <c r="E883" s="683" t="n"/>
      <c r="F883" s="683" t="n"/>
      <c r="G883" s="683" t="n"/>
      <c r="H883" s="683" t="n"/>
      <c r="I883" s="683" t="n"/>
      <c r="J883" s="683" t="n"/>
      <c r="K883" s="683" t="n"/>
      <c r="L883" s="683" t="n"/>
      <c r="M883" s="683" t="n"/>
      <c r="N883" s="683" t="n"/>
      <c r="O883" s="683" t="n"/>
      <c r="P883" s="683" t="n"/>
      <c r="Q883" s="683" t="n"/>
      <c r="R883" s="683" t="n"/>
      <c r="S883" s="683" t="n"/>
      <c r="T883" s="683" t="n"/>
      <c r="U883" s="683" t="n"/>
      <c r="V883" s="683" t="n"/>
      <c r="W883" s="683" t="n"/>
      <c r="X883" s="683" t="n"/>
      <c r="Y883" s="683" t="n"/>
    </row>
    <row r="884">
      <c r="A884" s="683" t="n"/>
      <c r="B884" s="683" t="n"/>
      <c r="C884" s="683" t="n"/>
      <c r="D884" s="683" t="n"/>
      <c r="E884" s="683" t="n"/>
      <c r="F884" s="683" t="n"/>
      <c r="G884" s="683" t="n"/>
      <c r="H884" s="683" t="n"/>
      <c r="I884" s="683" t="n"/>
      <c r="J884" s="683" t="n"/>
      <c r="K884" s="683" t="n"/>
      <c r="L884" s="683" t="n"/>
      <c r="M884" s="683" t="n"/>
      <c r="N884" s="683" t="n"/>
      <c r="O884" s="683" t="n"/>
      <c r="P884" s="683" t="n"/>
      <c r="Q884" s="683" t="n"/>
      <c r="R884" s="683" t="n"/>
      <c r="S884" s="683" t="n"/>
      <c r="T884" s="683" t="n"/>
      <c r="U884" s="683" t="n"/>
      <c r="V884" s="683" t="n"/>
      <c r="W884" s="683" t="n"/>
      <c r="X884" s="683" t="n"/>
      <c r="Y884" s="683" t="n"/>
    </row>
    <row r="885">
      <c r="A885" s="683" t="n"/>
      <c r="B885" s="683" t="n"/>
      <c r="C885" s="683" t="n"/>
      <c r="D885" s="683" t="n"/>
      <c r="E885" s="683" t="n"/>
      <c r="F885" s="683" t="n"/>
      <c r="G885" s="683" t="n"/>
      <c r="H885" s="683" t="n"/>
      <c r="I885" s="683" t="n"/>
      <c r="J885" s="683" t="n"/>
      <c r="K885" s="683" t="n"/>
      <c r="L885" s="683" t="n"/>
      <c r="M885" s="683" t="n"/>
      <c r="N885" s="683" t="n"/>
      <c r="O885" s="683" t="n"/>
      <c r="P885" s="683" t="n"/>
      <c r="Q885" s="683" t="n"/>
      <c r="R885" s="683" t="n"/>
      <c r="S885" s="683" t="n"/>
      <c r="T885" s="683" t="n"/>
      <c r="U885" s="683" t="n"/>
      <c r="V885" s="683" t="n"/>
      <c r="W885" s="683" t="n"/>
      <c r="X885" s="683" t="n"/>
      <c r="Y885" s="683" t="n"/>
    </row>
    <row r="886">
      <c r="A886" s="683" t="n"/>
      <c r="B886" s="683" t="n"/>
      <c r="C886" s="683" t="n"/>
      <c r="D886" s="683" t="n"/>
      <c r="E886" s="683" t="n"/>
      <c r="F886" s="683" t="n"/>
      <c r="G886" s="683" t="n"/>
      <c r="H886" s="683" t="n"/>
      <c r="I886" s="683" t="n"/>
      <c r="J886" s="683" t="n"/>
      <c r="K886" s="683" t="n"/>
      <c r="L886" s="683" t="n"/>
      <c r="M886" s="683" t="n"/>
      <c r="N886" s="683" t="n"/>
      <c r="O886" s="683" t="n"/>
      <c r="P886" s="683" t="n"/>
      <c r="Q886" s="683" t="n"/>
      <c r="R886" s="683" t="n"/>
      <c r="S886" s="683" t="n"/>
      <c r="T886" s="683" t="n"/>
      <c r="U886" s="683" t="n"/>
      <c r="V886" s="683" t="n"/>
      <c r="W886" s="683" t="n"/>
      <c r="X886" s="683" t="n"/>
      <c r="Y886" s="683" t="n"/>
    </row>
    <row r="887">
      <c r="A887" s="683" t="n"/>
      <c r="B887" s="683" t="n"/>
      <c r="C887" s="683" t="n"/>
      <c r="D887" s="683" t="n"/>
      <c r="E887" s="683" t="n"/>
      <c r="F887" s="683" t="n"/>
      <c r="G887" s="683" t="n"/>
      <c r="H887" s="683" t="n"/>
      <c r="I887" s="683" t="n"/>
      <c r="J887" s="683" t="n"/>
      <c r="K887" s="683" t="n"/>
      <c r="L887" s="683" t="n"/>
      <c r="M887" s="683" t="n"/>
      <c r="N887" s="683" t="n"/>
      <c r="O887" s="683" t="n"/>
      <c r="P887" s="683" t="n"/>
      <c r="Q887" s="683" t="n"/>
      <c r="R887" s="683" t="n"/>
      <c r="S887" s="683" t="n"/>
      <c r="T887" s="683" t="n"/>
      <c r="U887" s="683" t="n"/>
      <c r="V887" s="683" t="n"/>
      <c r="W887" s="683" t="n"/>
      <c r="X887" s="683" t="n"/>
      <c r="Y887" s="683" t="n"/>
    </row>
    <row r="888">
      <c r="A888" s="683" t="n"/>
      <c r="B888" s="683" t="n"/>
      <c r="C888" s="683" t="n"/>
      <c r="D888" s="683" t="n"/>
      <c r="E888" s="683" t="n"/>
      <c r="F888" s="683" t="n"/>
      <c r="G888" s="683" t="n"/>
      <c r="H888" s="683" t="n"/>
      <c r="I888" s="683" t="n"/>
      <c r="J888" s="683" t="n"/>
      <c r="K888" s="683" t="n"/>
      <c r="L888" s="683" t="n"/>
      <c r="M888" s="683" t="n"/>
      <c r="N888" s="683" t="n"/>
      <c r="O888" s="683" t="n"/>
      <c r="P888" s="683" t="n"/>
      <c r="Q888" s="683" t="n"/>
      <c r="R888" s="683" t="n"/>
      <c r="S888" s="683" t="n"/>
      <c r="T888" s="683" t="n"/>
      <c r="U888" s="683" t="n"/>
      <c r="V888" s="683" t="n"/>
      <c r="W888" s="683" t="n"/>
      <c r="X888" s="683" t="n"/>
      <c r="Y888" s="683" t="n"/>
    </row>
    <row r="889">
      <c r="A889" s="683" t="n"/>
      <c r="B889" s="683" t="n"/>
      <c r="C889" s="683" t="n"/>
      <c r="D889" s="683" t="n"/>
      <c r="E889" s="683" t="n"/>
      <c r="F889" s="683" t="n"/>
      <c r="G889" s="683" t="n"/>
      <c r="H889" s="683" t="n"/>
      <c r="I889" s="683" t="n"/>
      <c r="J889" s="683" t="n"/>
      <c r="K889" s="683" t="n"/>
      <c r="L889" s="683" t="n"/>
      <c r="M889" s="683" t="n"/>
      <c r="N889" s="683" t="n"/>
      <c r="O889" s="683" t="n"/>
      <c r="P889" s="683" t="n"/>
      <c r="Q889" s="683" t="n"/>
      <c r="R889" s="683" t="n"/>
      <c r="S889" s="683" t="n"/>
      <c r="T889" s="683" t="n"/>
      <c r="U889" s="683" t="n"/>
      <c r="V889" s="683" t="n"/>
      <c r="W889" s="683" t="n"/>
      <c r="X889" s="683" t="n"/>
      <c r="Y889" s="683" t="n"/>
    </row>
    <row r="890">
      <c r="A890" s="683" t="n"/>
      <c r="B890" s="683" t="n"/>
      <c r="C890" s="683" t="n"/>
      <c r="D890" s="683" t="n"/>
      <c r="E890" s="683" t="n"/>
      <c r="F890" s="683" t="n"/>
      <c r="G890" s="683" t="n"/>
      <c r="H890" s="683" t="n"/>
      <c r="I890" s="683" t="n"/>
      <c r="J890" s="683" t="n"/>
      <c r="K890" s="683" t="n"/>
      <c r="L890" s="683" t="n"/>
      <c r="M890" s="683" t="n"/>
      <c r="N890" s="683" t="n"/>
      <c r="O890" s="683" t="n"/>
      <c r="P890" s="683" t="n"/>
      <c r="Q890" s="683" t="n"/>
      <c r="R890" s="683" t="n"/>
      <c r="S890" s="683" t="n"/>
      <c r="T890" s="683" t="n"/>
      <c r="U890" s="683" t="n"/>
      <c r="V890" s="683" t="n"/>
      <c r="W890" s="683" t="n"/>
      <c r="X890" s="683" t="n"/>
      <c r="Y890" s="683" t="n"/>
    </row>
    <row r="891">
      <c r="A891" s="683" t="n"/>
      <c r="B891" s="683" t="n"/>
      <c r="C891" s="683" t="n"/>
      <c r="D891" s="683" t="n"/>
      <c r="E891" s="683" t="n"/>
      <c r="F891" s="683" t="n"/>
      <c r="G891" s="683" t="n"/>
      <c r="H891" s="683" t="n"/>
      <c r="I891" s="683" t="n"/>
      <c r="J891" s="683" t="n"/>
      <c r="K891" s="683" t="n"/>
      <c r="L891" s="683" t="n"/>
      <c r="M891" s="683" t="n"/>
      <c r="N891" s="683" t="n"/>
      <c r="O891" s="683" t="n"/>
      <c r="P891" s="683" t="n"/>
      <c r="Q891" s="683" t="n"/>
      <c r="R891" s="683" t="n"/>
      <c r="S891" s="683" t="n"/>
      <c r="T891" s="683" t="n"/>
      <c r="U891" s="683" t="n"/>
      <c r="V891" s="683" t="n"/>
      <c r="W891" s="683" t="n"/>
      <c r="X891" s="683" t="n"/>
      <c r="Y891" s="683" t="n"/>
    </row>
    <row r="892">
      <c r="A892" s="683" t="n"/>
      <c r="B892" s="683" t="n"/>
      <c r="C892" s="683" t="n"/>
      <c r="D892" s="683" t="n"/>
      <c r="E892" s="683" t="n"/>
      <c r="F892" s="683" t="n"/>
      <c r="G892" s="683" t="n"/>
      <c r="H892" s="683" t="n"/>
      <c r="I892" s="683" t="n"/>
      <c r="J892" s="683" t="n"/>
      <c r="K892" s="683" t="n"/>
      <c r="L892" s="683" t="n"/>
      <c r="M892" s="683" t="n"/>
      <c r="N892" s="683" t="n"/>
      <c r="O892" s="683" t="n"/>
      <c r="P892" s="683" t="n"/>
      <c r="Q892" s="683" t="n"/>
      <c r="R892" s="683" t="n"/>
      <c r="S892" s="683" t="n"/>
      <c r="T892" s="683" t="n"/>
      <c r="U892" s="683" t="n"/>
      <c r="V892" s="683" t="n"/>
      <c r="W892" s="683" t="n"/>
      <c r="X892" s="683" t="n"/>
      <c r="Y892" s="683" t="n"/>
    </row>
    <row r="893">
      <c r="A893" s="683" t="n"/>
      <c r="B893" s="683" t="n"/>
      <c r="C893" s="683" t="n"/>
      <c r="D893" s="683" t="n"/>
      <c r="E893" s="683" t="n"/>
      <c r="F893" s="683" t="n"/>
      <c r="G893" s="683" t="n"/>
      <c r="H893" s="683" t="n"/>
      <c r="I893" s="683" t="n"/>
      <c r="J893" s="683" t="n"/>
      <c r="K893" s="683" t="n"/>
      <c r="L893" s="683" t="n"/>
      <c r="M893" s="683" t="n"/>
      <c r="N893" s="683" t="n"/>
      <c r="O893" s="683" t="n"/>
      <c r="P893" s="683" t="n"/>
      <c r="Q893" s="683" t="n"/>
      <c r="R893" s="683" t="n"/>
      <c r="S893" s="683" t="n"/>
      <c r="T893" s="683" t="n"/>
      <c r="U893" s="683" t="n"/>
      <c r="V893" s="683" t="n"/>
      <c r="W893" s="683" t="n"/>
      <c r="X893" s="683" t="n"/>
      <c r="Y893" s="683" t="n"/>
    </row>
    <row r="894">
      <c r="A894" s="683" t="n"/>
      <c r="B894" s="683" t="n"/>
      <c r="C894" s="683" t="n"/>
      <c r="D894" s="683" t="n"/>
      <c r="E894" s="683" t="n"/>
      <c r="F894" s="683" t="n"/>
      <c r="G894" s="683" t="n"/>
      <c r="H894" s="683" t="n"/>
      <c r="I894" s="683" t="n"/>
      <c r="J894" s="683" t="n"/>
      <c r="K894" s="683" t="n"/>
      <c r="L894" s="683" t="n"/>
      <c r="M894" s="683" t="n"/>
      <c r="N894" s="683" t="n"/>
      <c r="O894" s="683" t="n"/>
      <c r="P894" s="683" t="n"/>
      <c r="Q894" s="683" t="n"/>
      <c r="R894" s="683" t="n"/>
      <c r="S894" s="683" t="n"/>
      <c r="T894" s="683" t="n"/>
      <c r="U894" s="683" t="n"/>
      <c r="V894" s="683" t="n"/>
      <c r="W894" s="683" t="n"/>
      <c r="X894" s="683" t="n"/>
      <c r="Y894" s="683" t="n"/>
    </row>
    <row r="895">
      <c r="A895" s="683" t="n"/>
      <c r="B895" s="683" t="n"/>
      <c r="C895" s="683" t="n"/>
      <c r="D895" s="683" t="n"/>
      <c r="E895" s="683" t="n"/>
      <c r="F895" s="683" t="n"/>
      <c r="G895" s="683" t="n"/>
      <c r="H895" s="683" t="n"/>
      <c r="I895" s="683" t="n"/>
      <c r="J895" s="683" t="n"/>
      <c r="K895" s="683" t="n"/>
      <c r="L895" s="683" t="n"/>
      <c r="M895" s="683" t="n"/>
      <c r="N895" s="683" t="n"/>
      <c r="O895" s="683" t="n"/>
      <c r="P895" s="683" t="n"/>
      <c r="Q895" s="683" t="n"/>
      <c r="R895" s="683" t="n"/>
      <c r="S895" s="683" t="n"/>
      <c r="T895" s="683" t="n"/>
      <c r="U895" s="683" t="n"/>
      <c r="V895" s="683" t="n"/>
      <c r="W895" s="683" t="n"/>
      <c r="X895" s="683" t="n"/>
      <c r="Y895" s="683" t="n"/>
    </row>
    <row r="896">
      <c r="A896" s="683" t="n"/>
      <c r="B896" s="683" t="n"/>
      <c r="C896" s="683" t="n"/>
      <c r="D896" s="683" t="n"/>
      <c r="E896" s="683" t="n"/>
      <c r="F896" s="683" t="n"/>
      <c r="G896" s="683" t="n"/>
      <c r="H896" s="683" t="n"/>
      <c r="I896" s="683" t="n"/>
      <c r="J896" s="683" t="n"/>
      <c r="K896" s="683" t="n"/>
      <c r="L896" s="683" t="n"/>
      <c r="M896" s="683" t="n"/>
      <c r="N896" s="683" t="n"/>
      <c r="O896" s="683" t="n"/>
      <c r="P896" s="683" t="n"/>
      <c r="Q896" s="683" t="n"/>
      <c r="R896" s="683" t="n"/>
      <c r="S896" s="683" t="n"/>
      <c r="T896" s="683" t="n"/>
      <c r="U896" s="683" t="n"/>
      <c r="V896" s="683" t="n"/>
      <c r="W896" s="683" t="n"/>
      <c r="X896" s="683" t="n"/>
      <c r="Y896" s="683" t="n"/>
    </row>
    <row r="897">
      <c r="A897" s="683" t="n"/>
      <c r="B897" s="683" t="n"/>
      <c r="C897" s="683" t="n"/>
      <c r="D897" s="683" t="n"/>
      <c r="E897" s="683" t="n"/>
      <c r="F897" s="683" t="n"/>
      <c r="G897" s="683" t="n"/>
      <c r="H897" s="683" t="n"/>
      <c r="I897" s="683" t="n"/>
      <c r="J897" s="683" t="n"/>
      <c r="K897" s="683" t="n"/>
      <c r="L897" s="683" t="n"/>
      <c r="M897" s="683" t="n"/>
      <c r="N897" s="683" t="n"/>
      <c r="O897" s="683" t="n"/>
      <c r="P897" s="683" t="n"/>
      <c r="Q897" s="683" t="n"/>
      <c r="R897" s="683" t="n"/>
      <c r="S897" s="683" t="n"/>
      <c r="T897" s="683" t="n"/>
      <c r="U897" s="683" t="n"/>
      <c r="V897" s="683" t="n"/>
      <c r="W897" s="683" t="n"/>
      <c r="X897" s="683" t="n"/>
      <c r="Y897" s="683" t="n"/>
    </row>
    <row r="898">
      <c r="A898" s="683" t="n"/>
      <c r="B898" s="683" t="n"/>
      <c r="C898" s="683" t="n"/>
      <c r="D898" s="683" t="n"/>
      <c r="E898" s="683" t="n"/>
      <c r="F898" s="683" t="n"/>
      <c r="G898" s="683" t="n"/>
      <c r="H898" s="683" t="n"/>
      <c r="I898" s="683" t="n"/>
      <c r="J898" s="683" t="n"/>
      <c r="K898" s="683" t="n"/>
      <c r="L898" s="683" t="n"/>
      <c r="M898" s="683" t="n"/>
      <c r="N898" s="683" t="n"/>
      <c r="O898" s="683" t="n"/>
      <c r="P898" s="683" t="n"/>
      <c r="Q898" s="683" t="n"/>
      <c r="R898" s="683" t="n"/>
      <c r="S898" s="683" t="n"/>
      <c r="T898" s="683" t="n"/>
      <c r="U898" s="683" t="n"/>
      <c r="V898" s="683" t="n"/>
      <c r="W898" s="683" t="n"/>
      <c r="X898" s="683" t="n"/>
      <c r="Y898" s="683" t="n"/>
    </row>
    <row r="899">
      <c r="A899" s="683" t="n"/>
      <c r="B899" s="683" t="n"/>
      <c r="C899" s="683" t="n"/>
      <c r="D899" s="683" t="n"/>
      <c r="E899" s="683" t="n"/>
      <c r="F899" s="683" t="n"/>
      <c r="G899" s="683" t="n"/>
      <c r="H899" s="683" t="n"/>
      <c r="I899" s="683" t="n"/>
      <c r="J899" s="683" t="n"/>
      <c r="K899" s="683" t="n"/>
      <c r="L899" s="683" t="n"/>
      <c r="M899" s="683" t="n"/>
      <c r="N899" s="683" t="n"/>
      <c r="O899" s="683" t="n"/>
      <c r="P899" s="683" t="n"/>
      <c r="Q899" s="683" t="n"/>
      <c r="R899" s="683" t="n"/>
      <c r="S899" s="683" t="n"/>
      <c r="T899" s="683" t="n"/>
      <c r="U899" s="683" t="n"/>
      <c r="V899" s="683" t="n"/>
      <c r="W899" s="683" t="n"/>
      <c r="X899" s="683" t="n"/>
      <c r="Y899" s="683" t="n"/>
    </row>
    <row r="900">
      <c r="A900" s="683" t="n"/>
      <c r="B900" s="683" t="n"/>
      <c r="C900" s="683" t="n"/>
      <c r="D900" s="683" t="n"/>
      <c r="E900" s="683" t="n"/>
      <c r="F900" s="683" t="n"/>
      <c r="G900" s="683" t="n"/>
      <c r="H900" s="683" t="n"/>
      <c r="I900" s="683" t="n"/>
      <c r="J900" s="683" t="n"/>
      <c r="K900" s="683" t="n"/>
      <c r="L900" s="683" t="n"/>
      <c r="M900" s="683" t="n"/>
      <c r="N900" s="683" t="n"/>
      <c r="O900" s="683" t="n"/>
      <c r="P900" s="683" t="n"/>
      <c r="Q900" s="683" t="n"/>
      <c r="R900" s="683" t="n"/>
      <c r="S900" s="683" t="n"/>
      <c r="T900" s="683" t="n"/>
      <c r="U900" s="683" t="n"/>
      <c r="V900" s="683" t="n"/>
      <c r="W900" s="683" t="n"/>
      <c r="X900" s="683" t="n"/>
      <c r="Y900" s="683" t="n"/>
    </row>
    <row r="901">
      <c r="A901" s="683" t="n"/>
      <c r="B901" s="683" t="n"/>
      <c r="C901" s="683" t="n"/>
      <c r="D901" s="683" t="n"/>
      <c r="E901" s="683" t="n"/>
      <c r="F901" s="683" t="n"/>
      <c r="G901" s="683" t="n"/>
      <c r="H901" s="683" t="n"/>
      <c r="I901" s="683" t="n"/>
      <c r="J901" s="683" t="n"/>
      <c r="K901" s="683" t="n"/>
      <c r="L901" s="683" t="n"/>
      <c r="M901" s="683" t="n"/>
      <c r="N901" s="683" t="n"/>
      <c r="O901" s="683" t="n"/>
      <c r="P901" s="683" t="n"/>
      <c r="Q901" s="683" t="n"/>
      <c r="R901" s="683" t="n"/>
      <c r="S901" s="683" t="n"/>
      <c r="T901" s="683" t="n"/>
      <c r="U901" s="683" t="n"/>
      <c r="V901" s="683" t="n"/>
      <c r="W901" s="683" t="n"/>
      <c r="X901" s="683" t="n"/>
      <c r="Y901" s="683" t="n"/>
    </row>
    <row r="902">
      <c r="A902" s="683" t="n"/>
      <c r="B902" s="683" t="n"/>
      <c r="C902" s="683" t="n"/>
      <c r="D902" s="683" t="n"/>
      <c r="E902" s="683" t="n"/>
      <c r="F902" s="683" t="n"/>
      <c r="G902" s="683" t="n"/>
      <c r="H902" s="683" t="n"/>
      <c r="I902" s="683" t="n"/>
      <c r="J902" s="683" t="n"/>
      <c r="K902" s="683" t="n"/>
      <c r="L902" s="683" t="n"/>
      <c r="M902" s="683" t="n"/>
      <c r="N902" s="683" t="n"/>
      <c r="O902" s="683" t="n"/>
      <c r="P902" s="683" t="n"/>
      <c r="Q902" s="683" t="n"/>
      <c r="R902" s="683" t="n"/>
      <c r="S902" s="683" t="n"/>
      <c r="T902" s="683" t="n"/>
      <c r="U902" s="683" t="n"/>
      <c r="V902" s="683" t="n"/>
      <c r="W902" s="683" t="n"/>
      <c r="X902" s="683" t="n"/>
      <c r="Y902" s="683" t="n"/>
    </row>
    <row r="903">
      <c r="A903" s="683" t="n"/>
      <c r="B903" s="683" t="n"/>
      <c r="C903" s="683" t="n"/>
      <c r="D903" s="683" t="n"/>
      <c r="E903" s="683" t="n"/>
      <c r="F903" s="683" t="n"/>
      <c r="G903" s="683" t="n"/>
      <c r="H903" s="683" t="n"/>
      <c r="I903" s="683" t="n"/>
      <c r="J903" s="683" t="n"/>
      <c r="K903" s="683" t="n"/>
      <c r="L903" s="683" t="n"/>
      <c r="M903" s="683" t="n"/>
      <c r="N903" s="683" t="n"/>
      <c r="O903" s="683" t="n"/>
      <c r="P903" s="683" t="n"/>
      <c r="Q903" s="683" t="n"/>
      <c r="R903" s="683" t="n"/>
      <c r="S903" s="683" t="n"/>
      <c r="T903" s="683" t="n"/>
      <c r="U903" s="683" t="n"/>
      <c r="V903" s="683" t="n"/>
      <c r="W903" s="683" t="n"/>
      <c r="X903" s="683" t="n"/>
      <c r="Y903" s="683" t="n"/>
    </row>
    <row r="904">
      <c r="A904" s="683" t="n"/>
      <c r="B904" s="683" t="n"/>
      <c r="C904" s="683" t="n"/>
      <c r="D904" s="683" t="n"/>
      <c r="E904" s="683" t="n"/>
      <c r="F904" s="683" t="n"/>
      <c r="G904" s="683" t="n"/>
      <c r="H904" s="683" t="n"/>
      <c r="I904" s="683" t="n"/>
      <c r="J904" s="683" t="n"/>
      <c r="K904" s="683" t="n"/>
      <c r="L904" s="683" t="n"/>
      <c r="M904" s="683" t="n"/>
      <c r="N904" s="683" t="n"/>
      <c r="O904" s="683" t="n"/>
      <c r="P904" s="683" t="n"/>
      <c r="Q904" s="683" t="n"/>
      <c r="R904" s="683" t="n"/>
      <c r="S904" s="683" t="n"/>
      <c r="T904" s="683" t="n"/>
      <c r="U904" s="683" t="n"/>
      <c r="V904" s="683" t="n"/>
      <c r="W904" s="683" t="n"/>
      <c r="X904" s="683" t="n"/>
      <c r="Y904" s="683" t="n"/>
    </row>
    <row r="905">
      <c r="A905" s="683" t="n"/>
      <c r="B905" s="683" t="n"/>
      <c r="C905" s="683" t="n"/>
      <c r="D905" s="683" t="n"/>
      <c r="E905" s="683" t="n"/>
      <c r="F905" s="683" t="n"/>
      <c r="G905" s="683" t="n"/>
      <c r="H905" s="683" t="n"/>
      <c r="I905" s="683" t="n"/>
      <c r="J905" s="683" t="n"/>
      <c r="K905" s="683" t="n"/>
      <c r="L905" s="683" t="n"/>
      <c r="M905" s="683" t="n"/>
      <c r="N905" s="683" t="n"/>
      <c r="O905" s="683" t="n"/>
      <c r="P905" s="683" t="n"/>
      <c r="Q905" s="683" t="n"/>
      <c r="R905" s="683" t="n"/>
      <c r="S905" s="683" t="n"/>
      <c r="T905" s="683" t="n"/>
      <c r="U905" s="683" t="n"/>
      <c r="V905" s="683" t="n"/>
      <c r="W905" s="683" t="n"/>
      <c r="X905" s="683" t="n"/>
      <c r="Y905" s="683" t="n"/>
    </row>
    <row r="906">
      <c r="A906" s="683" t="n"/>
      <c r="B906" s="683" t="n"/>
      <c r="C906" s="683" t="n"/>
      <c r="D906" s="683" t="n"/>
      <c r="E906" s="683" t="n"/>
      <c r="F906" s="683" t="n"/>
      <c r="G906" s="683" t="n"/>
      <c r="H906" s="683" t="n"/>
      <c r="I906" s="683" t="n"/>
      <c r="J906" s="683" t="n"/>
      <c r="K906" s="683" t="n"/>
      <c r="L906" s="683" t="n"/>
      <c r="M906" s="683" t="n"/>
      <c r="N906" s="683" t="n"/>
      <c r="O906" s="683" t="n"/>
      <c r="P906" s="683" t="n"/>
      <c r="Q906" s="683" t="n"/>
      <c r="R906" s="683" t="n"/>
      <c r="S906" s="683" t="n"/>
      <c r="T906" s="683" t="n"/>
      <c r="U906" s="683" t="n"/>
      <c r="V906" s="683" t="n"/>
      <c r="W906" s="683" t="n"/>
      <c r="X906" s="683" t="n"/>
      <c r="Y906" s="683" t="n"/>
    </row>
    <row r="907">
      <c r="A907" s="683" t="n"/>
      <c r="B907" s="683" t="n"/>
      <c r="C907" s="683" t="n"/>
      <c r="D907" s="683" t="n"/>
      <c r="E907" s="683" t="n"/>
      <c r="F907" s="683" t="n"/>
      <c r="G907" s="683" t="n"/>
      <c r="H907" s="683" t="n"/>
      <c r="I907" s="683" t="n"/>
      <c r="J907" s="683" t="n"/>
      <c r="K907" s="683" t="n"/>
      <c r="L907" s="683" t="n"/>
      <c r="M907" s="683" t="n"/>
      <c r="N907" s="683" t="n"/>
      <c r="O907" s="683" t="n"/>
      <c r="P907" s="683" t="n"/>
      <c r="Q907" s="683" t="n"/>
      <c r="R907" s="683" t="n"/>
      <c r="S907" s="683" t="n"/>
      <c r="T907" s="683" t="n"/>
      <c r="U907" s="683" t="n"/>
      <c r="V907" s="683" t="n"/>
      <c r="W907" s="683" t="n"/>
      <c r="X907" s="683" t="n"/>
      <c r="Y907" s="683" t="n"/>
    </row>
    <row r="908">
      <c r="A908" s="683" t="n"/>
      <c r="B908" s="683" t="n"/>
      <c r="C908" s="683" t="n"/>
      <c r="D908" s="683" t="n"/>
      <c r="E908" s="683" t="n"/>
      <c r="F908" s="683" t="n"/>
      <c r="G908" s="683" t="n"/>
      <c r="H908" s="683" t="n"/>
      <c r="I908" s="683" t="n"/>
      <c r="J908" s="683" t="n"/>
      <c r="K908" s="683" t="n"/>
      <c r="L908" s="683" t="n"/>
      <c r="M908" s="683" t="n"/>
      <c r="N908" s="683" t="n"/>
      <c r="O908" s="683" t="n"/>
      <c r="P908" s="683" t="n"/>
      <c r="Q908" s="683" t="n"/>
      <c r="R908" s="683" t="n"/>
      <c r="S908" s="683" t="n"/>
      <c r="T908" s="683" t="n"/>
      <c r="U908" s="683" t="n"/>
      <c r="V908" s="683" t="n"/>
      <c r="W908" s="683" t="n"/>
      <c r="X908" s="683" t="n"/>
      <c r="Y908" s="683" t="n"/>
    </row>
    <row r="909">
      <c r="A909" s="683" t="n"/>
      <c r="B909" s="683" t="n"/>
      <c r="C909" s="683" t="n"/>
      <c r="D909" s="683" t="n"/>
      <c r="E909" s="683" t="n"/>
      <c r="F909" s="683" t="n"/>
      <c r="G909" s="683" t="n"/>
      <c r="H909" s="683" t="n"/>
      <c r="I909" s="683" t="n"/>
      <c r="J909" s="683" t="n"/>
      <c r="K909" s="683" t="n"/>
      <c r="L909" s="683" t="n"/>
      <c r="M909" s="683" t="n"/>
      <c r="N909" s="683" t="n"/>
      <c r="O909" s="683" t="n"/>
      <c r="P909" s="683" t="n"/>
      <c r="Q909" s="683" t="n"/>
      <c r="R909" s="683" t="n"/>
      <c r="S909" s="683" t="n"/>
      <c r="T909" s="683" t="n"/>
      <c r="U909" s="683" t="n"/>
      <c r="V909" s="683" t="n"/>
      <c r="W909" s="683" t="n"/>
      <c r="X909" s="683" t="n"/>
      <c r="Y909" s="683" t="n"/>
    </row>
    <row r="910">
      <c r="A910" s="683" t="n"/>
      <c r="B910" s="683" t="n"/>
      <c r="C910" s="683" t="n"/>
      <c r="D910" s="683" t="n"/>
      <c r="E910" s="683" t="n"/>
      <c r="F910" s="683" t="n"/>
      <c r="G910" s="683" t="n"/>
      <c r="H910" s="683" t="n"/>
      <c r="I910" s="683" t="n"/>
      <c r="J910" s="683" t="n"/>
      <c r="K910" s="683" t="n"/>
      <c r="L910" s="683" t="n"/>
      <c r="M910" s="683" t="n"/>
      <c r="N910" s="683" t="n"/>
      <c r="O910" s="683" t="n"/>
      <c r="P910" s="683" t="n"/>
      <c r="Q910" s="683" t="n"/>
      <c r="R910" s="683" t="n"/>
      <c r="S910" s="683" t="n"/>
      <c r="T910" s="683" t="n"/>
      <c r="U910" s="683" t="n"/>
      <c r="V910" s="683" t="n"/>
      <c r="W910" s="683" t="n"/>
      <c r="X910" s="683" t="n"/>
      <c r="Y910" s="683" t="n"/>
    </row>
    <row r="911">
      <c r="A911" s="683" t="n"/>
      <c r="B911" s="683" t="n"/>
      <c r="C911" s="683" t="n"/>
      <c r="D911" s="683" t="n"/>
      <c r="E911" s="683" t="n"/>
      <c r="F911" s="683" t="n"/>
      <c r="G911" s="683" t="n"/>
      <c r="H911" s="683" t="n"/>
      <c r="I911" s="683" t="n"/>
      <c r="J911" s="683" t="n"/>
      <c r="K911" s="683" t="n"/>
      <c r="L911" s="683" t="n"/>
      <c r="M911" s="683" t="n"/>
      <c r="N911" s="683" t="n"/>
      <c r="O911" s="683" t="n"/>
      <c r="P911" s="683" t="n"/>
      <c r="Q911" s="683" t="n"/>
      <c r="R911" s="683" t="n"/>
      <c r="S911" s="683" t="n"/>
      <c r="T911" s="683" t="n"/>
      <c r="U911" s="683" t="n"/>
      <c r="V911" s="683" t="n"/>
      <c r="W911" s="683" t="n"/>
      <c r="X911" s="683" t="n"/>
      <c r="Y911" s="683" t="n"/>
    </row>
    <row r="912">
      <c r="A912" s="683" t="n"/>
      <c r="B912" s="683" t="n"/>
      <c r="C912" s="683" t="n"/>
      <c r="D912" s="683" t="n"/>
      <c r="E912" s="683" t="n"/>
      <c r="F912" s="683" t="n"/>
      <c r="G912" s="683" t="n"/>
      <c r="H912" s="683" t="n"/>
      <c r="I912" s="683" t="n"/>
      <c r="J912" s="683" t="n"/>
      <c r="K912" s="683" t="n"/>
      <c r="L912" s="683" t="n"/>
      <c r="M912" s="683" t="n"/>
      <c r="N912" s="683" t="n"/>
      <c r="O912" s="683" t="n"/>
      <c r="P912" s="683" t="n"/>
      <c r="Q912" s="683" t="n"/>
      <c r="R912" s="683" t="n"/>
      <c r="S912" s="683" t="n"/>
      <c r="T912" s="683" t="n"/>
      <c r="U912" s="683" t="n"/>
      <c r="V912" s="683" t="n"/>
      <c r="W912" s="683" t="n"/>
      <c r="X912" s="683" t="n"/>
      <c r="Y912" s="683" t="n"/>
    </row>
    <row r="913">
      <c r="A913" s="683" t="n"/>
      <c r="B913" s="683" t="n"/>
      <c r="C913" s="683" t="n"/>
      <c r="D913" s="683" t="n"/>
      <c r="E913" s="683" t="n"/>
      <c r="F913" s="683" t="n"/>
      <c r="G913" s="683" t="n"/>
      <c r="H913" s="683" t="n"/>
      <c r="I913" s="683" t="n"/>
      <c r="J913" s="683" t="n"/>
      <c r="K913" s="683" t="n"/>
      <c r="L913" s="683" t="n"/>
      <c r="M913" s="683" t="n"/>
      <c r="N913" s="683" t="n"/>
      <c r="O913" s="683" t="n"/>
      <c r="P913" s="683" t="n"/>
      <c r="Q913" s="683" t="n"/>
      <c r="R913" s="683" t="n"/>
      <c r="S913" s="683" t="n"/>
      <c r="T913" s="683" t="n"/>
      <c r="U913" s="683" t="n"/>
      <c r="V913" s="683" t="n"/>
      <c r="W913" s="683" t="n"/>
      <c r="X913" s="683" t="n"/>
      <c r="Y913" s="683" t="n"/>
    </row>
    <row r="914">
      <c r="A914" s="683" t="n"/>
      <c r="B914" s="683" t="n"/>
      <c r="C914" s="683" t="n"/>
      <c r="D914" s="683" t="n"/>
      <c r="E914" s="683" t="n"/>
      <c r="F914" s="683" t="n"/>
      <c r="G914" s="683" t="n"/>
      <c r="H914" s="683" t="n"/>
      <c r="I914" s="683" t="n"/>
      <c r="J914" s="683" t="n"/>
      <c r="K914" s="683" t="n"/>
      <c r="L914" s="683" t="n"/>
      <c r="M914" s="683" t="n"/>
      <c r="N914" s="683" t="n"/>
      <c r="O914" s="683" t="n"/>
      <c r="P914" s="683" t="n"/>
      <c r="Q914" s="683" t="n"/>
      <c r="R914" s="683" t="n"/>
      <c r="S914" s="683" t="n"/>
      <c r="T914" s="683" t="n"/>
      <c r="U914" s="683" t="n"/>
      <c r="V914" s="683" t="n"/>
      <c r="W914" s="683" t="n"/>
      <c r="X914" s="683" t="n"/>
      <c r="Y914" s="683" t="n"/>
    </row>
    <row r="915">
      <c r="A915" s="683" t="n"/>
      <c r="B915" s="683" t="n"/>
      <c r="C915" s="683" t="n"/>
      <c r="D915" s="683" t="n"/>
      <c r="E915" s="683" t="n"/>
      <c r="F915" s="683" t="n"/>
      <c r="G915" s="683" t="n"/>
      <c r="H915" s="683" t="n"/>
      <c r="I915" s="683" t="n"/>
      <c r="J915" s="683" t="n"/>
      <c r="K915" s="683" t="n"/>
      <c r="L915" s="683" t="n"/>
      <c r="M915" s="683" t="n"/>
      <c r="N915" s="683" t="n"/>
      <c r="O915" s="683" t="n"/>
      <c r="P915" s="683" t="n"/>
      <c r="Q915" s="683" t="n"/>
      <c r="R915" s="683" t="n"/>
      <c r="S915" s="683" t="n"/>
      <c r="T915" s="683" t="n"/>
      <c r="U915" s="683" t="n"/>
      <c r="V915" s="683" t="n"/>
      <c r="W915" s="683" t="n"/>
      <c r="X915" s="683" t="n"/>
      <c r="Y915" s="683" t="n"/>
    </row>
    <row r="916">
      <c r="A916" s="683" t="n"/>
      <c r="B916" s="683" t="n"/>
      <c r="C916" s="683" t="n"/>
      <c r="D916" s="683" t="n"/>
      <c r="E916" s="683" t="n"/>
      <c r="F916" s="683" t="n"/>
      <c r="G916" s="683" t="n"/>
      <c r="H916" s="683" t="n"/>
      <c r="I916" s="683" t="n"/>
      <c r="J916" s="683" t="n"/>
      <c r="K916" s="683" t="n"/>
      <c r="L916" s="683" t="n"/>
      <c r="M916" s="683" t="n"/>
      <c r="N916" s="683" t="n"/>
      <c r="O916" s="683" t="n"/>
      <c r="P916" s="683" t="n"/>
      <c r="Q916" s="683" t="n"/>
      <c r="R916" s="683" t="n"/>
      <c r="S916" s="683" t="n"/>
      <c r="T916" s="683" t="n"/>
      <c r="U916" s="683" t="n"/>
      <c r="V916" s="683" t="n"/>
      <c r="W916" s="683" t="n"/>
      <c r="X916" s="683" t="n"/>
      <c r="Y916" s="683" t="n"/>
    </row>
    <row r="917">
      <c r="A917" s="683" t="n"/>
      <c r="B917" s="683" t="n"/>
      <c r="C917" s="683" t="n"/>
      <c r="D917" s="683" t="n"/>
      <c r="E917" s="683" t="n"/>
      <c r="F917" s="683" t="n"/>
      <c r="G917" s="683" t="n"/>
      <c r="H917" s="683" t="n"/>
      <c r="I917" s="683" t="n"/>
      <c r="J917" s="683" t="n"/>
      <c r="K917" s="683" t="n"/>
      <c r="L917" s="683" t="n"/>
      <c r="M917" s="683" t="n"/>
      <c r="N917" s="683" t="n"/>
      <c r="O917" s="683" t="n"/>
      <c r="P917" s="683" t="n"/>
      <c r="Q917" s="683" t="n"/>
      <c r="R917" s="683" t="n"/>
      <c r="S917" s="683" t="n"/>
      <c r="T917" s="683" t="n"/>
      <c r="U917" s="683" t="n"/>
      <c r="V917" s="683" t="n"/>
      <c r="W917" s="683" t="n"/>
      <c r="X917" s="683" t="n"/>
      <c r="Y917" s="683" t="n"/>
    </row>
    <row r="918">
      <c r="A918" s="683" t="n"/>
      <c r="B918" s="683" t="n"/>
      <c r="C918" s="683" t="n"/>
      <c r="D918" s="683" t="n"/>
      <c r="E918" s="683" t="n"/>
      <c r="F918" s="683" t="n"/>
      <c r="G918" s="683" t="n"/>
      <c r="H918" s="683" t="n"/>
      <c r="I918" s="683" t="n"/>
      <c r="J918" s="683" t="n"/>
      <c r="K918" s="683" t="n"/>
      <c r="L918" s="683" t="n"/>
      <c r="M918" s="683" t="n"/>
      <c r="N918" s="683" t="n"/>
      <c r="O918" s="683" t="n"/>
      <c r="P918" s="683" t="n"/>
      <c r="Q918" s="683" t="n"/>
      <c r="R918" s="683" t="n"/>
      <c r="S918" s="683" t="n"/>
      <c r="T918" s="683" t="n"/>
      <c r="U918" s="683" t="n"/>
      <c r="V918" s="683" t="n"/>
      <c r="W918" s="683" t="n"/>
      <c r="X918" s="683" t="n"/>
      <c r="Y918" s="683" t="n"/>
    </row>
    <row r="919">
      <c r="A919" s="683" t="n"/>
      <c r="B919" s="683" t="n"/>
      <c r="C919" s="683" t="n"/>
      <c r="D919" s="683" t="n"/>
      <c r="E919" s="683" t="n"/>
      <c r="F919" s="683" t="n"/>
      <c r="G919" s="683" t="n"/>
      <c r="H919" s="683" t="n"/>
      <c r="I919" s="683" t="n"/>
      <c r="J919" s="683" t="n"/>
      <c r="K919" s="683" t="n"/>
      <c r="L919" s="683" t="n"/>
      <c r="M919" s="683" t="n"/>
      <c r="N919" s="683" t="n"/>
      <c r="O919" s="683" t="n"/>
      <c r="P919" s="683" t="n"/>
      <c r="Q919" s="683" t="n"/>
      <c r="R919" s="683" t="n"/>
      <c r="S919" s="683" t="n"/>
      <c r="T919" s="683" t="n"/>
      <c r="U919" s="683" t="n"/>
      <c r="V919" s="683" t="n"/>
      <c r="W919" s="683" t="n"/>
      <c r="X919" s="683" t="n"/>
      <c r="Y919" s="683" t="n"/>
    </row>
    <row r="920">
      <c r="A920" s="683" t="n"/>
      <c r="B920" s="683" t="n"/>
      <c r="C920" s="683" t="n"/>
      <c r="D920" s="683" t="n"/>
      <c r="E920" s="683" t="n"/>
      <c r="F920" s="683" t="n"/>
      <c r="G920" s="683" t="n"/>
      <c r="H920" s="683" t="n"/>
      <c r="I920" s="683" t="n"/>
      <c r="J920" s="683" t="n"/>
      <c r="K920" s="683" t="n"/>
      <c r="L920" s="683" t="n"/>
      <c r="M920" s="683" t="n"/>
      <c r="N920" s="683" t="n"/>
      <c r="O920" s="683" t="n"/>
      <c r="P920" s="683" t="n"/>
      <c r="Q920" s="683" t="n"/>
      <c r="R920" s="683" t="n"/>
      <c r="S920" s="683" t="n"/>
      <c r="T920" s="683" t="n"/>
      <c r="U920" s="683" t="n"/>
      <c r="V920" s="683" t="n"/>
      <c r="W920" s="683" t="n"/>
      <c r="X920" s="683" t="n"/>
      <c r="Y920" s="683" t="n"/>
    </row>
    <row r="921">
      <c r="A921" s="683" t="n"/>
      <c r="B921" s="683" t="n"/>
      <c r="C921" s="683" t="n"/>
      <c r="D921" s="683" t="n"/>
      <c r="E921" s="683" t="n"/>
      <c r="F921" s="683" t="n"/>
      <c r="G921" s="683" t="n"/>
      <c r="H921" s="683" t="n"/>
      <c r="I921" s="683" t="n"/>
      <c r="J921" s="683" t="n"/>
      <c r="K921" s="683" t="n"/>
      <c r="L921" s="683" t="n"/>
      <c r="M921" s="683" t="n"/>
      <c r="N921" s="683" t="n"/>
      <c r="O921" s="683" t="n"/>
      <c r="P921" s="683" t="n"/>
      <c r="Q921" s="683" t="n"/>
      <c r="R921" s="683" t="n"/>
      <c r="S921" s="683" t="n"/>
      <c r="T921" s="683" t="n"/>
      <c r="U921" s="683" t="n"/>
      <c r="V921" s="683" t="n"/>
      <c r="W921" s="683" t="n"/>
      <c r="X921" s="683" t="n"/>
      <c r="Y921" s="683" t="n"/>
    </row>
    <row r="922">
      <c r="A922" s="683" t="n"/>
      <c r="B922" s="683" t="n"/>
      <c r="C922" s="683" t="n"/>
      <c r="D922" s="683" t="n"/>
      <c r="E922" s="683" t="n"/>
      <c r="F922" s="683" t="n"/>
      <c r="G922" s="683" t="n"/>
      <c r="H922" s="683" t="n"/>
      <c r="I922" s="683" t="n"/>
      <c r="J922" s="683" t="n"/>
      <c r="K922" s="683" t="n"/>
      <c r="L922" s="683" t="n"/>
      <c r="M922" s="683" t="n"/>
      <c r="N922" s="683" t="n"/>
      <c r="O922" s="683" t="n"/>
      <c r="P922" s="683" t="n"/>
      <c r="Q922" s="683" t="n"/>
      <c r="R922" s="683" t="n"/>
      <c r="S922" s="683" t="n"/>
      <c r="T922" s="683" t="n"/>
      <c r="U922" s="683" t="n"/>
      <c r="V922" s="683" t="n"/>
      <c r="W922" s="683" t="n"/>
      <c r="X922" s="683" t="n"/>
      <c r="Y922" s="683" t="n"/>
    </row>
    <row r="923">
      <c r="A923" s="683" t="n"/>
      <c r="B923" s="683" t="n"/>
      <c r="C923" s="683" t="n"/>
      <c r="D923" s="683" t="n"/>
      <c r="E923" s="683" t="n"/>
      <c r="F923" s="683" t="n"/>
      <c r="G923" s="683" t="n"/>
      <c r="H923" s="683" t="n"/>
      <c r="I923" s="683" t="n"/>
      <c r="J923" s="683" t="n"/>
      <c r="K923" s="683" t="n"/>
      <c r="L923" s="683" t="n"/>
      <c r="M923" s="683" t="n"/>
      <c r="N923" s="683" t="n"/>
      <c r="O923" s="683" t="n"/>
      <c r="P923" s="683" t="n"/>
      <c r="Q923" s="683" t="n"/>
      <c r="R923" s="683" t="n"/>
      <c r="S923" s="683" t="n"/>
      <c r="T923" s="683" t="n"/>
      <c r="U923" s="683" t="n"/>
      <c r="V923" s="683" t="n"/>
      <c r="W923" s="683" t="n"/>
      <c r="X923" s="683" t="n"/>
      <c r="Y923" s="683" t="n"/>
    </row>
    <row r="924">
      <c r="A924" s="683" t="n"/>
      <c r="B924" s="683" t="n"/>
      <c r="C924" s="683" t="n"/>
      <c r="D924" s="683" t="n"/>
      <c r="E924" s="683" t="n"/>
      <c r="F924" s="683" t="n"/>
      <c r="G924" s="683" t="n"/>
      <c r="H924" s="683" t="n"/>
      <c r="I924" s="683" t="n"/>
      <c r="J924" s="683" t="n"/>
      <c r="K924" s="683" t="n"/>
      <c r="L924" s="683" t="n"/>
      <c r="M924" s="683" t="n"/>
      <c r="N924" s="683" t="n"/>
      <c r="O924" s="683" t="n"/>
      <c r="P924" s="683" t="n"/>
      <c r="Q924" s="683" t="n"/>
      <c r="R924" s="683" t="n"/>
      <c r="S924" s="683" t="n"/>
      <c r="T924" s="683" t="n"/>
      <c r="U924" s="683" t="n"/>
      <c r="V924" s="683" t="n"/>
      <c r="W924" s="683" t="n"/>
      <c r="X924" s="683" t="n"/>
      <c r="Y924" s="683" t="n"/>
    </row>
    <row r="925">
      <c r="A925" s="683" t="n"/>
      <c r="B925" s="683" t="n"/>
      <c r="C925" s="683" t="n"/>
      <c r="D925" s="683" t="n"/>
      <c r="E925" s="683" t="n"/>
      <c r="F925" s="683" t="n"/>
      <c r="G925" s="683" t="n"/>
      <c r="H925" s="683" t="n"/>
      <c r="I925" s="683" t="n"/>
      <c r="J925" s="683" t="n"/>
      <c r="K925" s="683" t="n"/>
      <c r="L925" s="683" t="n"/>
      <c r="M925" s="683" t="n"/>
      <c r="N925" s="683" t="n"/>
      <c r="O925" s="683" t="n"/>
      <c r="P925" s="683" t="n"/>
      <c r="Q925" s="683" t="n"/>
      <c r="R925" s="683" t="n"/>
      <c r="S925" s="683" t="n"/>
      <c r="T925" s="683" t="n"/>
      <c r="U925" s="683" t="n"/>
      <c r="V925" s="683" t="n"/>
      <c r="W925" s="683" t="n"/>
      <c r="X925" s="683" t="n"/>
      <c r="Y925" s="683" t="n"/>
    </row>
    <row r="926">
      <c r="A926" s="683" t="n"/>
      <c r="B926" s="683" t="n"/>
      <c r="C926" s="683" t="n"/>
      <c r="D926" s="683" t="n"/>
      <c r="E926" s="683" t="n"/>
      <c r="F926" s="683" t="n"/>
      <c r="G926" s="683" t="n"/>
      <c r="H926" s="683" t="n"/>
      <c r="I926" s="683" t="n"/>
      <c r="J926" s="683" t="n"/>
      <c r="K926" s="683" t="n"/>
      <c r="L926" s="683" t="n"/>
      <c r="M926" s="683" t="n"/>
      <c r="N926" s="683" t="n"/>
      <c r="O926" s="683" t="n"/>
      <c r="P926" s="683" t="n"/>
      <c r="Q926" s="683" t="n"/>
      <c r="R926" s="683" t="n"/>
      <c r="S926" s="683" t="n"/>
      <c r="T926" s="683" t="n"/>
      <c r="U926" s="683" t="n"/>
      <c r="V926" s="683" t="n"/>
      <c r="W926" s="683" t="n"/>
      <c r="X926" s="683" t="n"/>
      <c r="Y926" s="683" t="n"/>
    </row>
    <row r="927">
      <c r="A927" s="683" t="n"/>
      <c r="B927" s="683" t="n"/>
      <c r="C927" s="683" t="n"/>
      <c r="D927" s="683" t="n"/>
      <c r="E927" s="683" t="n"/>
      <c r="F927" s="683" t="n"/>
      <c r="G927" s="683" t="n"/>
      <c r="H927" s="683" t="n"/>
      <c r="I927" s="683" t="n"/>
      <c r="J927" s="683" t="n"/>
      <c r="K927" s="683" t="n"/>
      <c r="L927" s="683" t="n"/>
      <c r="M927" s="683" t="n"/>
      <c r="N927" s="683" t="n"/>
      <c r="O927" s="683" t="n"/>
      <c r="P927" s="683" t="n"/>
      <c r="Q927" s="683" t="n"/>
      <c r="R927" s="683" t="n"/>
      <c r="S927" s="683" t="n"/>
      <c r="T927" s="683" t="n"/>
      <c r="U927" s="683" t="n"/>
      <c r="V927" s="683" t="n"/>
      <c r="W927" s="683" t="n"/>
      <c r="X927" s="683" t="n"/>
      <c r="Y927" s="683" t="n"/>
    </row>
    <row r="928">
      <c r="A928" s="683" t="n"/>
      <c r="B928" s="683" t="n"/>
      <c r="C928" s="683" t="n"/>
      <c r="D928" s="683" t="n"/>
      <c r="E928" s="683" t="n"/>
      <c r="F928" s="683" t="n"/>
      <c r="G928" s="683" t="n"/>
      <c r="H928" s="683" t="n"/>
      <c r="I928" s="683" t="n"/>
      <c r="J928" s="683" t="n"/>
      <c r="K928" s="683" t="n"/>
      <c r="L928" s="683" t="n"/>
      <c r="M928" s="683" t="n"/>
      <c r="N928" s="683" t="n"/>
      <c r="O928" s="683" t="n"/>
      <c r="P928" s="683" t="n"/>
      <c r="Q928" s="683" t="n"/>
      <c r="R928" s="683" t="n"/>
      <c r="S928" s="683" t="n"/>
      <c r="T928" s="683" t="n"/>
      <c r="U928" s="683" t="n"/>
      <c r="V928" s="683" t="n"/>
      <c r="W928" s="683" t="n"/>
      <c r="X928" s="683" t="n"/>
      <c r="Y928" s="683" t="n"/>
    </row>
    <row r="929">
      <c r="A929" s="683" t="n"/>
      <c r="B929" s="683" t="n"/>
      <c r="C929" s="683" t="n"/>
      <c r="D929" s="683" t="n"/>
      <c r="E929" s="683" t="n"/>
      <c r="F929" s="683" t="n"/>
      <c r="G929" s="683" t="n"/>
      <c r="H929" s="683" t="n"/>
      <c r="I929" s="683" t="n"/>
      <c r="J929" s="683" t="n"/>
      <c r="K929" s="683" t="n"/>
      <c r="L929" s="683" t="n"/>
      <c r="M929" s="683" t="n"/>
      <c r="N929" s="683" t="n"/>
      <c r="O929" s="683" t="n"/>
      <c r="P929" s="683" t="n"/>
      <c r="Q929" s="683" t="n"/>
      <c r="R929" s="683" t="n"/>
      <c r="S929" s="683" t="n"/>
      <c r="T929" s="683" t="n"/>
      <c r="U929" s="683" t="n"/>
      <c r="V929" s="683" t="n"/>
      <c r="W929" s="683" t="n"/>
      <c r="X929" s="683" t="n"/>
      <c r="Y929" s="683" t="n"/>
    </row>
    <row r="930">
      <c r="A930" s="683" t="n"/>
      <c r="B930" s="683" t="n"/>
      <c r="C930" s="683" t="n"/>
      <c r="D930" s="683" t="n"/>
      <c r="E930" s="683" t="n"/>
      <c r="F930" s="683" t="n"/>
      <c r="G930" s="683" t="n"/>
      <c r="H930" s="683" t="n"/>
      <c r="I930" s="683" t="n"/>
      <c r="J930" s="683" t="n"/>
      <c r="K930" s="683" t="n"/>
      <c r="L930" s="683" t="n"/>
      <c r="M930" s="683" t="n"/>
      <c r="N930" s="683" t="n"/>
      <c r="O930" s="683" t="n"/>
      <c r="P930" s="683" t="n"/>
      <c r="Q930" s="683" t="n"/>
      <c r="R930" s="683" t="n"/>
      <c r="S930" s="683" t="n"/>
      <c r="T930" s="683" t="n"/>
      <c r="U930" s="683" t="n"/>
      <c r="V930" s="683" t="n"/>
      <c r="W930" s="683" t="n"/>
      <c r="X930" s="683" t="n"/>
      <c r="Y930" s="683" t="n"/>
    </row>
    <row r="931">
      <c r="A931" s="683" t="n"/>
      <c r="B931" s="683" t="n"/>
      <c r="C931" s="683" t="n"/>
      <c r="D931" s="683" t="n"/>
      <c r="E931" s="683" t="n"/>
      <c r="F931" s="683" t="n"/>
      <c r="G931" s="683" t="n"/>
      <c r="H931" s="683" t="n"/>
      <c r="I931" s="683" t="n"/>
      <c r="J931" s="683" t="n"/>
      <c r="K931" s="683" t="n"/>
      <c r="L931" s="683" t="n"/>
      <c r="M931" s="683" t="n"/>
      <c r="N931" s="683" t="n"/>
      <c r="O931" s="683" t="n"/>
      <c r="P931" s="683" t="n"/>
      <c r="Q931" s="683" t="n"/>
      <c r="R931" s="683" t="n"/>
      <c r="S931" s="683" t="n"/>
      <c r="T931" s="683" t="n"/>
      <c r="U931" s="683" t="n"/>
      <c r="V931" s="683" t="n"/>
      <c r="W931" s="683" t="n"/>
      <c r="X931" s="683" t="n"/>
      <c r="Y931" s="683" t="n"/>
    </row>
    <row r="932">
      <c r="A932" s="683" t="n"/>
      <c r="B932" s="683" t="n"/>
      <c r="C932" s="683" t="n"/>
      <c r="D932" s="683" t="n"/>
      <c r="E932" s="683" t="n"/>
      <c r="F932" s="683" t="n"/>
      <c r="G932" s="683" t="n"/>
      <c r="H932" s="683" t="n"/>
      <c r="I932" s="683" t="n"/>
      <c r="J932" s="683" t="n"/>
      <c r="K932" s="683" t="n"/>
      <c r="L932" s="683" t="n"/>
      <c r="M932" s="683" t="n"/>
      <c r="N932" s="683" t="n"/>
      <c r="O932" s="683" t="n"/>
      <c r="P932" s="683" t="n"/>
      <c r="Q932" s="683" t="n"/>
      <c r="R932" s="683" t="n"/>
      <c r="S932" s="683" t="n"/>
      <c r="T932" s="683" t="n"/>
      <c r="U932" s="683" t="n"/>
      <c r="V932" s="683" t="n"/>
      <c r="W932" s="683" t="n"/>
      <c r="X932" s="683" t="n"/>
      <c r="Y932" s="683" t="n"/>
    </row>
    <row r="933">
      <c r="A933" s="683" t="n"/>
      <c r="B933" s="683" t="n"/>
      <c r="C933" s="683" t="n"/>
      <c r="D933" s="683" t="n"/>
      <c r="E933" s="683" t="n"/>
      <c r="F933" s="683" t="n"/>
      <c r="G933" s="683" t="n"/>
      <c r="H933" s="683" t="n"/>
      <c r="I933" s="683" t="n"/>
      <c r="J933" s="683" t="n"/>
      <c r="K933" s="683" t="n"/>
      <c r="L933" s="683" t="n"/>
      <c r="M933" s="683" t="n"/>
      <c r="N933" s="683" t="n"/>
      <c r="O933" s="683" t="n"/>
      <c r="P933" s="683" t="n"/>
      <c r="Q933" s="683" t="n"/>
      <c r="R933" s="683" t="n"/>
      <c r="S933" s="683" t="n"/>
      <c r="T933" s="683" t="n"/>
      <c r="U933" s="683" t="n"/>
      <c r="V933" s="683" t="n"/>
      <c r="W933" s="683" t="n"/>
      <c r="X933" s="683" t="n"/>
      <c r="Y933" s="683" t="n"/>
    </row>
    <row r="934">
      <c r="A934" s="683" t="n"/>
      <c r="B934" s="683" t="n"/>
      <c r="C934" s="683" t="n"/>
      <c r="D934" s="683" t="n"/>
      <c r="E934" s="683" t="n"/>
      <c r="F934" s="683" t="n"/>
      <c r="G934" s="683" t="n"/>
      <c r="H934" s="683" t="n"/>
      <c r="I934" s="683" t="n"/>
      <c r="J934" s="683" t="n"/>
      <c r="K934" s="683" t="n"/>
      <c r="L934" s="683" t="n"/>
      <c r="M934" s="683" t="n"/>
      <c r="N934" s="683" t="n"/>
      <c r="O934" s="683" t="n"/>
      <c r="P934" s="683" t="n"/>
      <c r="Q934" s="683" t="n"/>
      <c r="R934" s="683" t="n"/>
      <c r="S934" s="683" t="n"/>
      <c r="T934" s="683" t="n"/>
      <c r="U934" s="683" t="n"/>
      <c r="V934" s="683" t="n"/>
      <c r="W934" s="683" t="n"/>
      <c r="X934" s="683" t="n"/>
      <c r="Y934" s="683" t="n"/>
    </row>
    <row r="935">
      <c r="A935" s="683" t="n"/>
      <c r="B935" s="683" t="n"/>
      <c r="C935" s="683" t="n"/>
      <c r="D935" s="683" t="n"/>
      <c r="E935" s="683" t="n"/>
      <c r="F935" s="683" t="n"/>
      <c r="G935" s="683" t="n"/>
      <c r="H935" s="683" t="n"/>
      <c r="I935" s="683" t="n"/>
      <c r="J935" s="683" t="n"/>
      <c r="K935" s="683" t="n"/>
      <c r="L935" s="683" t="n"/>
      <c r="M935" s="683" t="n"/>
      <c r="N935" s="683" t="n"/>
      <c r="O935" s="683" t="n"/>
      <c r="P935" s="683" t="n"/>
      <c r="Q935" s="683" t="n"/>
      <c r="R935" s="683" t="n"/>
      <c r="S935" s="683" t="n"/>
      <c r="T935" s="683" t="n"/>
      <c r="U935" s="683" t="n"/>
      <c r="V935" s="683" t="n"/>
      <c r="W935" s="683" t="n"/>
      <c r="X935" s="683" t="n"/>
      <c r="Y935" s="683" t="n"/>
    </row>
    <row r="936">
      <c r="A936" s="683" t="n"/>
      <c r="B936" s="683" t="n"/>
      <c r="C936" s="683" t="n"/>
      <c r="D936" s="683" t="n"/>
      <c r="E936" s="683" t="n"/>
      <c r="F936" s="683" t="n"/>
      <c r="G936" s="683" t="n"/>
      <c r="H936" s="683" t="n"/>
      <c r="I936" s="683" t="n"/>
      <c r="J936" s="683" t="n"/>
      <c r="K936" s="683" t="n"/>
      <c r="L936" s="683" t="n"/>
      <c r="M936" s="683" t="n"/>
      <c r="N936" s="683" t="n"/>
      <c r="O936" s="683" t="n"/>
      <c r="P936" s="683" t="n"/>
      <c r="Q936" s="683" t="n"/>
      <c r="R936" s="683" t="n"/>
      <c r="S936" s="683" t="n"/>
      <c r="T936" s="683" t="n"/>
      <c r="U936" s="683" t="n"/>
      <c r="V936" s="683" t="n"/>
      <c r="W936" s="683" t="n"/>
      <c r="X936" s="683" t="n"/>
      <c r="Y936" s="683" t="n"/>
    </row>
    <row r="937">
      <c r="A937" s="683" t="n"/>
      <c r="B937" s="683" t="n"/>
      <c r="C937" s="683" t="n"/>
      <c r="D937" s="683" t="n"/>
      <c r="E937" s="683" t="n"/>
      <c r="F937" s="683" t="n"/>
      <c r="G937" s="683" t="n"/>
      <c r="H937" s="683" t="n"/>
      <c r="I937" s="683" t="n"/>
      <c r="J937" s="683" t="n"/>
      <c r="K937" s="683" t="n"/>
      <c r="L937" s="683" t="n"/>
      <c r="M937" s="683" t="n"/>
      <c r="N937" s="683" t="n"/>
      <c r="O937" s="683" t="n"/>
      <c r="P937" s="683" t="n"/>
      <c r="Q937" s="683" t="n"/>
      <c r="R937" s="683" t="n"/>
      <c r="S937" s="683" t="n"/>
      <c r="T937" s="683" t="n"/>
      <c r="U937" s="683" t="n"/>
      <c r="V937" s="683" t="n"/>
      <c r="W937" s="683" t="n"/>
      <c r="X937" s="683" t="n"/>
      <c r="Y937" s="683" t="n"/>
    </row>
    <row r="938">
      <c r="A938" s="683" t="n"/>
      <c r="B938" s="683" t="n"/>
      <c r="C938" s="683" t="n"/>
      <c r="D938" s="683" t="n"/>
      <c r="E938" s="683" t="n"/>
      <c r="F938" s="683" t="n"/>
      <c r="G938" s="683" t="n"/>
      <c r="H938" s="683" t="n"/>
      <c r="I938" s="683" t="n"/>
      <c r="J938" s="683" t="n"/>
      <c r="K938" s="683" t="n"/>
      <c r="L938" s="683" t="n"/>
      <c r="M938" s="683" t="n"/>
      <c r="N938" s="683" t="n"/>
      <c r="O938" s="683" t="n"/>
      <c r="P938" s="683" t="n"/>
      <c r="Q938" s="683" t="n"/>
      <c r="R938" s="683" t="n"/>
      <c r="S938" s="683" t="n"/>
      <c r="T938" s="683" t="n"/>
      <c r="U938" s="683" t="n"/>
      <c r="V938" s="683" t="n"/>
      <c r="W938" s="683" t="n"/>
      <c r="X938" s="683" t="n"/>
      <c r="Y938" s="683" t="n"/>
    </row>
    <row r="939">
      <c r="A939" s="683" t="n"/>
      <c r="B939" s="683" t="n"/>
      <c r="C939" s="683" t="n"/>
      <c r="D939" s="683" t="n"/>
      <c r="E939" s="683" t="n"/>
      <c r="F939" s="683" t="n"/>
      <c r="G939" s="683" t="n"/>
      <c r="H939" s="683" t="n"/>
      <c r="I939" s="683" t="n"/>
      <c r="J939" s="683" t="n"/>
      <c r="K939" s="683" t="n"/>
      <c r="L939" s="683" t="n"/>
      <c r="M939" s="683" t="n"/>
      <c r="N939" s="683" t="n"/>
      <c r="O939" s="683" t="n"/>
      <c r="P939" s="683" t="n"/>
      <c r="Q939" s="683" t="n"/>
      <c r="R939" s="683" t="n"/>
      <c r="S939" s="683" t="n"/>
      <c r="T939" s="683" t="n"/>
      <c r="U939" s="683" t="n"/>
      <c r="V939" s="683" t="n"/>
      <c r="W939" s="683" t="n"/>
      <c r="X939" s="683" t="n"/>
      <c r="Y939" s="683" t="n"/>
    </row>
    <row r="940">
      <c r="A940" s="683" t="n"/>
      <c r="B940" s="683" t="n"/>
      <c r="C940" s="683" t="n"/>
      <c r="D940" s="683" t="n"/>
      <c r="E940" s="683" t="n"/>
      <c r="F940" s="683" t="n"/>
      <c r="G940" s="683" t="n"/>
      <c r="H940" s="683" t="n"/>
      <c r="I940" s="683" t="n"/>
      <c r="J940" s="683" t="n"/>
      <c r="K940" s="683" t="n"/>
      <c r="L940" s="683" t="n"/>
      <c r="M940" s="683" t="n"/>
      <c r="N940" s="683" t="n"/>
      <c r="O940" s="683" t="n"/>
      <c r="P940" s="683" t="n"/>
      <c r="Q940" s="683" t="n"/>
      <c r="R940" s="683" t="n"/>
      <c r="S940" s="683" t="n"/>
      <c r="T940" s="683" t="n"/>
      <c r="U940" s="683" t="n"/>
      <c r="V940" s="683" t="n"/>
      <c r="W940" s="683" t="n"/>
      <c r="X940" s="683" t="n"/>
      <c r="Y940" s="683" t="n"/>
    </row>
    <row r="941">
      <c r="A941" s="683" t="n"/>
      <c r="B941" s="683" t="n"/>
      <c r="C941" s="683" t="n"/>
      <c r="D941" s="683" t="n"/>
      <c r="E941" s="683" t="n"/>
      <c r="F941" s="683" t="n"/>
      <c r="G941" s="683" t="n"/>
      <c r="H941" s="683" t="n"/>
      <c r="I941" s="683" t="n"/>
      <c r="J941" s="683" t="n"/>
      <c r="K941" s="683" t="n"/>
      <c r="L941" s="683" t="n"/>
      <c r="M941" s="683" t="n"/>
      <c r="N941" s="683" t="n"/>
      <c r="O941" s="683" t="n"/>
      <c r="P941" s="683" t="n"/>
      <c r="Q941" s="683" t="n"/>
      <c r="R941" s="683" t="n"/>
      <c r="S941" s="683" t="n"/>
      <c r="T941" s="683" t="n"/>
      <c r="U941" s="683" t="n"/>
      <c r="V941" s="683" t="n"/>
      <c r="W941" s="683" t="n"/>
      <c r="X941" s="683" t="n"/>
      <c r="Y941" s="683" t="n"/>
    </row>
    <row r="942">
      <c r="A942" s="683" t="n"/>
      <c r="B942" s="683" t="n"/>
      <c r="C942" s="683" t="n"/>
      <c r="D942" s="683" t="n"/>
      <c r="E942" s="683" t="n"/>
      <c r="F942" s="683" t="n"/>
      <c r="G942" s="683" t="n"/>
      <c r="H942" s="683" t="n"/>
      <c r="I942" s="683" t="n"/>
      <c r="J942" s="683" t="n"/>
      <c r="K942" s="683" t="n"/>
      <c r="L942" s="683" t="n"/>
      <c r="M942" s="683" t="n"/>
      <c r="N942" s="683" t="n"/>
      <c r="O942" s="683" t="n"/>
      <c r="P942" s="683" t="n"/>
      <c r="Q942" s="683" t="n"/>
      <c r="R942" s="683" t="n"/>
      <c r="S942" s="683" t="n"/>
      <c r="T942" s="683" t="n"/>
      <c r="U942" s="683" t="n"/>
      <c r="V942" s="683" t="n"/>
      <c r="W942" s="683" t="n"/>
      <c r="X942" s="683" t="n"/>
      <c r="Y942" s="683" t="n"/>
    </row>
    <row r="943">
      <c r="A943" s="683" t="n"/>
      <c r="B943" s="683" t="n"/>
      <c r="C943" s="683" t="n"/>
      <c r="D943" s="683" t="n"/>
      <c r="E943" s="683" t="n"/>
      <c r="F943" s="683" t="n"/>
      <c r="G943" s="683" t="n"/>
      <c r="H943" s="683" t="n"/>
      <c r="I943" s="683" t="n"/>
      <c r="J943" s="683" t="n"/>
      <c r="K943" s="683" t="n"/>
      <c r="L943" s="683" t="n"/>
      <c r="M943" s="683" t="n"/>
      <c r="N943" s="683" t="n"/>
      <c r="O943" s="683" t="n"/>
      <c r="P943" s="683" t="n"/>
      <c r="Q943" s="683" t="n"/>
      <c r="R943" s="683" t="n"/>
      <c r="S943" s="683" t="n"/>
      <c r="T943" s="683" t="n"/>
      <c r="U943" s="683" t="n"/>
      <c r="V943" s="683" t="n"/>
      <c r="W943" s="683" t="n"/>
      <c r="X943" s="683" t="n"/>
      <c r="Y943" s="683" t="n"/>
    </row>
    <row r="944">
      <c r="A944" s="683" t="n"/>
      <c r="B944" s="683" t="n"/>
      <c r="C944" s="683" t="n"/>
      <c r="D944" s="683" t="n"/>
      <c r="E944" s="683" t="n"/>
      <c r="F944" s="683" t="n"/>
      <c r="G944" s="683" t="n"/>
      <c r="H944" s="683" t="n"/>
      <c r="I944" s="683" t="n"/>
      <c r="J944" s="683" t="n"/>
      <c r="K944" s="683" t="n"/>
      <c r="L944" s="683" t="n"/>
      <c r="M944" s="683" t="n"/>
      <c r="N944" s="683" t="n"/>
      <c r="O944" s="683" t="n"/>
      <c r="P944" s="683" t="n"/>
      <c r="Q944" s="683" t="n"/>
      <c r="R944" s="683" t="n"/>
      <c r="S944" s="683" t="n"/>
      <c r="T944" s="683" t="n"/>
      <c r="U944" s="683" t="n"/>
      <c r="V944" s="683" t="n"/>
      <c r="W944" s="683" t="n"/>
      <c r="X944" s="683" t="n"/>
      <c r="Y944" s="683" t="n"/>
    </row>
    <row r="945">
      <c r="A945" s="683" t="n"/>
      <c r="B945" s="683" t="n"/>
      <c r="C945" s="683" t="n"/>
      <c r="D945" s="683" t="n"/>
      <c r="E945" s="683" t="n"/>
      <c r="F945" s="683" t="n"/>
      <c r="G945" s="683" t="n"/>
      <c r="H945" s="683" t="n"/>
      <c r="I945" s="683" t="n"/>
      <c r="J945" s="683" t="n"/>
      <c r="K945" s="683" t="n"/>
      <c r="L945" s="683" t="n"/>
      <c r="M945" s="683" t="n"/>
      <c r="N945" s="683" t="n"/>
      <c r="O945" s="683" t="n"/>
      <c r="P945" s="683" t="n"/>
      <c r="Q945" s="683" t="n"/>
      <c r="R945" s="683" t="n"/>
      <c r="S945" s="683" t="n"/>
      <c r="T945" s="683" t="n"/>
      <c r="U945" s="683" t="n"/>
      <c r="V945" s="683" t="n"/>
      <c r="W945" s="683" t="n"/>
      <c r="X945" s="683" t="n"/>
      <c r="Y945" s="683" t="n"/>
    </row>
    <row r="946">
      <c r="A946" s="683" t="n"/>
      <c r="B946" s="683" t="n"/>
      <c r="C946" s="683" t="n"/>
      <c r="D946" s="683" t="n"/>
      <c r="E946" s="683" t="n"/>
      <c r="F946" s="683" t="n"/>
      <c r="G946" s="683" t="n"/>
      <c r="H946" s="683" t="n"/>
      <c r="I946" s="683" t="n"/>
      <c r="J946" s="683" t="n"/>
      <c r="K946" s="683" t="n"/>
      <c r="L946" s="683" t="n"/>
      <c r="M946" s="683" t="n"/>
      <c r="N946" s="683" t="n"/>
      <c r="O946" s="683" t="n"/>
      <c r="P946" s="683" t="n"/>
      <c r="Q946" s="683" t="n"/>
      <c r="R946" s="683" t="n"/>
      <c r="S946" s="683" t="n"/>
      <c r="T946" s="683" t="n"/>
      <c r="U946" s="683" t="n"/>
      <c r="V946" s="683" t="n"/>
      <c r="W946" s="683" t="n"/>
      <c r="X946" s="683" t="n"/>
      <c r="Y946" s="683" t="n"/>
    </row>
    <row r="947">
      <c r="A947" s="683" t="n"/>
      <c r="B947" s="683" t="n"/>
      <c r="C947" s="683" t="n"/>
      <c r="D947" s="683" t="n"/>
      <c r="E947" s="683" t="n"/>
      <c r="F947" s="683" t="n"/>
      <c r="G947" s="683" t="n"/>
      <c r="H947" s="683" t="n"/>
      <c r="I947" s="683" t="n"/>
      <c r="J947" s="683" t="n"/>
      <c r="K947" s="683" t="n"/>
      <c r="L947" s="683" t="n"/>
      <c r="M947" s="683" t="n"/>
      <c r="N947" s="683" t="n"/>
      <c r="O947" s="683" t="n"/>
      <c r="P947" s="683" t="n"/>
      <c r="Q947" s="683" t="n"/>
      <c r="R947" s="683" t="n"/>
      <c r="S947" s="683" t="n"/>
      <c r="T947" s="683" t="n"/>
      <c r="U947" s="683" t="n"/>
      <c r="V947" s="683" t="n"/>
      <c r="W947" s="683" t="n"/>
      <c r="X947" s="683" t="n"/>
      <c r="Y947" s="683" t="n"/>
    </row>
    <row r="948">
      <c r="A948" s="683" t="n"/>
      <c r="B948" s="683" t="n"/>
      <c r="C948" s="683" t="n"/>
      <c r="D948" s="683" t="n"/>
      <c r="E948" s="683" t="n"/>
      <c r="F948" s="683" t="n"/>
      <c r="G948" s="683" t="n"/>
      <c r="H948" s="683" t="n"/>
      <c r="I948" s="683" t="n"/>
      <c r="J948" s="683" t="n"/>
      <c r="K948" s="683" t="n"/>
      <c r="L948" s="683" t="n"/>
      <c r="M948" s="683" t="n"/>
      <c r="N948" s="683" t="n"/>
      <c r="O948" s="683" t="n"/>
      <c r="P948" s="683" t="n"/>
      <c r="Q948" s="683" t="n"/>
      <c r="R948" s="683" t="n"/>
      <c r="S948" s="683" t="n"/>
      <c r="T948" s="683" t="n"/>
      <c r="U948" s="683" t="n"/>
      <c r="V948" s="683" t="n"/>
      <c r="W948" s="683" t="n"/>
      <c r="X948" s="683" t="n"/>
      <c r="Y948" s="683" t="n"/>
    </row>
    <row r="949">
      <c r="A949" s="683" t="n"/>
      <c r="B949" s="683" t="n"/>
      <c r="C949" s="683" t="n"/>
      <c r="D949" s="683" t="n"/>
      <c r="E949" s="683" t="n"/>
      <c r="F949" s="683" t="n"/>
      <c r="G949" s="683" t="n"/>
      <c r="H949" s="683" t="n"/>
      <c r="I949" s="683" t="n"/>
      <c r="J949" s="683" t="n"/>
      <c r="K949" s="683" t="n"/>
      <c r="L949" s="683" t="n"/>
      <c r="M949" s="683" t="n"/>
      <c r="N949" s="683" t="n"/>
      <c r="O949" s="683" t="n"/>
      <c r="P949" s="683" t="n"/>
      <c r="Q949" s="683" t="n"/>
      <c r="R949" s="683" t="n"/>
      <c r="S949" s="683" t="n"/>
      <c r="T949" s="683" t="n"/>
      <c r="U949" s="683" t="n"/>
      <c r="V949" s="683" t="n"/>
      <c r="W949" s="683" t="n"/>
      <c r="X949" s="683" t="n"/>
      <c r="Y949" s="683" t="n"/>
    </row>
    <row r="950">
      <c r="A950" s="683" t="n"/>
      <c r="B950" s="683" t="n"/>
      <c r="C950" s="683" t="n"/>
      <c r="D950" s="683" t="n"/>
      <c r="E950" s="683" t="n"/>
      <c r="F950" s="683" t="n"/>
      <c r="G950" s="683" t="n"/>
      <c r="H950" s="683" t="n"/>
      <c r="I950" s="683" t="n"/>
      <c r="J950" s="683" t="n"/>
      <c r="K950" s="683" t="n"/>
      <c r="L950" s="683" t="n"/>
      <c r="M950" s="683" t="n"/>
      <c r="N950" s="683" t="n"/>
      <c r="O950" s="683" t="n"/>
      <c r="P950" s="683" t="n"/>
      <c r="Q950" s="683" t="n"/>
      <c r="R950" s="683" t="n"/>
      <c r="S950" s="683" t="n"/>
      <c r="T950" s="683" t="n"/>
      <c r="U950" s="683" t="n"/>
      <c r="V950" s="683" t="n"/>
      <c r="W950" s="683" t="n"/>
      <c r="X950" s="683" t="n"/>
      <c r="Y950" s="683" t="n"/>
    </row>
    <row r="951">
      <c r="A951" s="683" t="n"/>
      <c r="B951" s="683" t="n"/>
      <c r="C951" s="683" t="n"/>
      <c r="D951" s="683" t="n"/>
      <c r="E951" s="683" t="n"/>
      <c r="F951" s="683" t="n"/>
      <c r="G951" s="683" t="n"/>
      <c r="H951" s="683" t="n"/>
      <c r="I951" s="683" t="n"/>
      <c r="J951" s="683" t="n"/>
      <c r="K951" s="683" t="n"/>
      <c r="L951" s="683" t="n"/>
      <c r="M951" s="683" t="n"/>
      <c r="N951" s="683" t="n"/>
      <c r="O951" s="683" t="n"/>
      <c r="P951" s="683" t="n"/>
      <c r="Q951" s="683" t="n"/>
      <c r="R951" s="683" t="n"/>
      <c r="S951" s="683" t="n"/>
      <c r="T951" s="683" t="n"/>
      <c r="U951" s="683" t="n"/>
      <c r="V951" s="683" t="n"/>
      <c r="W951" s="683" t="n"/>
      <c r="X951" s="683" t="n"/>
      <c r="Y951" s="683" t="n"/>
    </row>
    <row r="952">
      <c r="A952" s="683" t="n"/>
      <c r="B952" s="683" t="n"/>
      <c r="C952" s="683" t="n"/>
      <c r="D952" s="683" t="n"/>
      <c r="E952" s="683" t="n"/>
      <c r="F952" s="683" t="n"/>
      <c r="G952" s="683" t="n"/>
      <c r="H952" s="683" t="n"/>
      <c r="I952" s="683" t="n"/>
      <c r="J952" s="683" t="n"/>
      <c r="K952" s="683" t="n"/>
      <c r="L952" s="683" t="n"/>
      <c r="M952" s="683" t="n"/>
      <c r="N952" s="683" t="n"/>
      <c r="O952" s="683" t="n"/>
      <c r="P952" s="683" t="n"/>
      <c r="Q952" s="683" t="n"/>
      <c r="R952" s="683" t="n"/>
      <c r="S952" s="683" t="n"/>
      <c r="T952" s="683" t="n"/>
      <c r="U952" s="683" t="n"/>
      <c r="V952" s="683" t="n"/>
      <c r="W952" s="683" t="n"/>
      <c r="X952" s="683" t="n"/>
      <c r="Y952" s="683" t="n"/>
    </row>
    <row r="953">
      <c r="A953" s="683" t="n"/>
      <c r="B953" s="683" t="n"/>
      <c r="C953" s="683" t="n"/>
      <c r="D953" s="683" t="n"/>
      <c r="E953" s="683" t="n"/>
      <c r="F953" s="683" t="n"/>
      <c r="G953" s="683" t="n"/>
      <c r="H953" s="683" t="n"/>
      <c r="I953" s="683" t="n"/>
      <c r="J953" s="683" t="n"/>
      <c r="K953" s="683" t="n"/>
      <c r="L953" s="683" t="n"/>
      <c r="M953" s="683" t="n"/>
      <c r="N953" s="683" t="n"/>
      <c r="O953" s="683" t="n"/>
      <c r="P953" s="683" t="n"/>
      <c r="Q953" s="683" t="n"/>
      <c r="R953" s="683" t="n"/>
      <c r="S953" s="683" t="n"/>
      <c r="T953" s="683" t="n"/>
      <c r="U953" s="683" t="n"/>
      <c r="V953" s="683" t="n"/>
      <c r="W953" s="683" t="n"/>
      <c r="X953" s="683" t="n"/>
      <c r="Y953" s="683" t="n"/>
    </row>
    <row r="954">
      <c r="A954" s="683" t="n"/>
      <c r="B954" s="683" t="n"/>
      <c r="C954" s="683" t="n"/>
      <c r="D954" s="683" t="n"/>
      <c r="E954" s="683" t="n"/>
      <c r="F954" s="683" t="n"/>
      <c r="G954" s="683" t="n"/>
      <c r="H954" s="683" t="n"/>
      <c r="I954" s="683" t="n"/>
      <c r="J954" s="683" t="n"/>
      <c r="K954" s="683" t="n"/>
      <c r="L954" s="683" t="n"/>
      <c r="M954" s="683" t="n"/>
      <c r="N954" s="683" t="n"/>
      <c r="O954" s="683" t="n"/>
      <c r="P954" s="683" t="n"/>
      <c r="Q954" s="683" t="n"/>
      <c r="R954" s="683" t="n"/>
      <c r="S954" s="683" t="n"/>
      <c r="T954" s="683" t="n"/>
      <c r="U954" s="683" t="n"/>
      <c r="V954" s="683" t="n"/>
      <c r="W954" s="683" t="n"/>
      <c r="X954" s="683" t="n"/>
      <c r="Y954" s="683" t="n"/>
    </row>
    <row r="955">
      <c r="A955" s="683" t="n"/>
      <c r="B955" s="683" t="n"/>
      <c r="C955" s="683" t="n"/>
      <c r="D955" s="683" t="n"/>
      <c r="E955" s="683" t="n"/>
      <c r="F955" s="683" t="n"/>
      <c r="G955" s="683" t="n"/>
      <c r="H955" s="683" t="n"/>
      <c r="I955" s="683" t="n"/>
      <c r="J955" s="683" t="n"/>
      <c r="K955" s="683" t="n"/>
      <c r="L955" s="683" t="n"/>
      <c r="M955" s="683" t="n"/>
      <c r="N955" s="683" t="n"/>
      <c r="O955" s="683" t="n"/>
      <c r="P955" s="683" t="n"/>
      <c r="Q955" s="683" t="n"/>
      <c r="R955" s="683" t="n"/>
      <c r="S955" s="683" t="n"/>
      <c r="T955" s="683" t="n"/>
      <c r="U955" s="683" t="n"/>
      <c r="V955" s="683" t="n"/>
      <c r="W955" s="683" t="n"/>
      <c r="X955" s="683" t="n"/>
      <c r="Y955" s="683" t="n"/>
    </row>
    <row r="956">
      <c r="A956" s="683" t="n"/>
      <c r="B956" s="683" t="n"/>
      <c r="C956" s="683" t="n"/>
      <c r="D956" s="683" t="n"/>
      <c r="E956" s="683" t="n"/>
      <c r="F956" s="683" t="n"/>
      <c r="G956" s="683" t="n"/>
      <c r="H956" s="683" t="n"/>
      <c r="I956" s="683" t="n"/>
      <c r="J956" s="683" t="n"/>
      <c r="K956" s="683" t="n"/>
      <c r="L956" s="683" t="n"/>
      <c r="M956" s="683" t="n"/>
      <c r="N956" s="683" t="n"/>
      <c r="O956" s="683" t="n"/>
      <c r="P956" s="683" t="n"/>
      <c r="Q956" s="683" t="n"/>
      <c r="R956" s="683" t="n"/>
      <c r="S956" s="683" t="n"/>
      <c r="T956" s="683" t="n"/>
      <c r="U956" s="683" t="n"/>
      <c r="V956" s="683" t="n"/>
      <c r="W956" s="683" t="n"/>
      <c r="X956" s="683" t="n"/>
      <c r="Y956" s="683" t="n"/>
    </row>
    <row r="957">
      <c r="A957" s="683" t="n"/>
      <c r="B957" s="683" t="n"/>
      <c r="C957" s="683" t="n"/>
      <c r="D957" s="683" t="n"/>
      <c r="E957" s="683" t="n"/>
      <c r="F957" s="683" t="n"/>
      <c r="G957" s="683" t="n"/>
      <c r="H957" s="683" t="n"/>
      <c r="I957" s="683" t="n"/>
      <c r="J957" s="683" t="n"/>
      <c r="K957" s="683" t="n"/>
      <c r="L957" s="683" t="n"/>
      <c r="M957" s="683" t="n"/>
      <c r="N957" s="683" t="n"/>
      <c r="O957" s="683" t="n"/>
      <c r="P957" s="683" t="n"/>
      <c r="Q957" s="683" t="n"/>
      <c r="R957" s="683" t="n"/>
      <c r="S957" s="683" t="n"/>
      <c r="T957" s="683" t="n"/>
      <c r="U957" s="683" t="n"/>
      <c r="V957" s="683" t="n"/>
      <c r="W957" s="683" t="n"/>
      <c r="X957" s="683" t="n"/>
      <c r="Y957" s="683" t="n"/>
    </row>
    <row r="958">
      <c r="A958" s="683" t="n"/>
      <c r="B958" s="683" t="n"/>
      <c r="C958" s="683" t="n"/>
      <c r="D958" s="683" t="n"/>
      <c r="E958" s="683" t="n"/>
      <c r="F958" s="683" t="n"/>
      <c r="G958" s="683" t="n"/>
      <c r="H958" s="683" t="n"/>
      <c r="I958" s="683" t="n"/>
      <c r="J958" s="683" t="n"/>
      <c r="K958" s="683" t="n"/>
      <c r="L958" s="683" t="n"/>
      <c r="M958" s="683" t="n"/>
      <c r="N958" s="683" t="n"/>
      <c r="O958" s="683" t="n"/>
      <c r="P958" s="683" t="n"/>
      <c r="Q958" s="683" t="n"/>
      <c r="R958" s="683" t="n"/>
      <c r="S958" s="683" t="n"/>
      <c r="T958" s="683" t="n"/>
      <c r="U958" s="683" t="n"/>
      <c r="V958" s="683" t="n"/>
      <c r="W958" s="683" t="n"/>
      <c r="X958" s="683" t="n"/>
      <c r="Y958" s="683" t="n"/>
    </row>
    <row r="959">
      <c r="A959" s="683" t="n"/>
      <c r="B959" s="683" t="n"/>
      <c r="C959" s="683" t="n"/>
      <c r="D959" s="683" t="n"/>
      <c r="E959" s="683" t="n"/>
      <c r="F959" s="683" t="n"/>
      <c r="G959" s="683" t="n"/>
      <c r="H959" s="683" t="n"/>
      <c r="I959" s="683" t="n"/>
      <c r="J959" s="683" t="n"/>
      <c r="K959" s="683" t="n"/>
      <c r="L959" s="683" t="n"/>
      <c r="M959" s="683" t="n"/>
      <c r="N959" s="683" t="n"/>
      <c r="O959" s="683" t="n"/>
      <c r="P959" s="683" t="n"/>
      <c r="Q959" s="683" t="n"/>
      <c r="R959" s="683" t="n"/>
      <c r="S959" s="683" t="n"/>
      <c r="T959" s="683" t="n"/>
      <c r="U959" s="683" t="n"/>
      <c r="V959" s="683" t="n"/>
      <c r="W959" s="683" t="n"/>
      <c r="X959" s="683" t="n"/>
      <c r="Y959" s="683" t="n"/>
    </row>
    <row r="960">
      <c r="A960" s="683" t="n"/>
      <c r="B960" s="683" t="n"/>
      <c r="C960" s="683" t="n"/>
      <c r="D960" s="683" t="n"/>
      <c r="E960" s="683" t="n"/>
      <c r="F960" s="683" t="n"/>
      <c r="G960" s="683" t="n"/>
      <c r="H960" s="683" t="n"/>
      <c r="I960" s="683" t="n"/>
      <c r="J960" s="683" t="n"/>
      <c r="K960" s="683" t="n"/>
      <c r="L960" s="683" t="n"/>
      <c r="M960" s="683" t="n"/>
      <c r="N960" s="683" t="n"/>
      <c r="O960" s="683" t="n"/>
      <c r="P960" s="683" t="n"/>
      <c r="Q960" s="683" t="n"/>
      <c r="R960" s="683" t="n"/>
      <c r="S960" s="683" t="n"/>
      <c r="T960" s="683" t="n"/>
      <c r="U960" s="683" t="n"/>
      <c r="V960" s="683" t="n"/>
      <c r="W960" s="683" t="n"/>
      <c r="X960" s="683" t="n"/>
      <c r="Y960" s="683" t="n"/>
    </row>
    <row r="961">
      <c r="A961" s="683" t="n"/>
      <c r="B961" s="683" t="n"/>
      <c r="C961" s="683" t="n"/>
      <c r="D961" s="683" t="n"/>
      <c r="E961" s="683" t="n"/>
      <c r="F961" s="683" t="n"/>
      <c r="G961" s="683" t="n"/>
      <c r="H961" s="683" t="n"/>
      <c r="I961" s="683" t="n"/>
      <c r="J961" s="683" t="n"/>
      <c r="K961" s="683" t="n"/>
      <c r="L961" s="683" t="n"/>
      <c r="M961" s="683" t="n"/>
      <c r="N961" s="683" t="n"/>
      <c r="O961" s="683" t="n"/>
      <c r="P961" s="683" t="n"/>
      <c r="Q961" s="683" t="n"/>
      <c r="R961" s="683" t="n"/>
      <c r="S961" s="683" t="n"/>
      <c r="T961" s="683" t="n"/>
      <c r="U961" s="683" t="n"/>
      <c r="V961" s="683" t="n"/>
      <c r="W961" s="683" t="n"/>
      <c r="X961" s="683" t="n"/>
      <c r="Y961" s="683" t="n"/>
    </row>
    <row r="962">
      <c r="A962" s="683" t="n"/>
      <c r="B962" s="683" t="n"/>
      <c r="C962" s="683" t="n"/>
      <c r="D962" s="683" t="n"/>
      <c r="E962" s="683" t="n"/>
      <c r="F962" s="683" t="n"/>
      <c r="G962" s="683" t="n"/>
      <c r="H962" s="683" t="n"/>
      <c r="I962" s="683" t="n"/>
      <c r="J962" s="683" t="n"/>
      <c r="K962" s="683" t="n"/>
      <c r="L962" s="683" t="n"/>
      <c r="M962" s="683" t="n"/>
      <c r="N962" s="683" t="n"/>
      <c r="O962" s="683" t="n"/>
      <c r="P962" s="683" t="n"/>
      <c r="Q962" s="683" t="n"/>
      <c r="R962" s="683" t="n"/>
      <c r="S962" s="683" t="n"/>
      <c r="T962" s="683" t="n"/>
      <c r="U962" s="683" t="n"/>
      <c r="V962" s="683" t="n"/>
      <c r="W962" s="683" t="n"/>
      <c r="X962" s="683" t="n"/>
      <c r="Y962" s="683" t="n"/>
    </row>
    <row r="963">
      <c r="A963" s="683" t="n"/>
      <c r="B963" s="683" t="n"/>
      <c r="C963" s="683" t="n"/>
      <c r="D963" s="683" t="n"/>
      <c r="E963" s="683" t="n"/>
      <c r="F963" s="683" t="n"/>
      <c r="G963" s="683" t="n"/>
      <c r="H963" s="683" t="n"/>
      <c r="I963" s="683" t="n"/>
      <c r="J963" s="683" t="n"/>
      <c r="K963" s="683" t="n"/>
      <c r="L963" s="683" t="n"/>
      <c r="M963" s="683" t="n"/>
      <c r="N963" s="683" t="n"/>
      <c r="O963" s="683" t="n"/>
      <c r="P963" s="683" t="n"/>
      <c r="Q963" s="683" t="n"/>
      <c r="R963" s="683" t="n"/>
      <c r="S963" s="683" t="n"/>
      <c r="T963" s="683" t="n"/>
      <c r="U963" s="683" t="n"/>
      <c r="V963" s="683" t="n"/>
      <c r="W963" s="683" t="n"/>
      <c r="X963" s="683" t="n"/>
      <c r="Y963" s="683" t="n"/>
    </row>
    <row r="964">
      <c r="A964" s="683" t="n"/>
      <c r="B964" s="683" t="n"/>
      <c r="C964" s="683" t="n"/>
      <c r="D964" s="683" t="n"/>
      <c r="E964" s="683" t="n"/>
      <c r="F964" s="683" t="n"/>
      <c r="G964" s="683" t="n"/>
      <c r="H964" s="683" t="n"/>
      <c r="I964" s="683" t="n"/>
      <c r="J964" s="683" t="n"/>
      <c r="K964" s="683" t="n"/>
      <c r="L964" s="683" t="n"/>
      <c r="M964" s="683" t="n"/>
      <c r="N964" s="683" t="n"/>
      <c r="O964" s="683" t="n"/>
      <c r="P964" s="683" t="n"/>
      <c r="Q964" s="683" t="n"/>
      <c r="R964" s="683" t="n"/>
      <c r="S964" s="683" t="n"/>
      <c r="T964" s="683" t="n"/>
      <c r="U964" s="683" t="n"/>
      <c r="V964" s="683" t="n"/>
      <c r="W964" s="683" t="n"/>
      <c r="X964" s="683" t="n"/>
      <c r="Y964" s="683" t="n"/>
    </row>
    <row r="965">
      <c r="A965" s="683" t="n"/>
      <c r="B965" s="683" t="n"/>
      <c r="C965" s="683" t="n"/>
      <c r="D965" s="683" t="n"/>
      <c r="E965" s="683" t="n"/>
      <c r="F965" s="683" t="n"/>
      <c r="G965" s="683" t="n"/>
      <c r="H965" s="683" t="n"/>
      <c r="I965" s="683" t="n"/>
      <c r="J965" s="683" t="n"/>
      <c r="K965" s="683" t="n"/>
      <c r="L965" s="683" t="n"/>
      <c r="M965" s="683" t="n"/>
      <c r="N965" s="683" t="n"/>
      <c r="O965" s="683" t="n"/>
      <c r="P965" s="683" t="n"/>
      <c r="Q965" s="683" t="n"/>
      <c r="R965" s="683" t="n"/>
      <c r="S965" s="683" t="n"/>
      <c r="T965" s="683" t="n"/>
      <c r="U965" s="683" t="n"/>
      <c r="V965" s="683" t="n"/>
      <c r="W965" s="683" t="n"/>
      <c r="X965" s="683" t="n"/>
      <c r="Y965" s="683" t="n"/>
    </row>
    <row r="966">
      <c r="A966" s="683" t="n"/>
      <c r="B966" s="683" t="n"/>
      <c r="C966" s="683" t="n"/>
      <c r="D966" s="683" t="n"/>
      <c r="E966" s="683" t="n"/>
      <c r="F966" s="683" t="n"/>
      <c r="G966" s="683" t="n"/>
      <c r="H966" s="683" t="n"/>
      <c r="I966" s="683" t="n"/>
      <c r="J966" s="683" t="n"/>
      <c r="K966" s="683" t="n"/>
      <c r="L966" s="683" t="n"/>
      <c r="M966" s="683" t="n"/>
      <c r="N966" s="683" t="n"/>
      <c r="O966" s="683" t="n"/>
      <c r="P966" s="683" t="n"/>
      <c r="Q966" s="683" t="n"/>
      <c r="R966" s="683" t="n"/>
      <c r="S966" s="683" t="n"/>
      <c r="T966" s="683" t="n"/>
      <c r="U966" s="683" t="n"/>
      <c r="V966" s="683" t="n"/>
      <c r="W966" s="683" t="n"/>
      <c r="X966" s="683" t="n"/>
      <c r="Y966" s="683" t="n"/>
    </row>
    <row r="967">
      <c r="A967" s="683" t="n"/>
      <c r="B967" s="683" t="n"/>
      <c r="C967" s="683" t="n"/>
      <c r="D967" s="683" t="n"/>
      <c r="E967" s="683" t="n"/>
      <c r="F967" s="683" t="n"/>
      <c r="G967" s="683" t="n"/>
      <c r="H967" s="683" t="n"/>
      <c r="I967" s="683" t="n"/>
      <c r="J967" s="683" t="n"/>
      <c r="K967" s="683" t="n"/>
      <c r="L967" s="683" t="n"/>
      <c r="M967" s="683" t="n"/>
      <c r="N967" s="683" t="n"/>
      <c r="O967" s="683" t="n"/>
      <c r="P967" s="683" t="n"/>
      <c r="Q967" s="683" t="n"/>
      <c r="R967" s="683" t="n"/>
      <c r="S967" s="683" t="n"/>
      <c r="T967" s="683" t="n"/>
      <c r="U967" s="683" t="n"/>
      <c r="V967" s="683" t="n"/>
      <c r="W967" s="683" t="n"/>
      <c r="X967" s="683" t="n"/>
      <c r="Y967" s="683" t="n"/>
    </row>
    <row r="968">
      <c r="A968" s="683" t="n"/>
      <c r="B968" s="683" t="n"/>
      <c r="C968" s="683" t="n"/>
      <c r="D968" s="683" t="n"/>
      <c r="E968" s="683" t="n"/>
      <c r="F968" s="683" t="n"/>
      <c r="G968" s="683" t="n"/>
      <c r="H968" s="683" t="n"/>
      <c r="I968" s="683" t="n"/>
      <c r="J968" s="683" t="n"/>
      <c r="K968" s="683" t="n"/>
      <c r="L968" s="683" t="n"/>
      <c r="M968" s="683" t="n"/>
      <c r="N968" s="683" t="n"/>
      <c r="O968" s="683" t="n"/>
      <c r="P968" s="683" t="n"/>
      <c r="Q968" s="683" t="n"/>
      <c r="R968" s="683" t="n"/>
      <c r="S968" s="683" t="n"/>
      <c r="T968" s="683" t="n"/>
      <c r="U968" s="683" t="n"/>
      <c r="V968" s="683" t="n"/>
      <c r="W968" s="683" t="n"/>
      <c r="X968" s="683" t="n"/>
      <c r="Y968" s="683" t="n"/>
    </row>
    <row r="969">
      <c r="A969" s="683" t="n"/>
      <c r="B969" s="683" t="n"/>
      <c r="C969" s="683" t="n"/>
      <c r="D969" s="683" t="n"/>
      <c r="E969" s="683" t="n"/>
      <c r="F969" s="683" t="n"/>
      <c r="G969" s="683" t="n"/>
      <c r="H969" s="683" t="n"/>
      <c r="I969" s="683" t="n"/>
      <c r="J969" s="683" t="n"/>
      <c r="K969" s="683" t="n"/>
      <c r="L969" s="683" t="n"/>
      <c r="M969" s="683" t="n"/>
      <c r="N969" s="683" t="n"/>
      <c r="O969" s="683" t="n"/>
      <c r="P969" s="683" t="n"/>
      <c r="Q969" s="683" t="n"/>
      <c r="R969" s="683" t="n"/>
      <c r="S969" s="683" t="n"/>
      <c r="T969" s="683" t="n"/>
      <c r="U969" s="683" t="n"/>
      <c r="V969" s="683" t="n"/>
      <c r="W969" s="683" t="n"/>
      <c r="X969" s="683" t="n"/>
      <c r="Y969" s="683" t="n"/>
    </row>
    <row r="970">
      <c r="A970" s="683" t="n"/>
      <c r="B970" s="683" t="n"/>
      <c r="C970" s="683" t="n"/>
      <c r="D970" s="683" t="n"/>
      <c r="E970" s="683" t="n"/>
      <c r="F970" s="683" t="n"/>
      <c r="G970" s="683" t="n"/>
      <c r="H970" s="683" t="n"/>
      <c r="I970" s="683" t="n"/>
      <c r="J970" s="683" t="n"/>
      <c r="K970" s="683" t="n"/>
      <c r="L970" s="683" t="n"/>
      <c r="M970" s="683" t="n"/>
      <c r="N970" s="683" t="n"/>
      <c r="O970" s="683" t="n"/>
      <c r="P970" s="683" t="n"/>
      <c r="Q970" s="683" t="n"/>
      <c r="R970" s="683" t="n"/>
      <c r="S970" s="683" t="n"/>
      <c r="T970" s="683" t="n"/>
      <c r="U970" s="683" t="n"/>
      <c r="V970" s="683" t="n"/>
      <c r="W970" s="683" t="n"/>
      <c r="X970" s="683" t="n"/>
      <c r="Y970" s="683" t="n"/>
    </row>
    <row r="971">
      <c r="A971" s="683" t="n"/>
      <c r="B971" s="683" t="n"/>
      <c r="C971" s="683" t="n"/>
      <c r="D971" s="683" t="n"/>
      <c r="E971" s="683" t="n"/>
      <c r="F971" s="683" t="n"/>
      <c r="G971" s="683" t="n"/>
      <c r="H971" s="683" t="n"/>
      <c r="I971" s="683" t="n"/>
      <c r="J971" s="683" t="n"/>
      <c r="K971" s="683" t="n"/>
      <c r="L971" s="683" t="n"/>
      <c r="M971" s="683" t="n"/>
      <c r="N971" s="683" t="n"/>
      <c r="O971" s="683" t="n"/>
      <c r="P971" s="683" t="n"/>
      <c r="Q971" s="683" t="n"/>
      <c r="R971" s="683" t="n"/>
      <c r="S971" s="683" t="n"/>
      <c r="T971" s="683" t="n"/>
      <c r="U971" s="683" t="n"/>
      <c r="V971" s="683" t="n"/>
      <c r="W971" s="683" t="n"/>
      <c r="X971" s="683" t="n"/>
      <c r="Y971" s="683" t="n"/>
    </row>
    <row r="972">
      <c r="A972" s="683" t="n"/>
      <c r="B972" s="683" t="n"/>
      <c r="C972" s="683" t="n"/>
      <c r="D972" s="683" t="n"/>
      <c r="E972" s="683" t="n"/>
      <c r="F972" s="683" t="n"/>
      <c r="G972" s="683" t="n"/>
      <c r="H972" s="683" t="n"/>
      <c r="I972" s="683" t="n"/>
      <c r="J972" s="683" t="n"/>
      <c r="K972" s="683" t="n"/>
      <c r="L972" s="683" t="n"/>
      <c r="M972" s="683" t="n"/>
      <c r="N972" s="683" t="n"/>
      <c r="O972" s="683" t="n"/>
      <c r="P972" s="683" t="n"/>
      <c r="Q972" s="683" t="n"/>
      <c r="R972" s="683" t="n"/>
      <c r="S972" s="683" t="n"/>
      <c r="T972" s="683" t="n"/>
      <c r="U972" s="683" t="n"/>
      <c r="V972" s="683" t="n"/>
      <c r="W972" s="683" t="n"/>
      <c r="X972" s="683" t="n"/>
      <c r="Y972" s="683" t="n"/>
    </row>
    <row r="973">
      <c r="A973" s="683" t="n"/>
      <c r="B973" s="683" t="n"/>
      <c r="C973" s="683" t="n"/>
      <c r="D973" s="683" t="n"/>
      <c r="E973" s="683" t="n"/>
      <c r="F973" s="683" t="n"/>
      <c r="G973" s="683" t="n"/>
      <c r="H973" s="683" t="n"/>
      <c r="I973" s="683" t="n"/>
      <c r="J973" s="683" t="n"/>
      <c r="K973" s="683" t="n"/>
      <c r="L973" s="683" t="n"/>
      <c r="M973" s="683" t="n"/>
      <c r="N973" s="683" t="n"/>
      <c r="O973" s="683" t="n"/>
      <c r="P973" s="683" t="n"/>
      <c r="Q973" s="683" t="n"/>
      <c r="R973" s="683" t="n"/>
      <c r="S973" s="683" t="n"/>
      <c r="T973" s="683" t="n"/>
      <c r="U973" s="683" t="n"/>
      <c r="V973" s="683" t="n"/>
      <c r="W973" s="683" t="n"/>
      <c r="X973" s="683" t="n"/>
      <c r="Y973" s="683" t="n"/>
    </row>
    <row r="974">
      <c r="A974" s="683" t="n"/>
      <c r="B974" s="683" t="n"/>
      <c r="C974" s="683" t="n"/>
      <c r="D974" s="683" t="n"/>
      <c r="E974" s="683" t="n"/>
      <c r="F974" s="683" t="n"/>
      <c r="G974" s="683" t="n"/>
      <c r="H974" s="683" t="n"/>
      <c r="I974" s="683" t="n"/>
      <c r="J974" s="683" t="n"/>
      <c r="K974" s="683" t="n"/>
      <c r="L974" s="683" t="n"/>
      <c r="M974" s="683" t="n"/>
      <c r="N974" s="683" t="n"/>
      <c r="O974" s="683" t="n"/>
      <c r="P974" s="683" t="n"/>
      <c r="Q974" s="683" t="n"/>
      <c r="R974" s="683" t="n"/>
      <c r="S974" s="683" t="n"/>
      <c r="T974" s="683" t="n"/>
      <c r="U974" s="683" t="n"/>
      <c r="V974" s="683" t="n"/>
      <c r="W974" s="683" t="n"/>
      <c r="X974" s="683" t="n"/>
      <c r="Y974" s="683" t="n"/>
    </row>
    <row r="975">
      <c r="A975" s="683" t="n"/>
      <c r="B975" s="683" t="n"/>
      <c r="C975" s="683" t="n"/>
      <c r="D975" s="683" t="n"/>
      <c r="E975" s="683" t="n"/>
      <c r="F975" s="683" t="n"/>
      <c r="G975" s="683" t="n"/>
      <c r="H975" s="683" t="n"/>
      <c r="I975" s="683" t="n"/>
      <c r="J975" s="683" t="n"/>
      <c r="K975" s="683" t="n"/>
      <c r="L975" s="683" t="n"/>
      <c r="M975" s="683" t="n"/>
      <c r="N975" s="683" t="n"/>
      <c r="O975" s="683" t="n"/>
      <c r="P975" s="683" t="n"/>
      <c r="Q975" s="683" t="n"/>
      <c r="R975" s="683" t="n"/>
      <c r="S975" s="683" t="n"/>
      <c r="T975" s="683" t="n"/>
      <c r="U975" s="683" t="n"/>
      <c r="V975" s="683" t="n"/>
      <c r="W975" s="683" t="n"/>
      <c r="X975" s="683" t="n"/>
      <c r="Y975" s="683" t="n"/>
    </row>
    <row r="976">
      <c r="A976" s="683" t="n"/>
      <c r="B976" s="683" t="n"/>
      <c r="C976" s="683" t="n"/>
      <c r="D976" s="683" t="n"/>
      <c r="E976" s="683" t="n"/>
      <c r="F976" s="683" t="n"/>
      <c r="G976" s="683" t="n"/>
      <c r="H976" s="683" t="n"/>
      <c r="I976" s="683" t="n"/>
      <c r="J976" s="683" t="n"/>
      <c r="K976" s="683" t="n"/>
      <c r="L976" s="683" t="n"/>
      <c r="M976" s="683" t="n"/>
      <c r="N976" s="683" t="n"/>
      <c r="O976" s="683" t="n"/>
      <c r="P976" s="683" t="n"/>
      <c r="Q976" s="683" t="n"/>
      <c r="R976" s="683" t="n"/>
      <c r="S976" s="683" t="n"/>
      <c r="T976" s="683" t="n"/>
      <c r="U976" s="683" t="n"/>
      <c r="V976" s="683" t="n"/>
      <c r="W976" s="683" t="n"/>
      <c r="X976" s="683" t="n"/>
      <c r="Y976" s="683" t="n"/>
    </row>
    <row r="977">
      <c r="A977" s="683" t="n"/>
      <c r="B977" s="683" t="n"/>
      <c r="C977" s="683" t="n"/>
      <c r="D977" s="683" t="n"/>
      <c r="E977" s="683" t="n"/>
      <c r="F977" s="683" t="n"/>
      <c r="G977" s="683" t="n"/>
      <c r="H977" s="683" t="n"/>
      <c r="I977" s="683" t="n"/>
      <c r="J977" s="683" t="n"/>
      <c r="K977" s="683" t="n"/>
      <c r="L977" s="683" t="n"/>
      <c r="M977" s="683" t="n"/>
      <c r="N977" s="683" t="n"/>
      <c r="O977" s="683" t="n"/>
      <c r="P977" s="683" t="n"/>
      <c r="Q977" s="683" t="n"/>
      <c r="R977" s="683" t="n"/>
      <c r="S977" s="683" t="n"/>
      <c r="T977" s="683" t="n"/>
      <c r="U977" s="683" t="n"/>
      <c r="V977" s="683" t="n"/>
      <c r="W977" s="683" t="n"/>
      <c r="X977" s="683" t="n"/>
      <c r="Y977" s="683" t="n"/>
    </row>
    <row r="978">
      <c r="A978" s="683" t="n"/>
      <c r="B978" s="683" t="n"/>
      <c r="C978" s="683" t="n"/>
      <c r="D978" s="683" t="n"/>
      <c r="E978" s="683" t="n"/>
      <c r="F978" s="683" t="n"/>
      <c r="G978" s="683" t="n"/>
      <c r="H978" s="683" t="n"/>
      <c r="I978" s="683" t="n"/>
      <c r="J978" s="683" t="n"/>
      <c r="K978" s="683" t="n"/>
      <c r="L978" s="683" t="n"/>
      <c r="M978" s="683" t="n"/>
      <c r="N978" s="683" t="n"/>
      <c r="O978" s="683" t="n"/>
      <c r="P978" s="683" t="n"/>
      <c r="Q978" s="683" t="n"/>
      <c r="R978" s="683" t="n"/>
      <c r="S978" s="683" t="n"/>
      <c r="T978" s="683" t="n"/>
      <c r="U978" s="683" t="n"/>
      <c r="V978" s="683" t="n"/>
      <c r="W978" s="683" t="n"/>
      <c r="X978" s="683" t="n"/>
      <c r="Y978" s="683" t="n"/>
    </row>
    <row r="979">
      <c r="A979" s="683" t="n"/>
      <c r="B979" s="683" t="n"/>
      <c r="C979" s="683" t="n"/>
      <c r="D979" s="683" t="n"/>
      <c r="E979" s="683" t="n"/>
      <c r="F979" s="683" t="n"/>
      <c r="G979" s="683" t="n"/>
      <c r="H979" s="683" t="n"/>
      <c r="I979" s="683" t="n"/>
      <c r="J979" s="683" t="n"/>
      <c r="K979" s="683" t="n"/>
      <c r="L979" s="683" t="n"/>
      <c r="M979" s="683" t="n"/>
      <c r="N979" s="683" t="n"/>
      <c r="O979" s="683" t="n"/>
      <c r="P979" s="683" t="n"/>
      <c r="Q979" s="683" t="n"/>
      <c r="R979" s="683" t="n"/>
      <c r="S979" s="683" t="n"/>
      <c r="T979" s="683" t="n"/>
      <c r="U979" s="683" t="n"/>
      <c r="V979" s="683" t="n"/>
      <c r="W979" s="683" t="n"/>
      <c r="X979" s="683" t="n"/>
      <c r="Y979" s="683" t="n"/>
    </row>
    <row r="980">
      <c r="A980" s="683" t="n"/>
      <c r="B980" s="683" t="n"/>
      <c r="C980" s="683" t="n"/>
      <c r="D980" s="683" t="n"/>
      <c r="E980" s="683" t="n"/>
      <c r="F980" s="683" t="n"/>
      <c r="G980" s="683" t="n"/>
      <c r="H980" s="683" t="n"/>
      <c r="I980" s="683" t="n"/>
      <c r="J980" s="683" t="n"/>
      <c r="K980" s="683" t="n"/>
      <c r="L980" s="683" t="n"/>
      <c r="M980" s="683" t="n"/>
      <c r="N980" s="683" t="n"/>
      <c r="O980" s="683" t="n"/>
      <c r="P980" s="683" t="n"/>
      <c r="Q980" s="683" t="n"/>
      <c r="R980" s="683" t="n"/>
      <c r="S980" s="683" t="n"/>
      <c r="T980" s="683" t="n"/>
      <c r="U980" s="683" t="n"/>
      <c r="V980" s="683" t="n"/>
      <c r="W980" s="683" t="n"/>
      <c r="X980" s="683" t="n"/>
      <c r="Y980" s="683" t="n"/>
    </row>
    <row r="981">
      <c r="A981" s="683" t="n"/>
      <c r="B981" s="683" t="n"/>
      <c r="C981" s="683" t="n"/>
      <c r="D981" s="683" t="n"/>
      <c r="E981" s="683" t="n"/>
      <c r="F981" s="683" t="n"/>
      <c r="G981" s="683" t="n"/>
      <c r="H981" s="683" t="n"/>
      <c r="I981" s="683" t="n"/>
      <c r="J981" s="683" t="n"/>
      <c r="K981" s="683" t="n"/>
      <c r="L981" s="683" t="n"/>
      <c r="M981" s="683" t="n"/>
      <c r="N981" s="683" t="n"/>
      <c r="O981" s="683" t="n"/>
      <c r="P981" s="683" t="n"/>
      <c r="Q981" s="683" t="n"/>
      <c r="R981" s="683" t="n"/>
      <c r="S981" s="683" t="n"/>
      <c r="T981" s="683" t="n"/>
      <c r="U981" s="683" t="n"/>
      <c r="V981" s="683" t="n"/>
      <c r="W981" s="683" t="n"/>
      <c r="X981" s="683" t="n"/>
      <c r="Y981" s="683" t="n"/>
    </row>
    <row r="982">
      <c r="A982" s="683" t="n"/>
      <c r="B982" s="683" t="n"/>
      <c r="C982" s="683" t="n"/>
      <c r="D982" s="683" t="n"/>
      <c r="E982" s="683" t="n"/>
      <c r="F982" s="683" t="n"/>
      <c r="G982" s="683" t="n"/>
      <c r="H982" s="683" t="n"/>
      <c r="I982" s="683" t="n"/>
      <c r="J982" s="683" t="n"/>
      <c r="K982" s="683" t="n"/>
      <c r="L982" s="683" t="n"/>
      <c r="M982" s="683" t="n"/>
      <c r="N982" s="683" t="n"/>
      <c r="O982" s="683" t="n"/>
      <c r="P982" s="683" t="n"/>
      <c r="Q982" s="683" t="n"/>
      <c r="R982" s="683" t="n"/>
      <c r="S982" s="683" t="n"/>
      <c r="T982" s="683" t="n"/>
      <c r="U982" s="683" t="n"/>
      <c r="V982" s="683" t="n"/>
      <c r="W982" s="683" t="n"/>
      <c r="X982" s="683" t="n"/>
      <c r="Y982" s="683" t="n"/>
    </row>
    <row r="983">
      <c r="A983" s="683" t="n"/>
      <c r="B983" s="683" t="n"/>
      <c r="C983" s="683" t="n"/>
      <c r="D983" s="683" t="n"/>
      <c r="E983" s="683" t="n"/>
      <c r="F983" s="683" t="n"/>
      <c r="G983" s="683" t="n"/>
      <c r="H983" s="683" t="n"/>
      <c r="I983" s="683" t="n"/>
      <c r="J983" s="683" t="n"/>
      <c r="K983" s="683" t="n"/>
      <c r="L983" s="683" t="n"/>
      <c r="M983" s="683" t="n"/>
      <c r="N983" s="683" t="n"/>
      <c r="O983" s="683" t="n"/>
      <c r="P983" s="683" t="n"/>
      <c r="Q983" s="683" t="n"/>
      <c r="R983" s="683" t="n"/>
      <c r="S983" s="683" t="n"/>
      <c r="T983" s="683" t="n"/>
      <c r="U983" s="683" t="n"/>
      <c r="V983" s="683" t="n"/>
      <c r="W983" s="683" t="n"/>
      <c r="X983" s="683" t="n"/>
      <c r="Y983" s="683" t="n"/>
    </row>
    <row r="984">
      <c r="A984" s="683" t="n"/>
      <c r="B984" s="683" t="n"/>
      <c r="C984" s="683" t="n"/>
      <c r="D984" s="683" t="n"/>
      <c r="E984" s="683" t="n"/>
      <c r="F984" s="683" t="n"/>
      <c r="G984" s="683" t="n"/>
      <c r="H984" s="683" t="n"/>
      <c r="I984" s="683" t="n"/>
      <c r="J984" s="683" t="n"/>
      <c r="K984" s="683" t="n"/>
      <c r="L984" s="683" t="n"/>
      <c r="M984" s="683" t="n"/>
      <c r="N984" s="683" t="n"/>
      <c r="O984" s="683" t="n"/>
      <c r="P984" s="683" t="n"/>
      <c r="Q984" s="683" t="n"/>
      <c r="R984" s="683" t="n"/>
      <c r="S984" s="683" t="n"/>
      <c r="T984" s="683" t="n"/>
      <c r="U984" s="683" t="n"/>
      <c r="V984" s="683" t="n"/>
      <c r="W984" s="683" t="n"/>
      <c r="X984" s="683" t="n"/>
      <c r="Y984" s="683" t="n"/>
    </row>
    <row r="985">
      <c r="A985" s="683" t="n"/>
      <c r="B985" s="683" t="n"/>
      <c r="C985" s="683" t="n"/>
      <c r="D985" s="683" t="n"/>
      <c r="E985" s="683" t="n"/>
      <c r="F985" s="683" t="n"/>
      <c r="G985" s="683" t="n"/>
      <c r="H985" s="683" t="n"/>
      <c r="I985" s="683" t="n"/>
      <c r="J985" s="683" t="n"/>
      <c r="K985" s="683" t="n"/>
      <c r="L985" s="683" t="n"/>
      <c r="M985" s="683" t="n"/>
      <c r="N985" s="683" t="n"/>
      <c r="O985" s="683" t="n"/>
      <c r="P985" s="683" t="n"/>
      <c r="Q985" s="683" t="n"/>
      <c r="R985" s="683" t="n"/>
      <c r="S985" s="683" t="n"/>
      <c r="T985" s="683" t="n"/>
      <c r="U985" s="683" t="n"/>
      <c r="V985" s="683" t="n"/>
      <c r="W985" s="683" t="n"/>
      <c r="X985" s="683" t="n"/>
      <c r="Y985" s="683" t="n"/>
    </row>
    <row r="986">
      <c r="A986" s="683" t="n"/>
      <c r="B986" s="683" t="n"/>
      <c r="C986" s="683" t="n"/>
      <c r="D986" s="683" t="n"/>
      <c r="E986" s="683" t="n"/>
      <c r="F986" s="683" t="n"/>
      <c r="G986" s="683" t="n"/>
      <c r="H986" s="683" t="n"/>
      <c r="I986" s="683" t="n"/>
      <c r="J986" s="683" t="n"/>
      <c r="K986" s="683" t="n"/>
      <c r="L986" s="683" t="n"/>
      <c r="M986" s="683" t="n"/>
      <c r="N986" s="683" t="n"/>
      <c r="O986" s="683" t="n"/>
      <c r="P986" s="683" t="n"/>
      <c r="Q986" s="683" t="n"/>
      <c r="R986" s="683" t="n"/>
      <c r="S986" s="683" t="n"/>
      <c r="T986" s="683" t="n"/>
      <c r="U986" s="683" t="n"/>
      <c r="V986" s="683" t="n"/>
      <c r="W986" s="683" t="n"/>
      <c r="X986" s="683" t="n"/>
      <c r="Y986" s="683" t="n"/>
    </row>
    <row r="987">
      <c r="A987" s="683" t="n"/>
      <c r="B987" s="683" t="n"/>
      <c r="C987" s="683" t="n"/>
      <c r="D987" s="683" t="n"/>
      <c r="E987" s="683" t="n"/>
      <c r="F987" s="683" t="n"/>
      <c r="G987" s="683" t="n"/>
      <c r="H987" s="683" t="n"/>
      <c r="I987" s="683" t="n"/>
      <c r="J987" s="683" t="n"/>
      <c r="K987" s="683" t="n"/>
      <c r="L987" s="683" t="n"/>
      <c r="M987" s="683" t="n"/>
      <c r="N987" s="683" t="n"/>
      <c r="O987" s="683" t="n"/>
      <c r="P987" s="683" t="n"/>
      <c r="Q987" s="683" t="n"/>
      <c r="R987" s="683" t="n"/>
      <c r="S987" s="683" t="n"/>
      <c r="T987" s="683" t="n"/>
      <c r="U987" s="683" t="n"/>
      <c r="V987" s="683" t="n"/>
      <c r="W987" s="683" t="n"/>
      <c r="X987" s="683" t="n"/>
      <c r="Y987" s="683" t="n"/>
    </row>
    <row r="988">
      <c r="A988" s="683" t="n"/>
      <c r="B988" s="683" t="n"/>
      <c r="C988" s="683" t="n"/>
      <c r="D988" s="683" t="n"/>
      <c r="E988" s="683" t="n"/>
      <c r="F988" s="683" t="n"/>
      <c r="G988" s="683" t="n"/>
      <c r="H988" s="683" t="n"/>
      <c r="I988" s="683" t="n"/>
      <c r="J988" s="683" t="n"/>
      <c r="K988" s="683" t="n"/>
      <c r="L988" s="683" t="n"/>
      <c r="M988" s="683" t="n"/>
      <c r="N988" s="683" t="n"/>
      <c r="O988" s="683" t="n"/>
      <c r="P988" s="683" t="n"/>
      <c r="Q988" s="683" t="n"/>
      <c r="R988" s="683" t="n"/>
      <c r="S988" s="683" t="n"/>
      <c r="T988" s="683" t="n"/>
      <c r="U988" s="683" t="n"/>
      <c r="V988" s="683" t="n"/>
      <c r="W988" s="683" t="n"/>
      <c r="X988" s="683" t="n"/>
      <c r="Y988" s="683" t="n"/>
    </row>
    <row r="989">
      <c r="A989" s="683" t="n"/>
      <c r="B989" s="683" t="n"/>
      <c r="C989" s="683" t="n"/>
      <c r="D989" s="683" t="n"/>
      <c r="E989" s="683" t="n"/>
      <c r="F989" s="683" t="n"/>
      <c r="G989" s="683" t="n"/>
      <c r="H989" s="683" t="n"/>
      <c r="I989" s="683" t="n"/>
      <c r="J989" s="683" t="n"/>
      <c r="K989" s="683" t="n"/>
      <c r="L989" s="683" t="n"/>
      <c r="M989" s="683" t="n"/>
      <c r="N989" s="683" t="n"/>
      <c r="O989" s="683" t="n"/>
      <c r="P989" s="683" t="n"/>
      <c r="Q989" s="683" t="n"/>
      <c r="R989" s="683" t="n"/>
      <c r="S989" s="683" t="n"/>
      <c r="T989" s="683" t="n"/>
      <c r="U989" s="683" t="n"/>
      <c r="V989" s="683" t="n"/>
      <c r="W989" s="683" t="n"/>
      <c r="X989" s="683" t="n"/>
      <c r="Y989" s="683" t="n"/>
    </row>
    <row r="990">
      <c r="A990" s="683" t="n"/>
      <c r="B990" s="683" t="n"/>
      <c r="C990" s="683" t="n"/>
      <c r="D990" s="683" t="n"/>
      <c r="E990" s="683" t="n"/>
      <c r="F990" s="683" t="n"/>
      <c r="G990" s="683" t="n"/>
      <c r="H990" s="683" t="n"/>
      <c r="I990" s="683" t="n"/>
      <c r="J990" s="683" t="n"/>
      <c r="K990" s="683" t="n"/>
      <c r="L990" s="683" t="n"/>
      <c r="M990" s="683" t="n"/>
      <c r="N990" s="683" t="n"/>
      <c r="O990" s="683" t="n"/>
      <c r="P990" s="683" t="n"/>
      <c r="Q990" s="683" t="n"/>
      <c r="R990" s="683" t="n"/>
      <c r="S990" s="683" t="n"/>
      <c r="T990" s="683" t="n"/>
      <c r="U990" s="683" t="n"/>
      <c r="V990" s="683" t="n"/>
      <c r="W990" s="683" t="n"/>
      <c r="X990" s="683" t="n"/>
      <c r="Y990" s="683" t="n"/>
    </row>
    <row r="991">
      <c r="A991" s="683" t="n"/>
      <c r="B991" s="683" t="n"/>
      <c r="C991" s="683" t="n"/>
      <c r="D991" s="683" t="n"/>
      <c r="E991" s="683" t="n"/>
      <c r="F991" s="683" t="n"/>
      <c r="G991" s="683" t="n"/>
      <c r="H991" s="683" t="n"/>
      <c r="I991" s="683" t="n"/>
      <c r="J991" s="683" t="n"/>
      <c r="K991" s="683" t="n"/>
      <c r="L991" s="683" t="n"/>
      <c r="M991" s="683" t="n"/>
      <c r="N991" s="683" t="n"/>
      <c r="O991" s="683" t="n"/>
      <c r="P991" s="683" t="n"/>
      <c r="Q991" s="683" t="n"/>
      <c r="R991" s="683" t="n"/>
      <c r="S991" s="683" t="n"/>
      <c r="T991" s="683" t="n"/>
      <c r="U991" s="683" t="n"/>
      <c r="V991" s="683" t="n"/>
      <c r="W991" s="683" t="n"/>
      <c r="X991" s="683" t="n"/>
      <c r="Y991" s="683" t="n"/>
    </row>
    <row r="992">
      <c r="A992" s="683" t="n"/>
      <c r="B992" s="683" t="n"/>
      <c r="C992" s="683" t="n"/>
      <c r="D992" s="683" t="n"/>
      <c r="E992" s="683" t="n"/>
      <c r="F992" s="683" t="n"/>
      <c r="G992" s="683" t="n"/>
      <c r="H992" s="683" t="n"/>
      <c r="I992" s="683" t="n"/>
      <c r="J992" s="683" t="n"/>
      <c r="K992" s="683" t="n"/>
      <c r="L992" s="683" t="n"/>
      <c r="M992" s="683" t="n"/>
      <c r="N992" s="683" t="n"/>
      <c r="O992" s="683" t="n"/>
      <c r="P992" s="683" t="n"/>
      <c r="Q992" s="683" t="n"/>
      <c r="R992" s="683" t="n"/>
      <c r="S992" s="683" t="n"/>
      <c r="T992" s="683" t="n"/>
      <c r="U992" s="683" t="n"/>
      <c r="V992" s="683" t="n"/>
      <c r="W992" s="683" t="n"/>
      <c r="X992" s="683" t="n"/>
      <c r="Y992" s="683" t="n"/>
    </row>
    <row r="993">
      <c r="A993" s="683" t="n"/>
      <c r="B993" s="683" t="n"/>
      <c r="C993" s="683" t="n"/>
      <c r="D993" s="683" t="n"/>
      <c r="E993" s="683" t="n"/>
      <c r="F993" s="683" t="n"/>
      <c r="G993" s="683" t="n"/>
      <c r="H993" s="683" t="n"/>
      <c r="I993" s="683" t="n"/>
      <c r="J993" s="683" t="n"/>
      <c r="K993" s="683" t="n"/>
      <c r="L993" s="683" t="n"/>
      <c r="M993" s="683" t="n"/>
      <c r="N993" s="683" t="n"/>
      <c r="O993" s="683" t="n"/>
      <c r="P993" s="683" t="n"/>
      <c r="Q993" s="683" t="n"/>
      <c r="R993" s="683" t="n"/>
      <c r="S993" s="683" t="n"/>
      <c r="T993" s="683" t="n"/>
      <c r="U993" s="683" t="n"/>
      <c r="V993" s="683" t="n"/>
      <c r="W993" s="683" t="n"/>
      <c r="X993" s="683" t="n"/>
      <c r="Y993" s="683" t="n"/>
    </row>
    <row r="994">
      <c r="A994" s="683" t="n"/>
      <c r="B994" s="683" t="n"/>
      <c r="C994" s="683" t="n"/>
      <c r="D994" s="683" t="n"/>
      <c r="E994" s="683" t="n"/>
      <c r="F994" s="683" t="n"/>
      <c r="G994" s="683" t="n"/>
      <c r="H994" s="683" t="n"/>
      <c r="I994" s="683" t="n"/>
      <c r="J994" s="683" t="n"/>
      <c r="K994" s="683" t="n"/>
      <c r="L994" s="683" t="n"/>
      <c r="M994" s="683" t="n"/>
      <c r="N994" s="683" t="n"/>
      <c r="O994" s="683" t="n"/>
      <c r="P994" s="683" t="n"/>
      <c r="Q994" s="683" t="n"/>
      <c r="R994" s="683" t="n"/>
      <c r="S994" s="683" t="n"/>
      <c r="T994" s="683" t="n"/>
      <c r="U994" s="683" t="n"/>
      <c r="V994" s="683" t="n"/>
      <c r="W994" s="683" t="n"/>
      <c r="X994" s="683" t="n"/>
      <c r="Y994" s="683" t="n"/>
    </row>
    <row r="995">
      <c r="A995" s="683" t="n"/>
      <c r="B995" s="683" t="n"/>
      <c r="C995" s="683" t="n"/>
      <c r="D995" s="683" t="n"/>
      <c r="E995" s="683" t="n"/>
      <c r="F995" s="683" t="n"/>
      <c r="G995" s="683" t="n"/>
      <c r="H995" s="683" t="n"/>
      <c r="I995" s="683" t="n"/>
      <c r="J995" s="683" t="n"/>
      <c r="K995" s="683" t="n"/>
      <c r="L995" s="683" t="n"/>
      <c r="M995" s="683" t="n"/>
      <c r="N995" s="683" t="n"/>
      <c r="O995" s="683" t="n"/>
      <c r="P995" s="683" t="n"/>
      <c r="Q995" s="683" t="n"/>
      <c r="R995" s="683" t="n"/>
      <c r="S995" s="683" t="n"/>
      <c r="T995" s="683" t="n"/>
      <c r="U995" s="683" t="n"/>
      <c r="V995" s="683" t="n"/>
      <c r="W995" s="683" t="n"/>
      <c r="X995" s="683" t="n"/>
      <c r="Y995" s="683" t="n"/>
    </row>
    <row r="996">
      <c r="A996" s="683" t="n"/>
      <c r="B996" s="683" t="n"/>
      <c r="C996" s="683" t="n"/>
      <c r="D996" s="683" t="n"/>
      <c r="E996" s="683" t="n"/>
      <c r="F996" s="683" t="n"/>
      <c r="G996" s="683" t="n"/>
      <c r="H996" s="683" t="n"/>
      <c r="I996" s="683" t="n"/>
      <c r="J996" s="683" t="n"/>
      <c r="K996" s="683" t="n"/>
      <c r="L996" s="683" t="n"/>
      <c r="M996" s="683" t="n"/>
      <c r="N996" s="683" t="n"/>
      <c r="O996" s="683" t="n"/>
      <c r="P996" s="683" t="n"/>
      <c r="Q996" s="683" t="n"/>
      <c r="R996" s="683" t="n"/>
      <c r="S996" s="683" t="n"/>
      <c r="T996" s="683" t="n"/>
      <c r="U996" s="683" t="n"/>
      <c r="V996" s="683" t="n"/>
      <c r="W996" s="683" t="n"/>
      <c r="X996" s="683" t="n"/>
      <c r="Y996" s="683" t="n"/>
    </row>
    <row r="997">
      <c r="A997" s="683" t="n"/>
      <c r="B997" s="683" t="n"/>
      <c r="C997" s="683" t="n"/>
      <c r="D997" s="683" t="n"/>
      <c r="E997" s="683" t="n"/>
      <c r="F997" s="683" t="n"/>
      <c r="G997" s="683" t="n"/>
      <c r="H997" s="683" t="n"/>
      <c r="I997" s="683" t="n"/>
      <c r="J997" s="683" t="n"/>
      <c r="K997" s="683" t="n"/>
      <c r="L997" s="683" t="n"/>
      <c r="M997" s="683" t="n"/>
      <c r="N997" s="683" t="n"/>
      <c r="O997" s="683" t="n"/>
      <c r="P997" s="683" t="n"/>
      <c r="Q997" s="683" t="n"/>
      <c r="R997" s="683" t="n"/>
      <c r="S997" s="683" t="n"/>
      <c r="T997" s="683" t="n"/>
      <c r="U997" s="683" t="n"/>
      <c r="V997" s="683" t="n"/>
      <c r="W997" s="683" t="n"/>
      <c r="X997" s="683" t="n"/>
      <c r="Y997" s="683" t="n"/>
    </row>
    <row r="998">
      <c r="A998" s="683" t="n"/>
      <c r="B998" s="683" t="n"/>
      <c r="C998" s="683" t="n"/>
      <c r="D998" s="683" t="n"/>
      <c r="E998" s="683" t="n"/>
      <c r="F998" s="683" t="n"/>
      <c r="G998" s="683" t="n"/>
      <c r="H998" s="683" t="n"/>
      <c r="I998" s="683" t="n"/>
      <c r="J998" s="683" t="n"/>
      <c r="K998" s="683" t="n"/>
      <c r="L998" s="683" t="n"/>
      <c r="M998" s="683" t="n"/>
      <c r="N998" s="683" t="n"/>
      <c r="O998" s="683" t="n"/>
      <c r="P998" s="683" t="n"/>
      <c r="Q998" s="683" t="n"/>
      <c r="R998" s="683" t="n"/>
      <c r="S998" s="683" t="n"/>
      <c r="T998" s="683" t="n"/>
      <c r="U998" s="683" t="n"/>
      <c r="V998" s="683" t="n"/>
      <c r="W998" s="683" t="n"/>
      <c r="X998" s="683" t="n"/>
      <c r="Y998" s="683" t="n"/>
    </row>
    <row r="999">
      <c r="A999" s="683" t="n"/>
      <c r="B999" s="683" t="n"/>
      <c r="C999" s="683" t="n"/>
      <c r="D999" s="683" t="n"/>
      <c r="E999" s="683" t="n"/>
      <c r="F999" s="683" t="n"/>
      <c r="G999" s="683" t="n"/>
      <c r="H999" s="683" t="n"/>
      <c r="I999" s="683" t="n"/>
      <c r="J999" s="683" t="n"/>
      <c r="K999" s="683" t="n"/>
      <c r="L999" s="683" t="n"/>
      <c r="M999" s="683" t="n"/>
      <c r="N999" s="683" t="n"/>
      <c r="O999" s="683" t="n"/>
      <c r="P999" s="683" t="n"/>
      <c r="Q999" s="683" t="n"/>
      <c r="R999" s="683" t="n"/>
      <c r="S999" s="683" t="n"/>
      <c r="T999" s="683" t="n"/>
      <c r="U999" s="683" t="n"/>
      <c r="V999" s="683" t="n"/>
      <c r="W999" s="683" t="n"/>
      <c r="X999" s="683" t="n"/>
      <c r="Y999" s="683" t="n"/>
    </row>
    <row r="1000">
      <c r="A1000" s="683" t="n"/>
      <c r="B1000" s="683" t="n"/>
      <c r="C1000" s="683" t="n"/>
      <c r="D1000" s="683" t="n"/>
      <c r="E1000" s="683" t="n"/>
      <c r="F1000" s="683" t="n"/>
      <c r="G1000" s="683" t="n"/>
      <c r="H1000" s="683" t="n"/>
      <c r="I1000" s="683" t="n"/>
      <c r="J1000" s="683" t="n"/>
      <c r="K1000" s="683" t="n"/>
      <c r="L1000" s="683" t="n"/>
      <c r="M1000" s="683" t="n"/>
      <c r="N1000" s="683" t="n"/>
      <c r="O1000" s="683" t="n"/>
      <c r="P1000" s="683" t="n"/>
      <c r="Q1000" s="683" t="n"/>
      <c r="R1000" s="683" t="n"/>
      <c r="S1000" s="683" t="n"/>
      <c r="T1000" s="683" t="n"/>
      <c r="U1000" s="683" t="n"/>
      <c r="V1000" s="683" t="n"/>
      <c r="W1000" s="683" t="n"/>
      <c r="X1000" s="683" t="n"/>
      <c r="Y1000" s="683" t="n"/>
    </row>
    <row r="1001">
      <c r="A1001" s="683" t="n"/>
      <c r="B1001" s="683" t="n"/>
      <c r="C1001" s="683" t="n"/>
      <c r="D1001" s="683" t="n"/>
      <c r="E1001" s="683" t="n"/>
      <c r="F1001" s="683" t="n"/>
      <c r="G1001" s="683" t="n"/>
      <c r="H1001" s="683" t="n"/>
      <c r="I1001" s="683" t="n"/>
      <c r="J1001" s="683" t="n"/>
      <c r="K1001" s="683" t="n"/>
      <c r="L1001" s="683" t="n"/>
      <c r="M1001" s="683" t="n"/>
      <c r="N1001" s="683" t="n"/>
      <c r="O1001" s="683" t="n"/>
      <c r="P1001" s="683" t="n"/>
      <c r="Q1001" s="683" t="n"/>
      <c r="R1001" s="683" t="n"/>
      <c r="S1001" s="683" t="n"/>
      <c r="T1001" s="683" t="n"/>
      <c r="U1001" s="683" t="n"/>
      <c r="V1001" s="683" t="n"/>
      <c r="W1001" s="683" t="n"/>
      <c r="X1001" s="683" t="n"/>
      <c r="Y1001" s="683" t="n"/>
    </row>
    <row r="1002">
      <c r="A1002" s="683" t="n"/>
      <c r="B1002" s="683" t="n"/>
      <c r="C1002" s="683" t="n"/>
      <c r="D1002" s="683" t="n"/>
      <c r="E1002" s="683" t="n"/>
      <c r="F1002" s="683" t="n"/>
      <c r="G1002" s="683" t="n"/>
      <c r="H1002" s="683" t="n"/>
      <c r="I1002" s="683" t="n"/>
      <c r="J1002" s="683" t="n"/>
      <c r="K1002" s="683" t="n"/>
      <c r="L1002" s="683" t="n"/>
      <c r="M1002" s="683" t="n"/>
      <c r="N1002" s="683" t="n"/>
      <c r="O1002" s="683" t="n"/>
      <c r="P1002" s="683" t="n"/>
      <c r="Q1002" s="683" t="n"/>
      <c r="R1002" s="683" t="n"/>
      <c r="S1002" s="683" t="n"/>
      <c r="T1002" s="683" t="n"/>
      <c r="U1002" s="683" t="n"/>
      <c r="V1002" s="683" t="n"/>
      <c r="W1002" s="683" t="n"/>
      <c r="X1002" s="683" t="n"/>
      <c r="Y1002" s="683" t="n"/>
    </row>
    <row r="1003">
      <c r="A1003" s="683" t="n"/>
      <c r="B1003" s="683" t="n"/>
      <c r="C1003" s="683" t="n"/>
      <c r="D1003" s="683" t="n"/>
      <c r="E1003" s="683" t="n"/>
      <c r="F1003" s="683" t="n"/>
      <c r="G1003" s="683" t="n"/>
      <c r="H1003" s="683" t="n"/>
      <c r="I1003" s="683" t="n"/>
      <c r="J1003" s="683" t="n"/>
      <c r="K1003" s="683" t="n"/>
      <c r="L1003" s="683" t="n"/>
      <c r="M1003" s="683" t="n"/>
      <c r="N1003" s="683" t="n"/>
      <c r="O1003" s="683" t="n"/>
      <c r="P1003" s="683" t="n"/>
      <c r="Q1003" s="683" t="n"/>
      <c r="R1003" s="683" t="n"/>
      <c r="S1003" s="683" t="n"/>
      <c r="T1003" s="683" t="n"/>
      <c r="U1003" s="683" t="n"/>
      <c r="V1003" s="683" t="n"/>
      <c r="W1003" s="683" t="n"/>
      <c r="X1003" s="683" t="n"/>
      <c r="Y1003" s="683" t="n"/>
    </row>
    <row r="1004">
      <c r="A1004" s="683" t="n"/>
      <c r="B1004" s="683" t="n"/>
      <c r="C1004" s="683" t="n"/>
      <c r="D1004" s="683" t="n"/>
      <c r="E1004" s="683" t="n"/>
      <c r="F1004" s="683" t="n"/>
      <c r="G1004" s="683" t="n"/>
      <c r="H1004" s="683" t="n"/>
      <c r="I1004" s="683" t="n"/>
      <c r="J1004" s="683" t="n"/>
      <c r="K1004" s="683" t="n"/>
      <c r="L1004" s="683" t="n"/>
      <c r="M1004" s="683" t="n"/>
      <c r="N1004" s="683" t="n"/>
      <c r="O1004" s="683" t="n"/>
      <c r="P1004" s="683" t="n"/>
      <c r="Q1004" s="683" t="n"/>
      <c r="R1004" s="683" t="n"/>
      <c r="S1004" s="683" t="n"/>
      <c r="T1004" s="683" t="n"/>
      <c r="U1004" s="683" t="n"/>
      <c r="V1004" s="683" t="n"/>
      <c r="W1004" s="683" t="n"/>
      <c r="X1004" s="683" t="n"/>
      <c r="Y1004" s="683" t="n"/>
    </row>
    <row r="1005">
      <c r="A1005" s="683" t="n"/>
      <c r="B1005" s="683" t="n"/>
      <c r="C1005" s="683" t="n"/>
      <c r="D1005" s="683" t="n"/>
      <c r="E1005" s="683" t="n"/>
      <c r="F1005" s="683" t="n"/>
      <c r="G1005" s="683" t="n"/>
      <c r="H1005" s="683" t="n"/>
      <c r="I1005" s="683" t="n"/>
      <c r="J1005" s="683" t="n"/>
      <c r="K1005" s="683" t="n"/>
      <c r="L1005" s="683" t="n"/>
      <c r="M1005" s="683" t="n"/>
      <c r="N1005" s="683" t="n"/>
      <c r="O1005" s="683" t="n"/>
      <c r="P1005" s="683" t="n"/>
      <c r="Q1005" s="683" t="n"/>
      <c r="R1005" s="683" t="n"/>
      <c r="S1005" s="683" t="n"/>
      <c r="T1005" s="683" t="n"/>
      <c r="U1005" s="683" t="n"/>
      <c r="V1005" s="683" t="n"/>
      <c r="W1005" s="683" t="n"/>
      <c r="X1005" s="683" t="n"/>
      <c r="Y1005" s="683" t="n"/>
    </row>
    <row r="1006">
      <c r="A1006" s="683" t="n"/>
      <c r="B1006" s="683" t="n"/>
      <c r="C1006" s="683" t="n"/>
      <c r="D1006" s="683" t="n"/>
      <c r="E1006" s="683" t="n"/>
      <c r="F1006" s="683" t="n"/>
      <c r="G1006" s="683" t="n"/>
      <c r="H1006" s="683" t="n"/>
      <c r="I1006" s="683" t="n"/>
      <c r="J1006" s="683" t="n"/>
      <c r="K1006" s="683" t="n"/>
      <c r="L1006" s="683" t="n"/>
      <c r="M1006" s="683" t="n"/>
      <c r="N1006" s="683" t="n"/>
      <c r="O1006" s="683" t="n"/>
      <c r="P1006" s="683" t="n"/>
      <c r="Q1006" s="683" t="n"/>
      <c r="R1006" s="683" t="n"/>
      <c r="S1006" s="683" t="n"/>
      <c r="T1006" s="683" t="n"/>
      <c r="U1006" s="683" t="n"/>
      <c r="V1006" s="683" t="n"/>
      <c r="W1006" s="683" t="n"/>
      <c r="X1006" s="683" t="n"/>
      <c r="Y1006" s="683" t="n"/>
    </row>
    <row r="1007">
      <c r="A1007" s="683" t="n"/>
      <c r="B1007" s="683" t="n"/>
      <c r="C1007" s="683" t="n"/>
      <c r="D1007" s="683" t="n"/>
      <c r="E1007" s="683" t="n"/>
      <c r="F1007" s="683" t="n"/>
      <c r="G1007" s="683" t="n"/>
      <c r="H1007" s="683" t="n"/>
      <c r="I1007" s="683" t="n"/>
      <c r="J1007" s="683" t="n"/>
      <c r="K1007" s="683" t="n"/>
      <c r="L1007" s="683" t="n"/>
      <c r="M1007" s="683" t="n"/>
      <c r="N1007" s="683" t="n"/>
      <c r="O1007" s="683" t="n"/>
      <c r="P1007" s="683" t="n"/>
      <c r="Q1007" s="683" t="n"/>
      <c r="R1007" s="683" t="n"/>
      <c r="S1007" s="683" t="n"/>
      <c r="T1007" s="683" t="n"/>
      <c r="U1007" s="683" t="n"/>
      <c r="V1007" s="683" t="n"/>
      <c r="W1007" s="683" t="n"/>
      <c r="X1007" s="683" t="n"/>
      <c r="Y1007" s="683" t="n"/>
    </row>
    <row r="1008">
      <c r="A1008" s="683" t="n"/>
      <c r="B1008" s="683" t="n"/>
      <c r="C1008" s="683" t="n"/>
      <c r="D1008" s="683" t="n"/>
      <c r="E1008" s="683" t="n"/>
      <c r="F1008" s="683" t="n"/>
      <c r="G1008" s="683" t="n"/>
      <c r="H1008" s="683" t="n"/>
      <c r="I1008" s="683" t="n"/>
      <c r="J1008" s="683" t="n"/>
      <c r="K1008" s="683" t="n"/>
      <c r="L1008" s="683" t="n"/>
      <c r="M1008" s="683" t="n"/>
      <c r="N1008" s="683" t="n"/>
      <c r="O1008" s="683" t="n"/>
      <c r="P1008" s="683" t="n"/>
      <c r="Q1008" s="683" t="n"/>
      <c r="R1008" s="683" t="n"/>
      <c r="S1008" s="683" t="n"/>
      <c r="T1008" s="683" t="n"/>
      <c r="U1008" s="683" t="n"/>
      <c r="V1008" s="683" t="n"/>
      <c r="W1008" s="683" t="n"/>
      <c r="X1008" s="683" t="n"/>
      <c r="Y1008" s="683" t="n"/>
    </row>
    <row r="1009">
      <c r="A1009" s="683" t="n"/>
      <c r="B1009" s="683" t="n"/>
      <c r="C1009" s="683" t="n"/>
      <c r="D1009" s="683" t="n"/>
      <c r="E1009" s="683" t="n"/>
      <c r="F1009" s="683" t="n"/>
      <c r="G1009" s="683" t="n"/>
      <c r="H1009" s="683" t="n"/>
      <c r="I1009" s="683" t="n"/>
      <c r="J1009" s="683" t="n"/>
      <c r="K1009" s="683" t="n"/>
      <c r="L1009" s="683" t="n"/>
      <c r="M1009" s="683" t="n"/>
      <c r="N1009" s="683" t="n"/>
      <c r="O1009" s="683" t="n"/>
      <c r="P1009" s="683" t="n"/>
      <c r="Q1009" s="683" t="n"/>
      <c r="R1009" s="683" t="n"/>
      <c r="S1009" s="683" t="n"/>
      <c r="T1009" s="683" t="n"/>
      <c r="U1009" s="683" t="n"/>
      <c r="V1009" s="683" t="n"/>
      <c r="W1009" s="683" t="n"/>
      <c r="X1009" s="683" t="n"/>
      <c r="Y1009" s="683" t="n"/>
    </row>
    <row r="1010">
      <c r="A1010" s="683" t="n"/>
      <c r="B1010" s="683" t="n"/>
      <c r="C1010" s="683" t="n"/>
      <c r="D1010" s="683" t="n"/>
      <c r="E1010" s="683" t="n"/>
      <c r="F1010" s="683" t="n"/>
      <c r="G1010" s="683" t="n"/>
      <c r="H1010" s="683" t="n"/>
      <c r="I1010" s="683" t="n"/>
      <c r="J1010" s="683" t="n"/>
      <c r="K1010" s="683" t="n"/>
      <c r="L1010" s="683" t="n"/>
      <c r="M1010" s="683" t="n"/>
      <c r="N1010" s="683" t="n"/>
      <c r="O1010" s="683" t="n"/>
      <c r="P1010" s="683" t="n"/>
      <c r="Q1010" s="683" t="n"/>
      <c r="R1010" s="683" t="n"/>
      <c r="S1010" s="683" t="n"/>
      <c r="T1010" s="683" t="n"/>
      <c r="U1010" s="683" t="n"/>
      <c r="V1010" s="683" t="n"/>
      <c r="W1010" s="683" t="n"/>
      <c r="X1010" s="683" t="n"/>
      <c r="Y1010" s="683" t="n"/>
    </row>
    <row r="1011">
      <c r="A1011" s="683" t="n"/>
      <c r="B1011" s="683" t="n"/>
      <c r="C1011" s="683" t="n"/>
      <c r="D1011" s="683" t="n"/>
      <c r="E1011" s="683" t="n"/>
      <c r="F1011" s="683" t="n"/>
      <c r="G1011" s="683" t="n"/>
      <c r="H1011" s="683" t="n"/>
      <c r="I1011" s="683" t="n"/>
      <c r="J1011" s="683" t="n"/>
      <c r="K1011" s="683" t="n"/>
      <c r="L1011" s="683" t="n"/>
      <c r="M1011" s="683" t="n"/>
      <c r="N1011" s="683" t="n"/>
      <c r="O1011" s="683" t="n"/>
      <c r="P1011" s="683" t="n"/>
      <c r="Q1011" s="683" t="n"/>
      <c r="R1011" s="683" t="n"/>
      <c r="S1011" s="683" t="n"/>
      <c r="T1011" s="683" t="n"/>
      <c r="U1011" s="683" t="n"/>
      <c r="V1011" s="683" t="n"/>
      <c r="W1011" s="683" t="n"/>
      <c r="X1011" s="683" t="n"/>
      <c r="Y1011" s="683" t="n"/>
    </row>
    <row r="1012">
      <c r="A1012" s="683" t="n"/>
      <c r="B1012" s="683" t="n"/>
      <c r="C1012" s="683" t="n"/>
      <c r="D1012" s="683" t="n"/>
      <c r="E1012" s="683" t="n"/>
      <c r="F1012" s="683" t="n"/>
      <c r="G1012" s="683" t="n"/>
      <c r="H1012" s="683" t="n"/>
      <c r="I1012" s="683" t="n"/>
      <c r="J1012" s="683" t="n"/>
      <c r="K1012" s="683" t="n"/>
      <c r="L1012" s="683" t="n"/>
      <c r="M1012" s="683" t="n"/>
      <c r="N1012" s="683" t="n"/>
      <c r="O1012" s="683" t="n"/>
      <c r="P1012" s="683" t="n"/>
      <c r="Q1012" s="683" t="n"/>
      <c r="R1012" s="683" t="n"/>
      <c r="S1012" s="683" t="n"/>
      <c r="T1012" s="683" t="n"/>
      <c r="U1012" s="683" t="n"/>
      <c r="V1012" s="683" t="n"/>
      <c r="W1012" s="683" t="n"/>
      <c r="X1012" s="683" t="n"/>
      <c r="Y1012" s="683" t="n"/>
    </row>
    <row r="1013">
      <c r="A1013" s="683" t="n"/>
      <c r="B1013" s="683" t="n"/>
      <c r="C1013" s="683" t="n"/>
      <c r="D1013" s="683" t="n"/>
      <c r="E1013" s="683" t="n"/>
      <c r="F1013" s="683" t="n"/>
      <c r="G1013" s="683" t="n"/>
      <c r="H1013" s="683" t="n"/>
      <c r="I1013" s="683" t="n"/>
      <c r="J1013" s="683" t="n"/>
      <c r="K1013" s="683" t="n"/>
      <c r="L1013" s="683" t="n"/>
      <c r="M1013" s="683" t="n"/>
      <c r="N1013" s="683" t="n"/>
      <c r="O1013" s="683" t="n"/>
      <c r="P1013" s="683" t="n"/>
      <c r="Q1013" s="683" t="n"/>
      <c r="R1013" s="683" t="n"/>
      <c r="S1013" s="683" t="n"/>
      <c r="T1013" s="683" t="n"/>
      <c r="U1013" s="683" t="n"/>
      <c r="V1013" s="683" t="n"/>
      <c r="W1013" s="683" t="n"/>
      <c r="X1013" s="683" t="n"/>
      <c r="Y1013" s="683" t="n"/>
    </row>
    <row r="1014">
      <c r="A1014" s="683" t="n"/>
      <c r="B1014" s="683" t="n"/>
      <c r="C1014" s="683" t="n"/>
      <c r="D1014" s="683" t="n"/>
      <c r="E1014" s="683" t="n"/>
      <c r="F1014" s="683" t="n"/>
      <c r="G1014" s="683" t="n"/>
      <c r="H1014" s="683" t="n"/>
      <c r="I1014" s="683" t="n"/>
      <c r="J1014" s="683" t="n"/>
      <c r="K1014" s="683" t="n"/>
      <c r="L1014" s="683" t="n"/>
      <c r="M1014" s="683" t="n"/>
      <c r="N1014" s="683" t="n"/>
      <c r="O1014" s="683" t="n"/>
      <c r="P1014" s="683" t="n"/>
      <c r="Q1014" s="683" t="n"/>
      <c r="R1014" s="683" t="n"/>
      <c r="S1014" s="683" t="n"/>
      <c r="T1014" s="683" t="n"/>
      <c r="U1014" s="683" t="n"/>
      <c r="V1014" s="683" t="n"/>
      <c r="W1014" s="683" t="n"/>
      <c r="X1014" s="683" t="n"/>
      <c r="Y1014" s="683" t="n"/>
    </row>
  </sheetData>
  <mergeCells count="10">
    <mergeCell ref="A26:B26"/>
    <mergeCell ref="A1:J1"/>
    <mergeCell ref="A5:J5"/>
    <mergeCell ref="A8:J8"/>
    <mergeCell ref="A25:B25"/>
    <mergeCell ref="D11:E11"/>
    <mergeCell ref="A9:J9"/>
    <mergeCell ref="G11:H11"/>
    <mergeCell ref="A11:B11"/>
    <mergeCell ref="A7:J7"/>
  </mergeCells>
  <pageMargins left="0.7" right="0.7" top="0.75" bottom="0.75" header="0.3" footer="0.3"/>
</worksheet>
</file>

<file path=xl/worksheets/sheet2.xml><?xml version="1.0" encoding="utf-8"?>
<worksheet xmlns="http://schemas.openxmlformats.org/spreadsheetml/2006/main">
  <sheetPr codeName="Sheet2">
    <tabColor rgb="FF002060"/>
    <outlinePr summaryBelow="1" summaryRight="1"/>
    <pageSetUpPr/>
  </sheetPr>
  <dimension ref="A1:Y1004"/>
  <sheetViews>
    <sheetView showGridLines="0" workbookViewId="0">
      <selection activeCell="A3" sqref="A3"/>
    </sheetView>
  </sheetViews>
  <sheetFormatPr baseColWidth="8" defaultColWidth="21.88671875" defaultRowHeight="14.4"/>
  <cols>
    <col width="21.88671875" customWidth="1" style="243" min="2" max="2"/>
    <col width="37.109375" bestFit="1" customWidth="1" style="239" min="4" max="4"/>
  </cols>
  <sheetData>
    <row r="1" ht="25.8" customHeight="1" s="632">
      <c r="A1" s="372" t="inlineStr">
        <is>
          <t>INDEX</t>
        </is>
      </c>
      <c r="E1" s="1" t="n"/>
      <c r="F1" s="1" t="n"/>
      <c r="G1" s="1" t="n"/>
      <c r="H1" s="1" t="n"/>
      <c r="I1" s="1" t="n"/>
      <c r="J1" s="1" t="n"/>
      <c r="K1" s="1" t="n"/>
      <c r="L1" s="1" t="n"/>
      <c r="M1" s="1" t="n"/>
      <c r="N1" s="1" t="n"/>
      <c r="O1" s="1" t="n"/>
      <c r="P1" s="1" t="n"/>
      <c r="Q1" s="1" t="n"/>
      <c r="R1" s="1" t="n"/>
      <c r="S1" s="1" t="n"/>
      <c r="T1" s="1" t="n"/>
      <c r="U1" s="1" t="n"/>
      <c r="V1" s="1" t="n"/>
      <c r="W1" s="1" t="n"/>
      <c r="X1" s="1" t="n"/>
      <c r="Y1" s="1" t="n"/>
    </row>
    <row r="2">
      <c r="A2" s="371" t="inlineStr">
        <is>
          <t>Click a sheet name to navigate.</t>
        </is>
      </c>
      <c r="D2" s="238" t="n"/>
      <c r="E2" s="1" t="n"/>
      <c r="F2" s="1" t="n"/>
      <c r="G2" s="1" t="n"/>
      <c r="H2" s="1" t="n"/>
      <c r="I2" s="1" t="n"/>
      <c r="J2" s="1" t="n"/>
      <c r="K2" s="1" t="n"/>
      <c r="L2" s="1" t="n"/>
      <c r="M2" s="1" t="n"/>
      <c r="N2" s="1" t="n"/>
      <c r="O2" s="1" t="n"/>
      <c r="P2" s="1" t="n"/>
      <c r="Q2" s="1" t="n"/>
      <c r="R2" s="1" t="n"/>
      <c r="S2" s="1" t="n"/>
      <c r="T2" s="1" t="n"/>
      <c r="U2" s="1" t="n"/>
      <c r="V2" s="1" t="n"/>
      <c r="W2" s="1" t="n"/>
      <c r="X2" s="1" t="n"/>
      <c r="Y2" s="1" t="n"/>
    </row>
    <row r="3" ht="15" customHeight="1" s="632" thickBot="1">
      <c r="B3" s="240" t="n"/>
      <c r="D3" s="238" t="n"/>
      <c r="E3" s="1" t="n"/>
      <c r="F3" s="1" t="n"/>
      <c r="G3" s="1" t="n"/>
      <c r="H3" s="1" t="n"/>
      <c r="I3" s="1" t="n"/>
      <c r="J3" s="1" t="n"/>
      <c r="K3" s="1" t="n"/>
      <c r="L3" s="1" t="n"/>
      <c r="M3" s="1" t="n"/>
      <c r="N3" s="1" t="n"/>
      <c r="O3" s="1" t="n"/>
      <c r="P3" s="1" t="n"/>
      <c r="Q3" s="1" t="n"/>
      <c r="R3" s="1" t="n"/>
      <c r="S3" s="1" t="n"/>
      <c r="T3" s="1" t="n"/>
      <c r="U3" s="1" t="n"/>
      <c r="V3" s="1" t="n"/>
      <c r="W3" s="1" t="n"/>
      <c r="X3" s="1" t="n"/>
      <c r="Y3" s="1" t="n"/>
    </row>
    <row r="4" ht="15" customHeight="1" s="632" thickBot="1">
      <c r="A4" s="626" t="inlineStr">
        <is>
          <t>No</t>
        </is>
      </c>
      <c r="B4" s="627" t="inlineStr">
        <is>
          <t>Worksheet</t>
        </is>
      </c>
      <c r="C4" s="628" t="inlineStr">
        <is>
          <t>Category</t>
        </is>
      </c>
      <c r="D4" s="614" t="inlineStr">
        <is>
          <t>Description</t>
        </is>
      </c>
      <c r="E4" s="1" t="n"/>
      <c r="F4" s="1" t="n"/>
      <c r="G4" s="1" t="n"/>
      <c r="H4" s="1" t="n"/>
      <c r="I4" s="1" t="n"/>
      <c r="J4" s="1" t="n"/>
      <c r="K4" s="1" t="n"/>
      <c r="L4" s="1" t="n"/>
      <c r="M4" s="1" t="n"/>
      <c r="N4" s="1" t="n"/>
      <c r="O4" s="1" t="n"/>
      <c r="P4" s="1" t="n"/>
      <c r="Q4" s="1" t="n"/>
      <c r="R4" s="1" t="n"/>
      <c r="S4" s="1" t="n"/>
      <c r="T4" s="1" t="n"/>
      <c r="U4" s="1" t="n"/>
      <c r="V4" s="1" t="n"/>
      <c r="W4" s="1" t="n"/>
      <c r="X4" s="1" t="n"/>
      <c r="Y4" s="1" t="n"/>
    </row>
    <row r="5" ht="15" customHeight="1" s="632" thickTop="1">
      <c r="A5" s="698" t="inlineStr">
        <is>
          <t>Project Administration</t>
        </is>
      </c>
      <c r="B5" s="699" t="n"/>
      <c r="C5" s="699" t="n"/>
      <c r="D5" s="700" t="n"/>
      <c r="E5" s="1" t="n"/>
      <c r="F5" s="1" t="n"/>
      <c r="G5" s="1" t="n"/>
      <c r="H5" s="1" t="n"/>
      <c r="I5" s="1" t="n"/>
      <c r="J5" s="1" t="n"/>
      <c r="K5" s="1" t="n"/>
      <c r="L5" s="1" t="n"/>
      <c r="M5" s="1" t="n"/>
      <c r="N5" s="1" t="n"/>
      <c r="O5" s="1" t="n"/>
      <c r="P5" s="1" t="n"/>
      <c r="Q5" s="1" t="n"/>
      <c r="R5" s="1" t="n"/>
      <c r="S5" s="1" t="n"/>
      <c r="T5" s="1" t="n"/>
      <c r="U5" s="1" t="n"/>
      <c r="V5" s="1" t="n"/>
      <c r="W5" s="1" t="n"/>
      <c r="X5" s="1" t="n"/>
      <c r="Y5" s="1" t="n"/>
    </row>
    <row r="6">
      <c r="A6" s="631" t="inlineStr">
        <is>
          <t>C</t>
        </is>
      </c>
      <c r="B6" s="701" t="inlineStr">
        <is>
          <t>Cover</t>
        </is>
      </c>
      <c r="C6" s="236" t="inlineStr">
        <is>
          <t>Information</t>
        </is>
      </c>
      <c r="D6" s="633" t="inlineStr">
        <is>
          <t>Workbook cover page</t>
        </is>
      </c>
      <c r="E6" s="1" t="n"/>
      <c r="F6" s="1" t="n"/>
      <c r="G6" s="1" t="n"/>
      <c r="H6" s="1" t="n"/>
      <c r="I6" s="1" t="n"/>
      <c r="J6" s="1" t="n"/>
      <c r="K6" s="1" t="n"/>
      <c r="L6" s="1" t="n"/>
      <c r="M6" s="1" t="n"/>
      <c r="N6" s="1" t="n"/>
      <c r="O6" s="1" t="n"/>
      <c r="P6" s="1" t="n"/>
      <c r="Q6" s="1" t="n"/>
      <c r="R6" s="1" t="n"/>
      <c r="S6" s="1" t="n"/>
      <c r="T6" s="1" t="n"/>
      <c r="U6" s="1" t="n"/>
      <c r="V6" s="1" t="n"/>
      <c r="W6" s="1" t="n"/>
      <c r="X6" s="1" t="n"/>
      <c r="Y6" s="1" t="n"/>
    </row>
    <row r="7">
      <c r="A7" s="634" t="n">
        <v>0</v>
      </c>
      <c r="B7" s="701" t="inlineStr">
        <is>
          <t>Database Import</t>
        </is>
      </c>
      <c r="C7" s="663" t="inlineStr">
        <is>
          <t>Input</t>
        </is>
      </c>
      <c r="D7" s="635" t="inlineStr">
        <is>
          <t>Import data from Master Industry Database</t>
        </is>
      </c>
      <c r="E7" s="1" t="n"/>
      <c r="F7" s="1" t="n"/>
      <c r="G7" s="1" t="n"/>
      <c r="H7" s="1" t="n"/>
      <c r="I7" s="1" t="n"/>
      <c r="J7" s="1" t="n"/>
      <c r="K7" s="1" t="n"/>
      <c r="L7" s="1" t="n"/>
      <c r="M7" s="1" t="n"/>
      <c r="N7" s="1" t="n"/>
      <c r="O7" s="1" t="n"/>
      <c r="P7" s="1" t="n"/>
      <c r="Q7" s="1" t="n"/>
      <c r="R7" s="1" t="n"/>
      <c r="S7" s="1" t="n"/>
      <c r="T7" s="1" t="n"/>
      <c r="U7" s="1" t="n"/>
      <c r="V7" s="1" t="n"/>
      <c r="W7" s="1" t="n"/>
      <c r="X7" s="1" t="n"/>
      <c r="Y7" s="1" t="n"/>
    </row>
    <row r="8">
      <c r="A8" s="634" t="inlineStr">
        <is>
          <t>0H</t>
        </is>
      </c>
      <c r="B8" s="701" t="inlineStr">
        <is>
          <t>Forecast Horizon</t>
        </is>
      </c>
      <c r="C8" s="663" t="inlineStr">
        <is>
          <t>Documentation</t>
        </is>
      </c>
      <c r="D8" s="635" t="inlineStr">
        <is>
          <t>Forecast horizon selection</t>
        </is>
      </c>
      <c r="E8" s="1" t="n"/>
      <c r="F8" s="1" t="n"/>
      <c r="G8" s="1" t="n"/>
      <c r="H8" s="1" t="n"/>
      <c r="I8" s="1" t="n"/>
      <c r="J8" s="1" t="n"/>
      <c r="K8" s="1" t="n"/>
      <c r="L8" s="1" t="n"/>
      <c r="M8" s="1" t="n"/>
      <c r="N8" s="1" t="n"/>
      <c r="O8" s="1" t="n"/>
      <c r="P8" s="1" t="n"/>
      <c r="Q8" s="1" t="n"/>
      <c r="R8" s="1" t="n"/>
      <c r="S8" s="1" t="n"/>
      <c r="T8" s="1" t="n"/>
      <c r="U8" s="1" t="n"/>
      <c r="V8" s="1" t="n"/>
      <c r="W8" s="1" t="n"/>
      <c r="X8" s="1" t="n"/>
      <c r="Y8" s="1" t="n"/>
    </row>
    <row r="9">
      <c r="A9" s="702" t="inlineStr">
        <is>
          <t>Model Control</t>
        </is>
      </c>
      <c r="B9" s="703" t="n"/>
      <c r="C9" s="703" t="n"/>
      <c r="D9" s="704" t="n"/>
      <c r="E9" s="1" t="n"/>
      <c r="F9" s="1" t="n"/>
      <c r="G9" s="1" t="n"/>
      <c r="H9" s="1" t="n"/>
      <c r="I9" s="1" t="n"/>
      <c r="J9" s="1" t="n"/>
      <c r="K9" s="1" t="n"/>
      <c r="L9" s="1" t="n"/>
      <c r="M9" s="1" t="n"/>
      <c r="N9" s="1" t="n"/>
      <c r="O9" s="1" t="n"/>
      <c r="P9" s="1" t="n"/>
      <c r="Q9" s="1" t="n"/>
      <c r="R9" s="1" t="n"/>
      <c r="S9" s="1" t="n"/>
      <c r="T9" s="1" t="n"/>
      <c r="U9" s="1" t="n"/>
      <c r="V9" s="1" t="n"/>
      <c r="W9" s="1" t="n"/>
      <c r="X9" s="1" t="n"/>
      <c r="Y9" s="1" t="n"/>
    </row>
    <row r="10">
      <c r="A10" s="638" t="n">
        <v>1</v>
      </c>
      <c r="B10" s="701" t="inlineStr">
        <is>
          <t>Control Panel</t>
        </is>
      </c>
      <c r="C10" s="663" t="inlineStr">
        <is>
          <t>Control</t>
        </is>
      </c>
      <c r="D10" s="635" t="inlineStr">
        <is>
          <t>Model settings and scenario selection</t>
        </is>
      </c>
      <c r="E10" s="1" t="n"/>
      <c r="F10" s="1" t="n"/>
      <c r="G10" s="1" t="n"/>
      <c r="H10" s="1" t="n"/>
      <c r="I10" s="1" t="n"/>
      <c r="J10" s="1" t="n"/>
      <c r="K10" s="1" t="n"/>
      <c r="L10" s="1" t="n"/>
      <c r="M10" s="1" t="n"/>
      <c r="N10" s="1" t="n"/>
      <c r="O10" s="1" t="n"/>
      <c r="P10" s="1" t="n"/>
      <c r="Q10" s="1" t="n"/>
      <c r="R10" s="1" t="n"/>
      <c r="S10" s="1" t="n"/>
      <c r="T10" s="1" t="n"/>
      <c r="U10" s="1" t="n"/>
      <c r="V10" s="1" t="n"/>
      <c r="W10" s="1" t="n"/>
      <c r="X10" s="1" t="n"/>
      <c r="Y10" s="1" t="n"/>
    </row>
    <row r="11">
      <c r="A11" s="638">
        <f>A10+1</f>
        <v/>
      </c>
      <c r="B11" s="701" t="inlineStr">
        <is>
          <t>Model Assumptions</t>
        </is>
      </c>
      <c r="C11" s="663" t="inlineStr">
        <is>
          <t>Input</t>
        </is>
      </c>
      <c r="D11" s="635" t="inlineStr">
        <is>
          <t>Global modelling assumptions</t>
        </is>
      </c>
      <c r="E11" s="1" t="n"/>
      <c r="F11" s="1" t="n"/>
      <c r="G11" s="1" t="n"/>
      <c r="H11" s="1" t="n"/>
      <c r="I11" s="1" t="n"/>
      <c r="J11" s="1" t="n"/>
      <c r="K11" s="1" t="n"/>
      <c r="L11" s="1" t="n"/>
      <c r="M11" s="1" t="n"/>
      <c r="N11" s="1" t="n"/>
      <c r="O11" s="1" t="n"/>
      <c r="P11" s="1" t="n"/>
      <c r="Q11" s="1" t="n"/>
      <c r="R11" s="1" t="n"/>
      <c r="S11" s="1" t="n"/>
      <c r="T11" s="1" t="n"/>
      <c r="U11" s="1" t="n"/>
      <c r="V11" s="1" t="n"/>
      <c r="W11" s="1" t="n"/>
      <c r="X11" s="1" t="n"/>
      <c r="Y11" s="1" t="n"/>
    </row>
    <row r="12">
      <c r="A12" s="638">
        <f>A11+1</f>
        <v/>
      </c>
      <c r="B12" s="701" t="inlineStr">
        <is>
          <t>Model Calibration</t>
        </is>
      </c>
      <c r="C12" s="663" t="inlineStr">
        <is>
          <t>Input</t>
        </is>
      </c>
      <c r="D12" s="635" t="inlineStr">
        <is>
          <t>Benchmark values and calibration variables</t>
        </is>
      </c>
      <c r="E12" s="1" t="n"/>
      <c r="F12" s="1" t="n"/>
      <c r="G12" s="1" t="n"/>
      <c r="H12" s="1" t="n"/>
      <c r="I12" s="1" t="n"/>
      <c r="J12" s="1" t="n"/>
      <c r="K12" s="1" t="n"/>
      <c r="L12" s="1" t="n"/>
      <c r="M12" s="1" t="n"/>
      <c r="N12" s="1" t="n"/>
      <c r="O12" s="1" t="n"/>
      <c r="P12" s="1" t="n"/>
      <c r="Q12" s="1" t="n"/>
      <c r="R12" s="1" t="n"/>
      <c r="S12" s="1" t="n"/>
      <c r="T12" s="1" t="n"/>
      <c r="U12" s="1" t="n"/>
      <c r="V12" s="1" t="n"/>
      <c r="W12" s="1" t="n"/>
      <c r="X12" s="1" t="n"/>
      <c r="Y12" s="1" t="n"/>
    </row>
    <row r="13">
      <c r="A13" s="702" t="inlineStr">
        <is>
          <t>Core Industry Models</t>
        </is>
      </c>
      <c r="B13" s="703" t="n"/>
      <c r="C13" s="703" t="n"/>
      <c r="D13" s="704" t="n"/>
      <c r="E13" s="1" t="n"/>
      <c r="F13" s="1" t="n"/>
      <c r="G13" s="1" t="n"/>
      <c r="H13" s="1" t="n"/>
      <c r="I13" s="1" t="n"/>
      <c r="J13" s="1" t="n"/>
      <c r="K13" s="1" t="n"/>
      <c r="L13" s="1" t="n"/>
      <c r="M13" s="1" t="n"/>
      <c r="N13" s="1" t="n"/>
      <c r="O13" s="1" t="n"/>
      <c r="P13" s="1" t="n"/>
      <c r="Q13" s="1" t="n"/>
      <c r="R13" s="1" t="n"/>
      <c r="S13" s="1" t="n"/>
      <c r="T13" s="1" t="n"/>
      <c r="U13" s="1" t="n"/>
      <c r="V13" s="1" t="n"/>
      <c r="W13" s="1" t="n"/>
      <c r="X13" s="1" t="n"/>
      <c r="Y13" s="1" t="n"/>
    </row>
    <row r="14">
      <c r="A14" s="638">
        <f>A12+1</f>
        <v/>
      </c>
      <c r="B14" s="705" t="inlineStr">
        <is>
          <t>Macroeconomic Model</t>
        </is>
      </c>
      <c r="C14" s="663" t="inlineStr">
        <is>
          <t>Model</t>
        </is>
      </c>
      <c r="D14" s="635" t="inlineStr">
        <is>
          <t>Economic forecasts</t>
        </is>
      </c>
      <c r="E14" s="1" t="n"/>
      <c r="F14" s="1" t="n"/>
      <c r="G14" s="1" t="n"/>
      <c r="H14" s="1" t="n"/>
      <c r="I14" s="1" t="n"/>
      <c r="J14" s="1" t="n"/>
      <c r="K14" s="1" t="n"/>
      <c r="L14" s="1" t="n"/>
      <c r="M14" s="1" t="n"/>
      <c r="N14" s="1" t="n"/>
      <c r="O14" s="1" t="n"/>
      <c r="P14" s="1" t="n"/>
      <c r="Q14" s="1" t="n"/>
      <c r="R14" s="1" t="n"/>
      <c r="S14" s="1" t="n"/>
      <c r="T14" s="1" t="n"/>
      <c r="U14" s="1" t="n"/>
      <c r="V14" s="1" t="n"/>
      <c r="W14" s="1" t="n"/>
      <c r="X14" s="1" t="n"/>
      <c r="Y14" s="1" t="n"/>
    </row>
    <row r="15">
      <c r="A15" s="638">
        <f>A14+1</f>
        <v/>
      </c>
      <c r="B15" s="705" t="inlineStr">
        <is>
          <t>Steel Demand Model</t>
        </is>
      </c>
      <c r="C15" s="663" t="inlineStr">
        <is>
          <t>Model</t>
        </is>
      </c>
      <c r="D15" s="635" t="inlineStr">
        <is>
          <t>Industry demand forecast</t>
        </is>
      </c>
      <c r="E15" s="1" t="n"/>
      <c r="F15" s="1" t="n"/>
      <c r="G15" s="1" t="n"/>
      <c r="H15" s="1" t="n"/>
      <c r="I15" s="1" t="n"/>
      <c r="J15" s="1" t="n"/>
      <c r="K15" s="1" t="n"/>
      <c r="L15" s="1" t="n"/>
      <c r="M15" s="1" t="n"/>
      <c r="N15" s="1" t="n"/>
      <c r="O15" s="1" t="n"/>
      <c r="P15" s="1" t="n"/>
      <c r="Q15" s="1" t="n"/>
      <c r="R15" s="1" t="n"/>
      <c r="S15" s="1" t="n"/>
      <c r="T15" s="1" t="n"/>
      <c r="U15" s="1" t="n"/>
      <c r="V15" s="1" t="n"/>
      <c r="W15" s="1" t="n"/>
      <c r="X15" s="1" t="n"/>
      <c r="Y15" s="1" t="n"/>
    </row>
    <row r="16">
      <c r="A16" s="638">
        <f>A15+1</f>
        <v/>
      </c>
      <c r="B16" s="705" t="inlineStr">
        <is>
          <t>Steel Supply Model</t>
        </is>
      </c>
      <c r="C16" s="663" t="inlineStr">
        <is>
          <t>Model</t>
        </is>
      </c>
      <c r="D16" s="635" t="inlineStr">
        <is>
          <t>Industry supply forecast</t>
        </is>
      </c>
      <c r="E16" s="1" t="n"/>
      <c r="F16" s="1" t="n"/>
      <c r="G16" s="1" t="n"/>
      <c r="H16" s="1" t="n"/>
      <c r="I16" s="1" t="n"/>
      <c r="J16" s="1" t="n"/>
      <c r="K16" s="1" t="n"/>
      <c r="L16" s="1" t="n"/>
      <c r="M16" s="1" t="n"/>
      <c r="N16" s="1" t="n"/>
      <c r="O16" s="1" t="n"/>
      <c r="P16" s="1" t="n"/>
      <c r="Q16" s="1" t="n"/>
      <c r="R16" s="1" t="n"/>
      <c r="S16" s="1" t="n"/>
      <c r="T16" s="1" t="n"/>
      <c r="U16" s="1" t="n"/>
      <c r="V16" s="1" t="n"/>
      <c r="W16" s="1" t="n"/>
      <c r="X16" s="1" t="n"/>
      <c r="Y16" s="1" t="n"/>
    </row>
    <row r="17">
      <c r="A17" s="638">
        <f>A16+1</f>
        <v/>
      </c>
      <c r="B17" s="705" t="inlineStr">
        <is>
          <t>Capacity Forecast</t>
        </is>
      </c>
      <c r="C17" s="663" t="inlineStr">
        <is>
          <t>Model</t>
        </is>
      </c>
      <c r="D17" s="635" t="inlineStr">
        <is>
          <t>Installed capacity forecast</t>
        </is>
      </c>
      <c r="E17" s="1" t="n"/>
      <c r="F17" s="1" t="n"/>
      <c r="G17" s="1" t="n"/>
      <c r="H17" s="1" t="n"/>
      <c r="I17" s="1" t="n"/>
      <c r="J17" s="1" t="n"/>
      <c r="K17" s="1" t="n"/>
      <c r="L17" s="1" t="n"/>
      <c r="M17" s="1" t="n"/>
      <c r="N17" s="1" t="n"/>
      <c r="O17" s="1" t="n"/>
      <c r="P17" s="1" t="n"/>
      <c r="Q17" s="1" t="n"/>
      <c r="R17" s="1" t="n"/>
      <c r="S17" s="1" t="n"/>
      <c r="T17" s="1" t="n"/>
      <c r="U17" s="1" t="n"/>
      <c r="V17" s="1" t="n"/>
      <c r="W17" s="1" t="n"/>
      <c r="X17" s="1" t="n"/>
      <c r="Y17" s="1" t="n"/>
    </row>
    <row r="18" ht="28.8" customHeight="1" s="632">
      <c r="A18" s="638">
        <f>A17+1</f>
        <v/>
      </c>
      <c r="B18" s="705" t="inlineStr">
        <is>
          <t>Capacity Expansion Tracker</t>
        </is>
      </c>
      <c r="C18" s="663" t="inlineStr">
        <is>
          <t>Input</t>
        </is>
      </c>
      <c r="D18" s="635" t="inlineStr">
        <is>
          <t>Capacity additions</t>
        </is>
      </c>
      <c r="E18" s="1" t="n"/>
      <c r="F18" s="1" t="n"/>
      <c r="G18" s="1" t="n"/>
      <c r="H18" s="1" t="n"/>
      <c r="I18" s="1" t="n"/>
      <c r="J18" s="1" t="n"/>
      <c r="K18" s="1" t="n"/>
      <c r="L18" s="1" t="n"/>
      <c r="M18" s="1" t="n"/>
      <c r="N18" s="1" t="n"/>
      <c r="O18" s="1" t="n"/>
      <c r="P18" s="1" t="n"/>
      <c r="Q18" s="1" t="n"/>
      <c r="R18" s="1" t="n"/>
      <c r="S18" s="1" t="n"/>
      <c r="T18" s="1" t="n"/>
      <c r="U18" s="1" t="n"/>
      <c r="V18" s="1" t="n"/>
      <c r="W18" s="1" t="n"/>
      <c r="X18" s="1" t="n"/>
      <c r="Y18" s="1" t="n"/>
    </row>
    <row r="19">
      <c r="A19" s="638">
        <f>A18+1</f>
        <v/>
      </c>
      <c r="B19" s="705" t="inlineStr">
        <is>
          <t>Capacity Utilisation</t>
        </is>
      </c>
      <c r="C19" s="663" t="inlineStr">
        <is>
          <t>Model</t>
        </is>
      </c>
      <c r="D19" s="635" t="inlineStr">
        <is>
          <t>Utilisation analysis</t>
        </is>
      </c>
      <c r="E19" s="1" t="n"/>
      <c r="F19" s="1" t="n"/>
      <c r="G19" s="1" t="n"/>
      <c r="H19" s="1" t="n"/>
      <c r="I19" s="1" t="n"/>
      <c r="J19" s="1" t="n"/>
      <c r="K19" s="1" t="n"/>
      <c r="L19" s="1" t="n"/>
      <c r="M19" s="1" t="n"/>
      <c r="N19" s="1" t="n"/>
      <c r="O19" s="1" t="n"/>
      <c r="P19" s="1" t="n"/>
      <c r="Q19" s="1" t="n"/>
      <c r="R19" s="1" t="n"/>
      <c r="S19" s="1" t="n"/>
      <c r="T19" s="1" t="n"/>
      <c r="U19" s="1" t="n"/>
      <c r="V19" s="1" t="n"/>
      <c r="W19" s="1" t="n"/>
      <c r="X19" s="1" t="n"/>
      <c r="Y19" s="1" t="n"/>
    </row>
    <row r="20">
      <c r="A20" s="638">
        <f>A19+1</f>
        <v/>
      </c>
      <c r="B20" s="705" t="inlineStr">
        <is>
          <t>Steel Price Forecast</t>
        </is>
      </c>
      <c r="C20" s="663" t="inlineStr">
        <is>
          <t>Model</t>
        </is>
      </c>
      <c r="D20" s="635" t="inlineStr">
        <is>
          <t>Steel price forecast</t>
        </is>
      </c>
      <c r="E20" s="1" t="n"/>
      <c r="F20" s="1" t="n"/>
      <c r="G20" s="1" t="n"/>
      <c r="H20" s="1" t="n"/>
      <c r="I20" s="1" t="n"/>
      <c r="J20" s="1" t="n"/>
      <c r="K20" s="1" t="n"/>
      <c r="L20" s="1" t="n"/>
      <c r="M20" s="1" t="n"/>
      <c r="N20" s="1" t="n"/>
      <c r="O20" s="1" t="n"/>
      <c r="P20" s="1" t="n"/>
      <c r="Q20" s="1" t="n"/>
      <c r="R20" s="1" t="n"/>
      <c r="S20" s="1" t="n"/>
      <c r="T20" s="1" t="n"/>
      <c r="U20" s="1" t="n"/>
      <c r="V20" s="1" t="n"/>
      <c r="W20" s="1" t="n"/>
      <c r="X20" s="1" t="n"/>
      <c r="Y20" s="1" t="n"/>
    </row>
    <row r="21">
      <c r="A21" s="638">
        <f>A20+1</f>
        <v/>
      </c>
      <c r="B21" s="705" t="inlineStr">
        <is>
          <t>Raw Material Forecast</t>
        </is>
      </c>
      <c r="C21" s="663" t="inlineStr">
        <is>
          <t>Model</t>
        </is>
      </c>
      <c r="D21" s="635" t="inlineStr">
        <is>
          <t>Raw material forecast</t>
        </is>
      </c>
      <c r="E21" s="1" t="n"/>
      <c r="F21" s="1" t="n"/>
      <c r="G21" s="1" t="n"/>
      <c r="H21" s="1" t="n"/>
      <c r="I21" s="1" t="n"/>
      <c r="J21" s="1" t="n"/>
      <c r="K21" s="1" t="n"/>
      <c r="L21" s="1" t="n"/>
      <c r="M21" s="1" t="n"/>
      <c r="N21" s="1" t="n"/>
      <c r="O21" s="1" t="n"/>
      <c r="P21" s="1" t="n"/>
      <c r="Q21" s="1" t="n"/>
      <c r="R21" s="1" t="n"/>
      <c r="S21" s="1" t="n"/>
      <c r="T21" s="1" t="n"/>
      <c r="U21" s="1" t="n"/>
      <c r="V21" s="1" t="n"/>
      <c r="W21" s="1" t="n"/>
      <c r="X21" s="1" t="n"/>
      <c r="Y21" s="1" t="n"/>
    </row>
    <row r="22">
      <c r="A22" s="638">
        <f>A21+1</f>
        <v/>
      </c>
      <c r="B22" s="705" t="inlineStr">
        <is>
          <t>Cost Curve</t>
        </is>
      </c>
      <c r="C22" s="663" t="inlineStr">
        <is>
          <t>Model</t>
        </is>
      </c>
      <c r="D22" s="635" t="inlineStr">
        <is>
          <t>Industry cost position</t>
        </is>
      </c>
      <c r="E22" s="1" t="n"/>
      <c r="F22" s="1" t="n"/>
      <c r="G22" s="1" t="n"/>
      <c r="H22" s="1" t="n"/>
      <c r="I22" s="1" t="n"/>
      <c r="J22" s="1" t="n"/>
      <c r="K22" s="1" t="n"/>
      <c r="L22" s="1" t="n"/>
      <c r="M22" s="1" t="n"/>
      <c r="N22" s="1" t="n"/>
      <c r="O22" s="1" t="n"/>
      <c r="P22" s="1" t="n"/>
      <c r="Q22" s="1" t="n"/>
      <c r="R22" s="1" t="n"/>
      <c r="S22" s="1" t="n"/>
      <c r="T22" s="1" t="n"/>
      <c r="U22" s="1" t="n"/>
      <c r="V22" s="1" t="n"/>
      <c r="W22" s="1" t="n"/>
      <c r="X22" s="1" t="n"/>
      <c r="Y22" s="1" t="n"/>
    </row>
    <row r="23">
      <c r="A23" s="638">
        <f>A22+1</f>
        <v/>
      </c>
      <c r="B23" s="705" t="inlineStr">
        <is>
          <t>Revenue Forecast</t>
        </is>
      </c>
      <c r="C23" s="663" t="inlineStr">
        <is>
          <t>Model</t>
        </is>
      </c>
      <c r="D23" s="635" t="inlineStr">
        <is>
          <t>Revenue forecast</t>
        </is>
      </c>
      <c r="E23" s="1" t="n"/>
      <c r="F23" s="1" t="n"/>
      <c r="G23" s="1" t="n"/>
      <c r="H23" s="1" t="n"/>
      <c r="I23" s="1" t="n"/>
      <c r="J23" s="1" t="n"/>
      <c r="K23" s="1" t="n"/>
      <c r="L23" s="1" t="n"/>
      <c r="M23" s="1" t="n"/>
      <c r="N23" s="1" t="n"/>
      <c r="O23" s="1" t="n"/>
      <c r="P23" s="1" t="n"/>
      <c r="Q23" s="1" t="n"/>
      <c r="R23" s="1" t="n"/>
      <c r="S23" s="1" t="n"/>
      <c r="T23" s="1" t="n"/>
      <c r="U23" s="1" t="n"/>
      <c r="V23" s="1" t="n"/>
      <c r="W23" s="1" t="n"/>
      <c r="X23" s="1" t="n"/>
      <c r="Y23" s="1" t="n"/>
    </row>
    <row r="24">
      <c r="A24" s="638">
        <f>A23+1</f>
        <v/>
      </c>
      <c r="B24" s="705" t="inlineStr">
        <is>
          <t>EBITDA Model</t>
        </is>
      </c>
      <c r="C24" s="663" t="inlineStr">
        <is>
          <t>Model</t>
        </is>
      </c>
      <c r="D24" s="635" t="inlineStr">
        <is>
          <t>EBITDA forecast</t>
        </is>
      </c>
      <c r="E24" s="1" t="n"/>
      <c r="F24" s="1" t="n"/>
      <c r="G24" s="1" t="n"/>
      <c r="H24" s="1" t="n"/>
      <c r="I24" s="1" t="n"/>
      <c r="J24" s="1" t="n"/>
      <c r="K24" s="1" t="n"/>
      <c r="L24" s="1" t="n"/>
      <c r="M24" s="1" t="n"/>
      <c r="N24" s="1" t="n"/>
      <c r="O24" s="1" t="n"/>
      <c r="P24" s="1" t="n"/>
      <c r="Q24" s="1" t="n"/>
      <c r="R24" s="1" t="n"/>
      <c r="S24" s="1" t="n"/>
      <c r="T24" s="1" t="n"/>
      <c r="U24" s="1" t="n"/>
      <c r="V24" s="1" t="n"/>
      <c r="W24" s="1" t="n"/>
      <c r="X24" s="1" t="n"/>
      <c r="Y24" s="1" t="n"/>
    </row>
    <row r="25">
      <c r="A25" s="638">
        <f>A24+1</f>
        <v/>
      </c>
      <c r="B25" s="705" t="inlineStr">
        <is>
          <t>Margin Analysis</t>
        </is>
      </c>
      <c r="C25" s="663" t="inlineStr">
        <is>
          <t>Model</t>
        </is>
      </c>
      <c r="D25" s="635" t="inlineStr">
        <is>
          <t>Margin analysis</t>
        </is>
      </c>
      <c r="E25" s="1" t="n"/>
      <c r="F25" s="1" t="n"/>
      <c r="G25" s="1" t="n"/>
      <c r="H25" s="1" t="n"/>
      <c r="I25" s="1" t="n"/>
      <c r="J25" s="1" t="n"/>
      <c r="K25" s="1" t="n"/>
      <c r="L25" s="1" t="n"/>
      <c r="M25" s="1" t="n"/>
      <c r="N25" s="1" t="n"/>
      <c r="O25" s="1" t="n"/>
      <c r="P25" s="1" t="n"/>
      <c r="Q25" s="1" t="n"/>
      <c r="R25" s="1" t="n"/>
      <c r="S25" s="1" t="n"/>
      <c r="T25" s="1" t="n"/>
      <c r="U25" s="1" t="n"/>
      <c r="V25" s="1" t="n"/>
      <c r="W25" s="1" t="n"/>
      <c r="X25" s="1" t="n"/>
      <c r="Y25" s="1" t="n"/>
    </row>
    <row r="26">
      <c r="A26" s="638">
        <f>A25+1</f>
        <v/>
      </c>
      <c r="B26" s="705" t="inlineStr">
        <is>
          <t>Working Capital Model</t>
        </is>
      </c>
      <c r="C26" s="663" t="inlineStr">
        <is>
          <t>Model</t>
        </is>
      </c>
      <c r="D26" s="635" t="inlineStr">
        <is>
          <t>Working capital forecast</t>
        </is>
      </c>
      <c r="E26" s="1" t="n"/>
      <c r="F26" s="1" t="n"/>
      <c r="G26" s="1" t="n"/>
      <c r="H26" s="1" t="n"/>
      <c r="I26" s="1" t="n"/>
      <c r="J26" s="1" t="n"/>
      <c r="K26" s="1" t="n"/>
      <c r="L26" s="1" t="n"/>
      <c r="M26" s="1" t="n"/>
      <c r="N26" s="1" t="n"/>
      <c r="O26" s="1" t="n"/>
      <c r="P26" s="1" t="n"/>
      <c r="Q26" s="1" t="n"/>
      <c r="R26" s="1" t="n"/>
      <c r="S26" s="1" t="n"/>
      <c r="T26" s="1" t="n"/>
      <c r="U26" s="1" t="n"/>
      <c r="V26" s="1" t="n"/>
      <c r="W26" s="1" t="n"/>
      <c r="X26" s="1" t="n"/>
      <c r="Y26" s="1" t="n"/>
    </row>
    <row r="27">
      <c r="A27" s="638">
        <f>A26+1</f>
        <v/>
      </c>
      <c r="B27" s="705" t="inlineStr">
        <is>
          <t>Cash Flow Model</t>
        </is>
      </c>
      <c r="C27" s="663" t="inlineStr">
        <is>
          <t>Model</t>
        </is>
      </c>
      <c r="D27" s="635" t="inlineStr">
        <is>
          <t>Industry cash flow</t>
        </is>
      </c>
      <c r="E27" s="1" t="n"/>
      <c r="F27" s="1" t="n"/>
      <c r="G27" s="1" t="n"/>
      <c r="H27" s="1" t="n"/>
      <c r="I27" s="1" t="n"/>
      <c r="J27" s="1" t="n"/>
      <c r="K27" s="1" t="n"/>
      <c r="L27" s="1" t="n"/>
      <c r="M27" s="1" t="n"/>
      <c r="N27" s="1" t="n"/>
      <c r="O27" s="1" t="n"/>
      <c r="P27" s="1" t="n"/>
      <c r="Q27" s="1" t="n"/>
      <c r="R27" s="1" t="n"/>
      <c r="S27" s="1" t="n"/>
      <c r="T27" s="1" t="n"/>
      <c r="U27" s="1" t="n"/>
      <c r="V27" s="1" t="n"/>
      <c r="W27" s="1" t="n"/>
      <c r="X27" s="1" t="n"/>
      <c r="Y27" s="1" t="n"/>
    </row>
    <row r="28">
      <c r="A28" s="638">
        <f>A27+1</f>
        <v/>
      </c>
      <c r="B28" s="705" t="inlineStr">
        <is>
          <t>Capital Allocation</t>
        </is>
      </c>
      <c r="C28" s="663" t="inlineStr">
        <is>
          <t>Model</t>
        </is>
      </c>
      <c r="D28" s="635" t="inlineStr">
        <is>
          <t>Capital structure</t>
        </is>
      </c>
      <c r="E28" s="1" t="n"/>
      <c r="F28" s="1" t="n"/>
      <c r="G28" s="1" t="n"/>
      <c r="H28" s="1" t="n"/>
      <c r="I28" s="1" t="n"/>
      <c r="J28" s="1" t="n"/>
      <c r="K28" s="1" t="n"/>
      <c r="L28" s="1" t="n"/>
      <c r="M28" s="1" t="n"/>
      <c r="N28" s="1" t="n"/>
      <c r="O28" s="1" t="n"/>
      <c r="P28" s="1" t="n"/>
      <c r="Q28" s="1" t="n"/>
      <c r="R28" s="1" t="n"/>
      <c r="S28" s="1" t="n"/>
      <c r="T28" s="1" t="n"/>
      <c r="U28" s="1" t="n"/>
      <c r="V28" s="1" t="n"/>
      <c r="W28" s="1" t="n"/>
      <c r="X28" s="1" t="n"/>
      <c r="Y28" s="1" t="n"/>
    </row>
    <row r="29">
      <c r="A29" s="638">
        <f>A28+1</f>
        <v/>
      </c>
      <c r="B29" s="705" t="inlineStr">
        <is>
          <t>Industry Cycle Model</t>
        </is>
      </c>
      <c r="C29" s="663" t="inlineStr">
        <is>
          <t>Model</t>
        </is>
      </c>
      <c r="D29" s="635" t="inlineStr">
        <is>
          <t>Steel cycle analysis</t>
        </is>
      </c>
      <c r="E29" s="1" t="n"/>
      <c r="F29" s="1" t="n"/>
      <c r="G29" s="1" t="n"/>
      <c r="H29" s="1" t="n"/>
      <c r="I29" s="1" t="n"/>
      <c r="J29" s="1" t="n"/>
      <c r="K29" s="1" t="n"/>
      <c r="L29" s="1" t="n"/>
      <c r="M29" s="1" t="n"/>
      <c r="N29" s="1" t="n"/>
      <c r="O29" s="1" t="n"/>
      <c r="P29" s="1" t="n"/>
      <c r="Q29" s="1" t="n"/>
      <c r="R29" s="1" t="n"/>
      <c r="S29" s="1" t="n"/>
      <c r="T29" s="1" t="n"/>
      <c r="U29" s="1" t="n"/>
      <c r="V29" s="1" t="n"/>
      <c r="W29" s="1" t="n"/>
      <c r="X29" s="1" t="n"/>
      <c r="Y29" s="1" t="n"/>
    </row>
    <row r="30">
      <c r="A30" s="638">
        <f>A29+1</f>
        <v/>
      </c>
      <c r="B30" s="705" t="inlineStr">
        <is>
          <t>Trade Model</t>
        </is>
      </c>
      <c r="C30" s="663" t="inlineStr">
        <is>
          <t>Model</t>
        </is>
      </c>
      <c r="D30" s="635" t="inlineStr">
        <is>
          <t>Import/export analysis</t>
        </is>
      </c>
      <c r="E30" s="1" t="n"/>
      <c r="F30" s="1" t="n"/>
      <c r="G30" s="1" t="n"/>
      <c r="H30" s="1" t="n"/>
      <c r="I30" s="1" t="n"/>
      <c r="J30" s="1" t="n"/>
      <c r="K30" s="1" t="n"/>
      <c r="L30" s="1" t="n"/>
      <c r="M30" s="1" t="n"/>
      <c r="N30" s="1" t="n"/>
      <c r="O30" s="1" t="n"/>
      <c r="P30" s="1" t="n"/>
      <c r="Q30" s="1" t="n"/>
      <c r="R30" s="1" t="n"/>
      <c r="S30" s="1" t="n"/>
      <c r="T30" s="1" t="n"/>
      <c r="U30" s="1" t="n"/>
      <c r="V30" s="1" t="n"/>
      <c r="W30" s="1" t="n"/>
      <c r="X30" s="1" t="n"/>
      <c r="Y30" s="1" t="n"/>
    </row>
    <row r="31">
      <c r="A31" s="638">
        <f>A30+1</f>
        <v/>
      </c>
      <c r="B31" s="705" t="inlineStr">
        <is>
          <t>ESG Model</t>
        </is>
      </c>
      <c r="C31" s="663" t="inlineStr">
        <is>
          <t>Model</t>
        </is>
      </c>
      <c r="D31" s="635" t="inlineStr">
        <is>
          <t>Sustainability analysis</t>
        </is>
      </c>
      <c r="E31" s="1" t="n"/>
      <c r="F31" s="1" t="n"/>
      <c r="G31" s="1" t="n"/>
      <c r="H31" s="1" t="n"/>
      <c r="I31" s="1" t="n"/>
      <c r="J31" s="1" t="n"/>
      <c r="K31" s="1" t="n"/>
      <c r="L31" s="1" t="n"/>
      <c r="M31" s="1" t="n"/>
      <c r="N31" s="1" t="n"/>
      <c r="O31" s="1" t="n"/>
      <c r="P31" s="1" t="n"/>
      <c r="Q31" s="1" t="n"/>
      <c r="R31" s="1" t="n"/>
      <c r="S31" s="1" t="n"/>
      <c r="T31" s="1" t="n"/>
      <c r="U31" s="1" t="n"/>
      <c r="V31" s="1" t="n"/>
      <c r="W31" s="1" t="n"/>
      <c r="X31" s="1" t="n"/>
      <c r="Y31" s="1" t="n"/>
    </row>
    <row r="32">
      <c r="A32" s="702" t="inlineStr">
        <is>
          <t>Outputs</t>
        </is>
      </c>
      <c r="B32" s="703" t="n"/>
      <c r="C32" s="703" t="n"/>
      <c r="D32" s="704" t="n"/>
      <c r="E32" s="1" t="n"/>
      <c r="F32" s="1" t="n"/>
      <c r="G32" s="1" t="n"/>
      <c r="H32" s="1" t="n"/>
      <c r="I32" s="1" t="n"/>
      <c r="J32" s="1" t="n"/>
      <c r="K32" s="1" t="n"/>
      <c r="L32" s="1" t="n"/>
      <c r="M32" s="1" t="n"/>
      <c r="N32" s="1" t="n"/>
      <c r="O32" s="1" t="n"/>
      <c r="P32" s="1" t="n"/>
      <c r="Q32" s="1" t="n"/>
      <c r="R32" s="1" t="n"/>
      <c r="S32" s="1" t="n"/>
      <c r="T32" s="1" t="n"/>
      <c r="U32" s="1" t="n"/>
      <c r="V32" s="1" t="n"/>
      <c r="W32" s="1" t="n"/>
      <c r="X32" s="1" t="n"/>
      <c r="Y32" s="1" t="n"/>
    </row>
    <row r="33">
      <c r="A33" s="638">
        <f>A31+1</f>
        <v/>
      </c>
      <c r="B33" s="705" t="inlineStr">
        <is>
          <t>Scenario Manager</t>
        </is>
      </c>
      <c r="C33" s="663" t="inlineStr">
        <is>
          <t>Output</t>
        </is>
      </c>
      <c r="D33" s="635" t="inlineStr">
        <is>
          <t>Scenario comparison</t>
        </is>
      </c>
      <c r="E33" s="1" t="n"/>
      <c r="F33" s="1" t="n"/>
      <c r="G33" s="1" t="n"/>
      <c r="H33" s="1" t="n"/>
      <c r="I33" s="1" t="n"/>
      <c r="J33" s="1" t="n"/>
      <c r="K33" s="1" t="n"/>
      <c r="L33" s="1" t="n"/>
      <c r="M33" s="1" t="n"/>
      <c r="N33" s="1" t="n"/>
      <c r="O33" s="1" t="n"/>
      <c r="P33" s="1" t="n"/>
      <c r="Q33" s="1" t="n"/>
      <c r="R33" s="1" t="n"/>
      <c r="S33" s="1" t="n"/>
      <c r="T33" s="1" t="n"/>
      <c r="U33" s="1" t="n"/>
      <c r="V33" s="1" t="n"/>
      <c r="W33" s="1" t="n"/>
      <c r="X33" s="1" t="n"/>
      <c r="Y33" s="1" t="n"/>
    </row>
    <row r="34">
      <c r="A34" s="638">
        <f>A33+1</f>
        <v/>
      </c>
      <c r="B34" s="705" t="inlineStr">
        <is>
          <t>Sensitivity Analysis</t>
        </is>
      </c>
      <c r="C34" s="663" t="inlineStr">
        <is>
          <t>Output</t>
        </is>
      </c>
      <c r="D34" s="635" t="inlineStr">
        <is>
          <t>Sensitivity testing</t>
        </is>
      </c>
      <c r="E34" s="1" t="n"/>
      <c r="F34" s="1" t="n"/>
      <c r="G34" s="1" t="n"/>
      <c r="H34" s="1" t="n"/>
      <c r="I34" s="1" t="n"/>
      <c r="J34" s="1" t="n"/>
      <c r="K34" s="1" t="n"/>
      <c r="L34" s="1" t="n"/>
      <c r="M34" s="1" t="n"/>
      <c r="N34" s="1" t="n"/>
      <c r="O34" s="1" t="n"/>
      <c r="P34" s="1" t="n"/>
      <c r="Q34" s="1" t="n"/>
      <c r="R34" s="1" t="n"/>
      <c r="S34" s="1" t="n"/>
      <c r="T34" s="1" t="n"/>
      <c r="U34" s="1" t="n"/>
      <c r="V34" s="1" t="n"/>
      <c r="W34" s="1" t="n"/>
      <c r="X34" s="1" t="n"/>
      <c r="Y34" s="1" t="n"/>
    </row>
    <row r="35">
      <c r="A35" s="638">
        <f>A34+1</f>
        <v/>
      </c>
      <c r="B35" s="705" t="inlineStr">
        <is>
          <t>Comparable Valuation</t>
        </is>
      </c>
      <c r="C35" s="663" t="inlineStr">
        <is>
          <t>Output</t>
        </is>
      </c>
      <c r="D35" s="635" t="inlineStr">
        <is>
          <t>Sector valuation</t>
        </is>
      </c>
      <c r="E35" s="1" t="n"/>
      <c r="F35" s="1" t="n"/>
      <c r="G35" s="1" t="n"/>
      <c r="H35" s="1" t="n"/>
      <c r="I35" s="1" t="n"/>
      <c r="J35" s="1" t="n"/>
      <c r="K35" s="1" t="n"/>
      <c r="L35" s="1" t="n"/>
      <c r="M35" s="1" t="n"/>
      <c r="N35" s="1" t="n"/>
      <c r="O35" s="1" t="n"/>
      <c r="P35" s="1" t="n"/>
      <c r="Q35" s="1" t="n"/>
      <c r="R35" s="1" t="n"/>
      <c r="S35" s="1" t="n"/>
      <c r="T35" s="1" t="n"/>
      <c r="U35" s="1" t="n"/>
      <c r="V35" s="1" t="n"/>
      <c r="W35" s="1" t="n"/>
      <c r="X35" s="1" t="n"/>
      <c r="Y35" s="1" t="n"/>
    </row>
    <row r="36">
      <c r="A36" s="638">
        <f>A35+1</f>
        <v/>
      </c>
      <c r="B36" s="705" t="inlineStr">
        <is>
          <t>Industry Dashboard</t>
        </is>
      </c>
      <c r="C36" s="663" t="inlineStr">
        <is>
          <t>Output</t>
        </is>
      </c>
      <c r="D36" s="635" t="inlineStr">
        <is>
          <t>Executive dashboard</t>
        </is>
      </c>
      <c r="E36" s="1" t="n"/>
      <c r="F36" s="1" t="n"/>
      <c r="G36" s="1" t="n"/>
      <c r="H36" s="1" t="n"/>
      <c r="I36" s="1" t="n"/>
      <c r="J36" s="1" t="n"/>
      <c r="K36" s="1" t="n"/>
      <c r="L36" s="1" t="n"/>
      <c r="M36" s="1" t="n"/>
      <c r="N36" s="1" t="n"/>
      <c r="O36" s="1" t="n"/>
      <c r="P36" s="1" t="n"/>
      <c r="Q36" s="1" t="n"/>
      <c r="R36" s="1" t="n"/>
      <c r="S36" s="1" t="n"/>
      <c r="T36" s="1" t="n"/>
      <c r="U36" s="1" t="n"/>
      <c r="V36" s="1" t="n"/>
      <c r="W36" s="1" t="n"/>
      <c r="X36" s="1" t="n"/>
      <c r="Y36" s="1" t="n"/>
    </row>
    <row r="37">
      <c r="A37" s="702" t="inlineStr">
        <is>
          <t>Validation &amp; Documentation</t>
        </is>
      </c>
      <c r="B37" s="703" t="n"/>
      <c r="C37" s="703" t="n"/>
      <c r="D37" s="704" t="n"/>
      <c r="E37" s="1" t="n"/>
      <c r="F37" s="1" t="n"/>
      <c r="G37" s="1" t="n"/>
      <c r="H37" s="1" t="n"/>
      <c r="I37" s="1" t="n"/>
      <c r="J37" s="1" t="n"/>
      <c r="K37" s="1" t="n"/>
      <c r="L37" s="1" t="n"/>
      <c r="M37" s="1" t="n"/>
      <c r="N37" s="1" t="n"/>
      <c r="O37" s="1" t="n"/>
      <c r="P37" s="1" t="n"/>
      <c r="Q37" s="1" t="n"/>
      <c r="R37" s="1" t="n"/>
      <c r="S37" s="1" t="n"/>
      <c r="T37" s="1" t="n"/>
      <c r="U37" s="1" t="n"/>
      <c r="V37" s="1" t="n"/>
      <c r="W37" s="1" t="n"/>
      <c r="X37" s="1" t="n"/>
      <c r="Y37" s="1" t="n"/>
    </row>
    <row r="38">
      <c r="A38" s="638">
        <f>A36+1</f>
        <v/>
      </c>
      <c r="B38" s="705" t="inlineStr">
        <is>
          <t>Audit Checks</t>
        </is>
      </c>
      <c r="C38" s="663" t="inlineStr">
        <is>
          <t>Audit</t>
        </is>
      </c>
      <c r="D38" s="635" t="inlineStr">
        <is>
          <t>Model validation</t>
        </is>
      </c>
      <c r="E38" s="1" t="n"/>
      <c r="F38" s="1" t="n"/>
      <c r="G38" s="1" t="n"/>
      <c r="H38" s="1" t="n"/>
      <c r="I38" s="1" t="n"/>
      <c r="J38" s="1" t="n"/>
      <c r="K38" s="1" t="n"/>
      <c r="L38" s="1" t="n"/>
      <c r="M38" s="1" t="n"/>
      <c r="N38" s="1" t="n"/>
      <c r="O38" s="1" t="n"/>
      <c r="P38" s="1" t="n"/>
      <c r="Q38" s="1" t="n"/>
      <c r="R38" s="1" t="n"/>
      <c r="S38" s="1" t="n"/>
      <c r="T38" s="1" t="n"/>
      <c r="U38" s="1" t="n"/>
      <c r="V38" s="1" t="n"/>
      <c r="W38" s="1" t="n"/>
      <c r="X38" s="1" t="n"/>
      <c r="Y38" s="1" t="n"/>
    </row>
    <row r="39" ht="15" customHeight="1" s="632" thickBot="1">
      <c r="A39" s="639">
        <f>A38+1</f>
        <v/>
      </c>
      <c r="B39" s="706" t="inlineStr">
        <is>
          <t>Sources</t>
        </is>
      </c>
      <c r="C39" s="665" t="inlineStr">
        <is>
          <t>Documentation</t>
        </is>
      </c>
      <c r="D39" s="641" t="inlineStr">
        <is>
          <t>References and source log</t>
        </is>
      </c>
      <c r="E39" s="1" t="n"/>
      <c r="F39" s="1" t="n"/>
      <c r="G39" s="1" t="n"/>
      <c r="H39" s="1" t="n"/>
      <c r="I39" s="1" t="n"/>
      <c r="J39" s="1" t="n"/>
      <c r="K39" s="1" t="n"/>
      <c r="L39" s="1" t="n"/>
      <c r="M39" s="1" t="n"/>
      <c r="N39" s="1" t="n"/>
      <c r="O39" s="1" t="n"/>
      <c r="P39" s="1" t="n"/>
      <c r="Q39" s="1" t="n"/>
      <c r="R39" s="1" t="n"/>
      <c r="S39" s="1" t="n"/>
      <c r="T39" s="1" t="n"/>
      <c r="U39" s="1" t="n"/>
      <c r="V39" s="1" t="n"/>
      <c r="W39" s="1" t="n"/>
      <c r="X39" s="1" t="n"/>
      <c r="Y39" s="1" t="n"/>
    </row>
    <row r="40">
      <c r="B40" s="242" t="n"/>
      <c r="C40" s="1" t="n"/>
      <c r="D40" s="238" t="n"/>
      <c r="E40" s="1" t="n"/>
      <c r="F40" s="1" t="n"/>
      <c r="G40" s="1" t="n"/>
      <c r="H40" s="1" t="n"/>
      <c r="I40" s="1" t="n"/>
      <c r="J40" s="1" t="n"/>
      <c r="K40" s="1" t="n"/>
      <c r="L40" s="1" t="n"/>
      <c r="M40" s="1" t="n"/>
      <c r="N40" s="1" t="n"/>
      <c r="O40" s="1" t="n"/>
      <c r="P40" s="1" t="n"/>
      <c r="Q40" s="1" t="n"/>
      <c r="R40" s="1" t="n"/>
      <c r="S40" s="1" t="n"/>
      <c r="T40" s="1" t="n"/>
      <c r="U40" s="1" t="n"/>
      <c r="V40" s="1" t="n"/>
      <c r="W40" s="1" t="n"/>
      <c r="X40" s="1" t="n"/>
      <c r="Y40" s="1" t="n"/>
    </row>
    <row r="41">
      <c r="B41" s="242" t="n"/>
      <c r="C41" s="1" t="n"/>
      <c r="D41" s="238" t="n"/>
      <c r="E41" s="1" t="n"/>
      <c r="F41" s="1" t="n"/>
      <c r="G41" s="1" t="n"/>
      <c r="H41" s="1" t="n"/>
      <c r="I41" s="1" t="n"/>
      <c r="J41" s="1" t="n"/>
      <c r="K41" s="1" t="n"/>
      <c r="L41" s="1" t="n"/>
      <c r="M41" s="1" t="n"/>
      <c r="N41" s="1" t="n"/>
      <c r="O41" s="1" t="n"/>
      <c r="P41" s="1" t="n"/>
      <c r="Q41" s="1" t="n"/>
      <c r="R41" s="1" t="n"/>
      <c r="S41" s="1" t="n"/>
      <c r="T41" s="1" t="n"/>
      <c r="U41" s="1" t="n"/>
      <c r="V41" s="1" t="n"/>
      <c r="W41" s="1" t="n"/>
      <c r="X41" s="1" t="n"/>
      <c r="Y41" s="1" t="n"/>
    </row>
    <row r="42">
      <c r="B42" s="242" t="n"/>
      <c r="C42" s="1" t="n"/>
      <c r="D42" s="238" t="n"/>
      <c r="E42" s="1" t="n"/>
      <c r="F42" s="1" t="n"/>
      <c r="G42" s="1" t="n"/>
      <c r="H42" s="1" t="n"/>
      <c r="I42" s="1" t="n"/>
      <c r="J42" s="1" t="n"/>
      <c r="K42" s="1" t="n"/>
      <c r="L42" s="1" t="n"/>
      <c r="M42" s="1" t="n"/>
      <c r="N42" s="1" t="n"/>
      <c r="O42" s="1" t="n"/>
      <c r="P42" s="1" t="n"/>
      <c r="Q42" s="1" t="n"/>
      <c r="R42" s="1" t="n"/>
      <c r="S42" s="1" t="n"/>
      <c r="T42" s="1" t="n"/>
      <c r="U42" s="1" t="n"/>
      <c r="V42" s="1" t="n"/>
      <c r="W42" s="1" t="n"/>
      <c r="X42" s="1" t="n"/>
      <c r="Y42" s="1" t="n"/>
    </row>
    <row r="43">
      <c r="B43" s="242" t="n"/>
      <c r="C43" s="1" t="n"/>
      <c r="D43" s="238" t="n"/>
      <c r="E43" s="1" t="n"/>
      <c r="F43" s="1" t="n"/>
      <c r="G43" s="1" t="n"/>
      <c r="H43" s="1" t="n"/>
      <c r="I43" s="1" t="n"/>
      <c r="J43" s="1" t="n"/>
      <c r="K43" s="1" t="n"/>
      <c r="L43" s="1" t="n"/>
      <c r="M43" s="1" t="n"/>
      <c r="N43" s="1" t="n"/>
      <c r="O43" s="1" t="n"/>
      <c r="P43" s="1" t="n"/>
      <c r="Q43" s="1" t="n"/>
      <c r="R43" s="1" t="n"/>
      <c r="S43" s="1" t="n"/>
      <c r="T43" s="1" t="n"/>
      <c r="U43" s="1" t="n"/>
      <c r="V43" s="1" t="n"/>
      <c r="W43" s="1" t="n"/>
      <c r="X43" s="1" t="n"/>
      <c r="Y43" s="1" t="n"/>
    </row>
    <row r="44">
      <c r="B44" s="242" t="n"/>
      <c r="C44" s="1" t="n"/>
      <c r="D44" s="238" t="n"/>
      <c r="E44" s="1" t="n"/>
      <c r="F44" s="1" t="n"/>
      <c r="G44" s="1" t="n"/>
      <c r="H44" s="1" t="n"/>
      <c r="I44" s="1" t="n"/>
      <c r="J44" s="1" t="n"/>
      <c r="K44" s="1" t="n"/>
      <c r="L44" s="1" t="n"/>
      <c r="M44" s="1" t="n"/>
      <c r="N44" s="1" t="n"/>
      <c r="O44" s="1" t="n"/>
      <c r="P44" s="1" t="n"/>
      <c r="Q44" s="1" t="n"/>
      <c r="R44" s="1" t="n"/>
      <c r="S44" s="1" t="n"/>
      <c r="T44" s="1" t="n"/>
      <c r="U44" s="1" t="n"/>
      <c r="V44" s="1" t="n"/>
      <c r="W44" s="1" t="n"/>
      <c r="X44" s="1" t="n"/>
      <c r="Y44" s="1" t="n"/>
    </row>
    <row r="45">
      <c r="B45" s="242" t="n"/>
      <c r="C45" s="1" t="n"/>
      <c r="D45" s="238" t="n"/>
      <c r="E45" s="1" t="n"/>
      <c r="F45" s="1" t="n"/>
      <c r="G45" s="1" t="n"/>
      <c r="H45" s="1" t="n"/>
      <c r="I45" s="1" t="n"/>
      <c r="J45" s="1" t="n"/>
      <c r="K45" s="1" t="n"/>
      <c r="L45" s="1" t="n"/>
      <c r="M45" s="1" t="n"/>
      <c r="N45" s="1" t="n"/>
      <c r="O45" s="1" t="n"/>
      <c r="P45" s="1" t="n"/>
      <c r="Q45" s="1" t="n"/>
      <c r="R45" s="1" t="n"/>
      <c r="S45" s="1" t="n"/>
      <c r="T45" s="1" t="n"/>
      <c r="U45" s="1" t="n"/>
      <c r="V45" s="1" t="n"/>
      <c r="W45" s="1" t="n"/>
      <c r="X45" s="1" t="n"/>
      <c r="Y45" s="1" t="n"/>
    </row>
    <row r="46">
      <c r="B46" s="242" t="n"/>
      <c r="C46" s="1" t="n"/>
      <c r="D46" s="238" t="n"/>
      <c r="E46" s="1" t="n"/>
      <c r="F46" s="1" t="n"/>
      <c r="G46" s="1" t="n"/>
      <c r="H46" s="1" t="n"/>
      <c r="I46" s="1" t="n"/>
      <c r="J46" s="1" t="n"/>
      <c r="K46" s="1" t="n"/>
      <c r="L46" s="1" t="n"/>
      <c r="M46" s="1" t="n"/>
      <c r="N46" s="1" t="n"/>
      <c r="O46" s="1" t="n"/>
      <c r="P46" s="1" t="n"/>
      <c r="Q46" s="1" t="n"/>
      <c r="R46" s="1" t="n"/>
      <c r="S46" s="1" t="n"/>
      <c r="T46" s="1" t="n"/>
      <c r="U46" s="1" t="n"/>
      <c r="V46" s="1" t="n"/>
      <c r="W46" s="1" t="n"/>
      <c r="X46" s="1" t="n"/>
      <c r="Y46" s="1" t="n"/>
    </row>
    <row r="47">
      <c r="B47" s="242" t="n"/>
      <c r="C47" s="1" t="n"/>
      <c r="D47" s="238" t="n"/>
      <c r="E47" s="1" t="n"/>
      <c r="F47" s="1" t="n"/>
      <c r="G47" s="1" t="n"/>
      <c r="H47" s="1" t="n"/>
      <c r="I47" s="1" t="n"/>
      <c r="J47" s="1" t="n"/>
      <c r="K47" s="1" t="n"/>
      <c r="L47" s="1" t="n"/>
      <c r="M47" s="1" t="n"/>
      <c r="N47" s="1" t="n"/>
      <c r="O47" s="1" t="n"/>
      <c r="P47" s="1" t="n"/>
      <c r="Q47" s="1" t="n"/>
      <c r="R47" s="1" t="n"/>
      <c r="S47" s="1" t="n"/>
      <c r="T47" s="1" t="n"/>
      <c r="U47" s="1" t="n"/>
      <c r="V47" s="1" t="n"/>
      <c r="W47" s="1" t="n"/>
      <c r="X47" s="1" t="n"/>
      <c r="Y47" s="1" t="n"/>
    </row>
    <row r="48">
      <c r="B48" s="242" t="n"/>
      <c r="C48" s="1" t="n"/>
      <c r="D48" s="238" t="n"/>
      <c r="E48" s="1" t="n"/>
      <c r="F48" s="1" t="n"/>
      <c r="G48" s="1" t="n"/>
      <c r="H48" s="1" t="n"/>
      <c r="I48" s="1" t="n"/>
      <c r="J48" s="1" t="n"/>
      <c r="K48" s="1" t="n"/>
      <c r="L48" s="1" t="n"/>
      <c r="M48" s="1" t="n"/>
      <c r="N48" s="1" t="n"/>
      <c r="O48" s="1" t="n"/>
      <c r="P48" s="1" t="n"/>
      <c r="Q48" s="1" t="n"/>
      <c r="R48" s="1" t="n"/>
      <c r="S48" s="1" t="n"/>
      <c r="T48" s="1" t="n"/>
      <c r="U48" s="1" t="n"/>
      <c r="V48" s="1" t="n"/>
      <c r="W48" s="1" t="n"/>
      <c r="X48" s="1" t="n"/>
      <c r="Y48" s="1" t="n"/>
    </row>
    <row r="49">
      <c r="B49" s="242" t="n"/>
      <c r="C49" s="1" t="n"/>
      <c r="D49" s="238" t="n"/>
      <c r="E49" s="1" t="n"/>
      <c r="F49" s="1" t="n"/>
      <c r="G49" s="1" t="n"/>
      <c r="H49" s="1" t="n"/>
      <c r="I49" s="1" t="n"/>
      <c r="J49" s="1" t="n"/>
      <c r="K49" s="1" t="n"/>
      <c r="L49" s="1" t="n"/>
      <c r="M49" s="1" t="n"/>
      <c r="N49" s="1" t="n"/>
      <c r="O49" s="1" t="n"/>
      <c r="P49" s="1" t="n"/>
      <c r="Q49" s="1" t="n"/>
      <c r="R49" s="1" t="n"/>
      <c r="S49" s="1" t="n"/>
      <c r="T49" s="1" t="n"/>
      <c r="U49" s="1" t="n"/>
      <c r="V49" s="1" t="n"/>
      <c r="W49" s="1" t="n"/>
      <c r="X49" s="1" t="n"/>
      <c r="Y49" s="1" t="n"/>
    </row>
    <row r="50">
      <c r="B50" s="242" t="n"/>
      <c r="C50" s="1" t="n"/>
      <c r="D50" s="238" t="n"/>
      <c r="E50" s="1" t="n"/>
      <c r="F50" s="1" t="n"/>
      <c r="G50" s="1" t="n"/>
      <c r="H50" s="1" t="n"/>
      <c r="I50" s="1" t="n"/>
      <c r="J50" s="1" t="n"/>
      <c r="K50" s="1" t="n"/>
      <c r="L50" s="1" t="n"/>
      <c r="M50" s="1" t="n"/>
      <c r="N50" s="1" t="n"/>
      <c r="O50" s="1" t="n"/>
      <c r="P50" s="1" t="n"/>
      <c r="Q50" s="1" t="n"/>
      <c r="R50" s="1" t="n"/>
      <c r="S50" s="1" t="n"/>
      <c r="T50" s="1" t="n"/>
      <c r="U50" s="1" t="n"/>
      <c r="V50" s="1" t="n"/>
      <c r="W50" s="1" t="n"/>
      <c r="X50" s="1" t="n"/>
      <c r="Y50" s="1" t="n"/>
    </row>
    <row r="51">
      <c r="B51" s="242" t="n"/>
      <c r="C51" s="1" t="n"/>
      <c r="D51" s="238" t="n"/>
      <c r="E51" s="1" t="n"/>
      <c r="F51" s="1" t="n"/>
      <c r="G51" s="1" t="n"/>
      <c r="H51" s="1" t="n"/>
      <c r="I51" s="1" t="n"/>
      <c r="J51" s="1" t="n"/>
      <c r="K51" s="1" t="n"/>
      <c r="L51" s="1" t="n"/>
      <c r="M51" s="1" t="n"/>
      <c r="N51" s="1" t="n"/>
      <c r="O51" s="1" t="n"/>
      <c r="P51" s="1" t="n"/>
      <c r="Q51" s="1" t="n"/>
      <c r="R51" s="1" t="n"/>
      <c r="S51" s="1" t="n"/>
      <c r="T51" s="1" t="n"/>
      <c r="U51" s="1" t="n"/>
      <c r="V51" s="1" t="n"/>
      <c r="W51" s="1" t="n"/>
      <c r="X51" s="1" t="n"/>
      <c r="Y51" s="1" t="n"/>
    </row>
    <row r="52">
      <c r="B52" s="242" t="n"/>
      <c r="C52" s="1" t="n"/>
      <c r="D52" s="238" t="n"/>
      <c r="E52" s="1" t="n"/>
      <c r="F52" s="1" t="n"/>
      <c r="G52" s="1" t="n"/>
      <c r="H52" s="1" t="n"/>
      <c r="I52" s="1" t="n"/>
      <c r="J52" s="1" t="n"/>
      <c r="K52" s="1" t="n"/>
      <c r="L52" s="1" t="n"/>
      <c r="M52" s="1" t="n"/>
      <c r="N52" s="1" t="n"/>
      <c r="O52" s="1" t="n"/>
      <c r="P52" s="1" t="n"/>
      <c r="Q52" s="1" t="n"/>
      <c r="R52" s="1" t="n"/>
      <c r="S52" s="1" t="n"/>
      <c r="T52" s="1" t="n"/>
      <c r="U52" s="1" t="n"/>
      <c r="V52" s="1" t="n"/>
      <c r="W52" s="1" t="n"/>
      <c r="X52" s="1" t="n"/>
      <c r="Y52" s="1" t="n"/>
    </row>
    <row r="53">
      <c r="B53" s="242" t="n"/>
      <c r="C53" s="1" t="n"/>
      <c r="D53" s="238" t="n"/>
      <c r="E53" s="1" t="n"/>
      <c r="F53" s="1" t="n"/>
      <c r="G53" s="1" t="n"/>
      <c r="H53" s="1" t="n"/>
      <c r="I53" s="1" t="n"/>
      <c r="J53" s="1" t="n"/>
      <c r="K53" s="1" t="n"/>
      <c r="L53" s="1" t="n"/>
      <c r="M53" s="1" t="n"/>
      <c r="N53" s="1" t="n"/>
      <c r="O53" s="1" t="n"/>
      <c r="P53" s="1" t="n"/>
      <c r="Q53" s="1" t="n"/>
      <c r="R53" s="1" t="n"/>
      <c r="S53" s="1" t="n"/>
      <c r="T53" s="1" t="n"/>
      <c r="U53" s="1" t="n"/>
      <c r="V53" s="1" t="n"/>
      <c r="W53" s="1" t="n"/>
      <c r="X53" s="1" t="n"/>
      <c r="Y53" s="1" t="n"/>
    </row>
    <row r="54">
      <c r="B54" s="242" t="n"/>
      <c r="C54" s="1" t="n"/>
      <c r="D54" s="238" t="n"/>
      <c r="E54" s="1" t="n"/>
      <c r="F54" s="1" t="n"/>
      <c r="G54" s="1" t="n"/>
      <c r="H54" s="1" t="n"/>
      <c r="I54" s="1" t="n"/>
      <c r="J54" s="1" t="n"/>
      <c r="K54" s="1" t="n"/>
      <c r="L54" s="1" t="n"/>
      <c r="M54" s="1" t="n"/>
      <c r="N54" s="1" t="n"/>
      <c r="O54" s="1" t="n"/>
      <c r="P54" s="1" t="n"/>
      <c r="Q54" s="1" t="n"/>
      <c r="R54" s="1" t="n"/>
      <c r="S54" s="1" t="n"/>
      <c r="T54" s="1" t="n"/>
      <c r="U54" s="1" t="n"/>
      <c r="V54" s="1" t="n"/>
      <c r="W54" s="1" t="n"/>
      <c r="X54" s="1" t="n"/>
      <c r="Y54" s="1" t="n"/>
    </row>
    <row r="55">
      <c r="B55" s="242" t="n"/>
      <c r="C55" s="1" t="n"/>
      <c r="D55" s="238" t="n"/>
      <c r="E55" s="1" t="n"/>
      <c r="F55" s="1" t="n"/>
      <c r="G55" s="1" t="n"/>
      <c r="H55" s="1" t="n"/>
      <c r="I55" s="1" t="n"/>
      <c r="J55" s="1" t="n"/>
      <c r="K55" s="1" t="n"/>
      <c r="L55" s="1" t="n"/>
      <c r="M55" s="1" t="n"/>
      <c r="N55" s="1" t="n"/>
      <c r="O55" s="1" t="n"/>
      <c r="P55" s="1" t="n"/>
      <c r="Q55" s="1" t="n"/>
      <c r="R55" s="1" t="n"/>
      <c r="S55" s="1" t="n"/>
      <c r="T55" s="1" t="n"/>
      <c r="U55" s="1" t="n"/>
      <c r="V55" s="1" t="n"/>
      <c r="W55" s="1" t="n"/>
      <c r="X55" s="1" t="n"/>
      <c r="Y55" s="1" t="n"/>
    </row>
    <row r="56">
      <c r="B56" s="242" t="n"/>
      <c r="C56" s="1" t="n"/>
      <c r="D56" s="238" t="n"/>
      <c r="E56" s="1" t="n"/>
      <c r="F56" s="1" t="n"/>
      <c r="G56" s="1" t="n"/>
      <c r="H56" s="1" t="n"/>
      <c r="I56" s="1" t="n"/>
      <c r="J56" s="1" t="n"/>
      <c r="K56" s="1" t="n"/>
      <c r="L56" s="1" t="n"/>
      <c r="M56" s="1" t="n"/>
      <c r="N56" s="1" t="n"/>
      <c r="O56" s="1" t="n"/>
      <c r="P56" s="1" t="n"/>
      <c r="Q56" s="1" t="n"/>
      <c r="R56" s="1" t="n"/>
      <c r="S56" s="1" t="n"/>
      <c r="T56" s="1" t="n"/>
      <c r="U56" s="1" t="n"/>
      <c r="V56" s="1" t="n"/>
      <c r="W56" s="1" t="n"/>
      <c r="X56" s="1" t="n"/>
      <c r="Y56" s="1" t="n"/>
    </row>
    <row r="57">
      <c r="B57" s="242" t="n"/>
      <c r="C57" s="1" t="n"/>
      <c r="D57" s="238" t="n"/>
      <c r="E57" s="1" t="n"/>
      <c r="F57" s="1" t="n"/>
      <c r="G57" s="1" t="n"/>
      <c r="H57" s="1" t="n"/>
      <c r="I57" s="1" t="n"/>
      <c r="J57" s="1" t="n"/>
      <c r="K57" s="1" t="n"/>
      <c r="L57" s="1" t="n"/>
      <c r="M57" s="1" t="n"/>
      <c r="N57" s="1" t="n"/>
      <c r="O57" s="1" t="n"/>
      <c r="P57" s="1" t="n"/>
      <c r="Q57" s="1" t="n"/>
      <c r="R57" s="1" t="n"/>
      <c r="S57" s="1" t="n"/>
      <c r="T57" s="1" t="n"/>
      <c r="U57" s="1" t="n"/>
      <c r="V57" s="1" t="n"/>
      <c r="W57" s="1" t="n"/>
      <c r="X57" s="1" t="n"/>
      <c r="Y57" s="1" t="n"/>
    </row>
    <row r="58">
      <c r="B58" s="242" t="n"/>
      <c r="C58" s="1" t="n"/>
      <c r="D58" s="238" t="n"/>
      <c r="E58" s="1" t="n"/>
      <c r="F58" s="1" t="n"/>
      <c r="G58" s="1" t="n"/>
      <c r="H58" s="1" t="n"/>
      <c r="I58" s="1" t="n"/>
      <c r="J58" s="1" t="n"/>
      <c r="K58" s="1" t="n"/>
      <c r="L58" s="1" t="n"/>
      <c r="M58" s="1" t="n"/>
      <c r="N58" s="1" t="n"/>
      <c r="O58" s="1" t="n"/>
      <c r="P58" s="1" t="n"/>
      <c r="Q58" s="1" t="n"/>
      <c r="R58" s="1" t="n"/>
      <c r="S58" s="1" t="n"/>
      <c r="T58" s="1" t="n"/>
      <c r="U58" s="1" t="n"/>
      <c r="V58" s="1" t="n"/>
      <c r="W58" s="1" t="n"/>
      <c r="X58" s="1" t="n"/>
      <c r="Y58" s="1" t="n"/>
    </row>
    <row r="59">
      <c r="B59" s="242" t="n"/>
      <c r="C59" s="1" t="n"/>
      <c r="D59" s="238" t="n"/>
      <c r="E59" s="1" t="n"/>
      <c r="F59" s="1" t="n"/>
      <c r="G59" s="1" t="n"/>
      <c r="H59" s="1" t="n"/>
      <c r="I59" s="1" t="n"/>
      <c r="J59" s="1" t="n"/>
      <c r="K59" s="1" t="n"/>
      <c r="L59" s="1" t="n"/>
      <c r="M59" s="1" t="n"/>
      <c r="N59" s="1" t="n"/>
      <c r="O59" s="1" t="n"/>
      <c r="P59" s="1" t="n"/>
      <c r="Q59" s="1" t="n"/>
      <c r="R59" s="1" t="n"/>
      <c r="S59" s="1" t="n"/>
      <c r="T59" s="1" t="n"/>
      <c r="U59" s="1" t="n"/>
      <c r="V59" s="1" t="n"/>
      <c r="W59" s="1" t="n"/>
      <c r="X59" s="1" t="n"/>
      <c r="Y59" s="1" t="n"/>
    </row>
    <row r="60">
      <c r="B60" s="242" t="n"/>
      <c r="C60" s="1" t="n"/>
      <c r="D60" s="238" t="n"/>
      <c r="E60" s="1" t="n"/>
      <c r="F60" s="1" t="n"/>
      <c r="G60" s="1" t="n"/>
      <c r="H60" s="1" t="n"/>
      <c r="I60" s="1" t="n"/>
      <c r="J60" s="1" t="n"/>
      <c r="K60" s="1" t="n"/>
      <c r="L60" s="1" t="n"/>
      <c r="M60" s="1" t="n"/>
      <c r="N60" s="1" t="n"/>
      <c r="O60" s="1" t="n"/>
      <c r="P60" s="1" t="n"/>
      <c r="Q60" s="1" t="n"/>
      <c r="R60" s="1" t="n"/>
      <c r="S60" s="1" t="n"/>
      <c r="T60" s="1" t="n"/>
      <c r="U60" s="1" t="n"/>
      <c r="V60" s="1" t="n"/>
      <c r="W60" s="1" t="n"/>
      <c r="X60" s="1" t="n"/>
      <c r="Y60" s="1" t="n"/>
    </row>
    <row r="61">
      <c r="B61" s="242" t="n"/>
      <c r="C61" s="1" t="n"/>
      <c r="D61" s="238" t="n"/>
      <c r="E61" s="1" t="n"/>
      <c r="F61" s="1" t="n"/>
      <c r="G61" s="1" t="n"/>
      <c r="H61" s="1" t="n"/>
      <c r="I61" s="1" t="n"/>
      <c r="J61" s="1" t="n"/>
      <c r="K61" s="1" t="n"/>
      <c r="L61" s="1" t="n"/>
      <c r="M61" s="1" t="n"/>
      <c r="N61" s="1" t="n"/>
      <c r="O61" s="1" t="n"/>
      <c r="P61" s="1" t="n"/>
      <c r="Q61" s="1" t="n"/>
      <c r="R61" s="1" t="n"/>
      <c r="S61" s="1" t="n"/>
      <c r="T61" s="1" t="n"/>
      <c r="U61" s="1" t="n"/>
      <c r="V61" s="1" t="n"/>
      <c r="W61" s="1" t="n"/>
      <c r="X61" s="1" t="n"/>
      <c r="Y61" s="1" t="n"/>
    </row>
    <row r="62">
      <c r="B62" s="242" t="n"/>
      <c r="C62" s="1" t="n"/>
      <c r="D62" s="238" t="n"/>
      <c r="E62" s="1" t="n"/>
      <c r="F62" s="1" t="n"/>
      <c r="G62" s="1" t="n"/>
      <c r="H62" s="1" t="n"/>
      <c r="I62" s="1" t="n"/>
      <c r="J62" s="1" t="n"/>
      <c r="K62" s="1" t="n"/>
      <c r="L62" s="1" t="n"/>
      <c r="M62" s="1" t="n"/>
      <c r="N62" s="1" t="n"/>
      <c r="O62" s="1" t="n"/>
      <c r="P62" s="1" t="n"/>
      <c r="Q62" s="1" t="n"/>
      <c r="R62" s="1" t="n"/>
      <c r="S62" s="1" t="n"/>
      <c r="T62" s="1" t="n"/>
      <c r="U62" s="1" t="n"/>
      <c r="V62" s="1" t="n"/>
      <c r="W62" s="1" t="n"/>
      <c r="X62" s="1" t="n"/>
      <c r="Y62" s="1" t="n"/>
    </row>
    <row r="63">
      <c r="B63" s="242" t="n"/>
      <c r="C63" s="1" t="n"/>
      <c r="D63" s="238" t="n"/>
      <c r="E63" s="1" t="n"/>
      <c r="F63" s="1" t="n"/>
      <c r="G63" s="1" t="n"/>
      <c r="H63" s="1" t="n"/>
      <c r="I63" s="1" t="n"/>
      <c r="J63" s="1" t="n"/>
      <c r="K63" s="1" t="n"/>
      <c r="L63" s="1" t="n"/>
      <c r="M63" s="1" t="n"/>
      <c r="N63" s="1" t="n"/>
      <c r="O63" s="1" t="n"/>
      <c r="P63" s="1" t="n"/>
      <c r="Q63" s="1" t="n"/>
      <c r="R63" s="1" t="n"/>
      <c r="S63" s="1" t="n"/>
      <c r="T63" s="1" t="n"/>
      <c r="U63" s="1" t="n"/>
      <c r="V63" s="1" t="n"/>
      <c r="W63" s="1" t="n"/>
      <c r="X63" s="1" t="n"/>
      <c r="Y63" s="1" t="n"/>
    </row>
    <row r="64">
      <c r="B64" s="242" t="n"/>
      <c r="C64" s="1" t="n"/>
      <c r="D64" s="238" t="n"/>
      <c r="E64" s="1" t="n"/>
      <c r="F64" s="1" t="n"/>
      <c r="G64" s="1" t="n"/>
      <c r="H64" s="1" t="n"/>
      <c r="I64" s="1" t="n"/>
      <c r="J64" s="1" t="n"/>
      <c r="K64" s="1" t="n"/>
      <c r="L64" s="1" t="n"/>
      <c r="M64" s="1" t="n"/>
      <c r="N64" s="1" t="n"/>
      <c r="O64" s="1" t="n"/>
      <c r="P64" s="1" t="n"/>
      <c r="Q64" s="1" t="n"/>
      <c r="R64" s="1" t="n"/>
      <c r="S64" s="1" t="n"/>
      <c r="T64" s="1" t="n"/>
      <c r="U64" s="1" t="n"/>
      <c r="V64" s="1" t="n"/>
      <c r="W64" s="1" t="n"/>
      <c r="X64" s="1" t="n"/>
      <c r="Y64" s="1" t="n"/>
    </row>
    <row r="65">
      <c r="B65" s="242" t="n"/>
      <c r="C65" s="1" t="n"/>
      <c r="D65" s="238" t="n"/>
      <c r="E65" s="1" t="n"/>
      <c r="F65" s="1" t="n"/>
      <c r="G65" s="1" t="n"/>
      <c r="H65" s="1" t="n"/>
      <c r="I65" s="1" t="n"/>
      <c r="J65" s="1" t="n"/>
      <c r="K65" s="1" t="n"/>
      <c r="L65" s="1" t="n"/>
      <c r="M65" s="1" t="n"/>
      <c r="N65" s="1" t="n"/>
      <c r="O65" s="1" t="n"/>
      <c r="P65" s="1" t="n"/>
      <c r="Q65" s="1" t="n"/>
      <c r="R65" s="1" t="n"/>
      <c r="S65" s="1" t="n"/>
      <c r="T65" s="1" t="n"/>
      <c r="U65" s="1" t="n"/>
      <c r="V65" s="1" t="n"/>
      <c r="W65" s="1" t="n"/>
      <c r="X65" s="1" t="n"/>
      <c r="Y65" s="1" t="n"/>
    </row>
    <row r="66">
      <c r="B66" s="242" t="n"/>
      <c r="C66" s="1" t="n"/>
      <c r="D66" s="238" t="n"/>
      <c r="E66" s="1" t="n"/>
      <c r="F66" s="1" t="n"/>
      <c r="G66" s="1" t="n"/>
      <c r="H66" s="1" t="n"/>
      <c r="I66" s="1" t="n"/>
      <c r="J66" s="1" t="n"/>
      <c r="K66" s="1" t="n"/>
      <c r="L66" s="1" t="n"/>
      <c r="M66" s="1" t="n"/>
      <c r="N66" s="1" t="n"/>
      <c r="O66" s="1" t="n"/>
      <c r="P66" s="1" t="n"/>
      <c r="Q66" s="1" t="n"/>
      <c r="R66" s="1" t="n"/>
      <c r="S66" s="1" t="n"/>
      <c r="T66" s="1" t="n"/>
      <c r="U66" s="1" t="n"/>
      <c r="V66" s="1" t="n"/>
      <c r="W66" s="1" t="n"/>
      <c r="X66" s="1" t="n"/>
      <c r="Y66" s="1" t="n"/>
    </row>
    <row r="67">
      <c r="B67" s="242" t="n"/>
      <c r="C67" s="1" t="n"/>
      <c r="D67" s="238" t="n"/>
      <c r="E67" s="1" t="n"/>
      <c r="F67" s="1" t="n"/>
      <c r="G67" s="1" t="n"/>
      <c r="H67" s="1" t="n"/>
      <c r="I67" s="1" t="n"/>
      <c r="J67" s="1" t="n"/>
      <c r="K67" s="1" t="n"/>
      <c r="L67" s="1" t="n"/>
      <c r="M67" s="1" t="n"/>
      <c r="N67" s="1" t="n"/>
      <c r="O67" s="1" t="n"/>
      <c r="P67" s="1" t="n"/>
      <c r="Q67" s="1" t="n"/>
      <c r="R67" s="1" t="n"/>
      <c r="S67" s="1" t="n"/>
      <c r="T67" s="1" t="n"/>
      <c r="U67" s="1" t="n"/>
      <c r="V67" s="1" t="n"/>
      <c r="W67" s="1" t="n"/>
      <c r="X67" s="1" t="n"/>
      <c r="Y67" s="1" t="n"/>
    </row>
    <row r="68">
      <c r="B68" s="242" t="n"/>
      <c r="C68" s="1" t="n"/>
      <c r="D68" s="238" t="n"/>
      <c r="E68" s="1" t="n"/>
      <c r="F68" s="1" t="n"/>
      <c r="G68" s="1" t="n"/>
      <c r="H68" s="1" t="n"/>
      <c r="I68" s="1" t="n"/>
      <c r="J68" s="1" t="n"/>
      <c r="K68" s="1" t="n"/>
      <c r="L68" s="1" t="n"/>
      <c r="M68" s="1" t="n"/>
      <c r="N68" s="1" t="n"/>
      <c r="O68" s="1" t="n"/>
      <c r="P68" s="1" t="n"/>
      <c r="Q68" s="1" t="n"/>
      <c r="R68" s="1" t="n"/>
      <c r="S68" s="1" t="n"/>
      <c r="T68" s="1" t="n"/>
      <c r="U68" s="1" t="n"/>
      <c r="V68" s="1" t="n"/>
      <c r="W68" s="1" t="n"/>
      <c r="X68" s="1" t="n"/>
      <c r="Y68" s="1" t="n"/>
    </row>
    <row r="69">
      <c r="B69" s="242" t="n"/>
      <c r="C69" s="1" t="n"/>
      <c r="D69" s="238" t="n"/>
      <c r="E69" s="1" t="n"/>
      <c r="F69" s="1" t="n"/>
      <c r="G69" s="1" t="n"/>
      <c r="H69" s="1" t="n"/>
      <c r="I69" s="1" t="n"/>
      <c r="J69" s="1" t="n"/>
      <c r="K69" s="1" t="n"/>
      <c r="L69" s="1" t="n"/>
      <c r="M69" s="1" t="n"/>
      <c r="N69" s="1" t="n"/>
      <c r="O69" s="1" t="n"/>
      <c r="P69" s="1" t="n"/>
      <c r="Q69" s="1" t="n"/>
      <c r="R69" s="1" t="n"/>
      <c r="S69" s="1" t="n"/>
      <c r="T69" s="1" t="n"/>
      <c r="U69" s="1" t="n"/>
      <c r="V69" s="1" t="n"/>
      <c r="W69" s="1" t="n"/>
      <c r="X69" s="1" t="n"/>
      <c r="Y69" s="1" t="n"/>
    </row>
    <row r="70">
      <c r="B70" s="242" t="n"/>
      <c r="C70" s="1" t="n"/>
      <c r="D70" s="238" t="n"/>
      <c r="E70" s="1" t="n"/>
      <c r="F70" s="1" t="n"/>
      <c r="G70" s="1" t="n"/>
      <c r="H70" s="1" t="n"/>
      <c r="I70" s="1" t="n"/>
      <c r="J70" s="1" t="n"/>
      <c r="K70" s="1" t="n"/>
      <c r="L70" s="1" t="n"/>
      <c r="M70" s="1" t="n"/>
      <c r="N70" s="1" t="n"/>
      <c r="O70" s="1" t="n"/>
      <c r="P70" s="1" t="n"/>
      <c r="Q70" s="1" t="n"/>
      <c r="R70" s="1" t="n"/>
      <c r="S70" s="1" t="n"/>
      <c r="T70" s="1" t="n"/>
      <c r="U70" s="1" t="n"/>
      <c r="V70" s="1" t="n"/>
      <c r="W70" s="1" t="n"/>
      <c r="X70" s="1" t="n"/>
      <c r="Y70" s="1" t="n"/>
    </row>
    <row r="71">
      <c r="B71" s="242" t="n"/>
      <c r="C71" s="1" t="n"/>
      <c r="D71" s="238" t="n"/>
      <c r="E71" s="1" t="n"/>
      <c r="F71" s="1" t="n"/>
      <c r="G71" s="1" t="n"/>
      <c r="H71" s="1" t="n"/>
      <c r="I71" s="1" t="n"/>
      <c r="J71" s="1" t="n"/>
      <c r="K71" s="1" t="n"/>
      <c r="L71" s="1" t="n"/>
      <c r="M71" s="1" t="n"/>
      <c r="N71" s="1" t="n"/>
      <c r="O71" s="1" t="n"/>
      <c r="P71" s="1" t="n"/>
      <c r="Q71" s="1" t="n"/>
      <c r="R71" s="1" t="n"/>
      <c r="S71" s="1" t="n"/>
      <c r="T71" s="1" t="n"/>
      <c r="U71" s="1" t="n"/>
      <c r="V71" s="1" t="n"/>
      <c r="W71" s="1" t="n"/>
      <c r="X71" s="1" t="n"/>
      <c r="Y71" s="1" t="n"/>
    </row>
    <row r="72">
      <c r="B72" s="242" t="n"/>
      <c r="C72" s="1" t="n"/>
      <c r="D72" s="238" t="n"/>
      <c r="E72" s="1" t="n"/>
      <c r="F72" s="1" t="n"/>
      <c r="G72" s="1" t="n"/>
      <c r="H72" s="1" t="n"/>
      <c r="I72" s="1" t="n"/>
      <c r="J72" s="1" t="n"/>
      <c r="K72" s="1" t="n"/>
      <c r="L72" s="1" t="n"/>
      <c r="M72" s="1" t="n"/>
      <c r="N72" s="1" t="n"/>
      <c r="O72" s="1" t="n"/>
      <c r="P72" s="1" t="n"/>
      <c r="Q72" s="1" t="n"/>
      <c r="R72" s="1" t="n"/>
      <c r="S72" s="1" t="n"/>
      <c r="T72" s="1" t="n"/>
      <c r="U72" s="1" t="n"/>
      <c r="V72" s="1" t="n"/>
      <c r="W72" s="1" t="n"/>
      <c r="X72" s="1" t="n"/>
      <c r="Y72" s="1" t="n"/>
    </row>
    <row r="73">
      <c r="B73" s="242" t="n"/>
      <c r="C73" s="1" t="n"/>
      <c r="D73" s="238" t="n"/>
      <c r="E73" s="1" t="n"/>
      <c r="F73" s="1" t="n"/>
      <c r="G73" s="1" t="n"/>
      <c r="H73" s="1" t="n"/>
      <c r="I73" s="1" t="n"/>
      <c r="J73" s="1" t="n"/>
      <c r="K73" s="1" t="n"/>
      <c r="L73" s="1" t="n"/>
      <c r="M73" s="1" t="n"/>
      <c r="N73" s="1" t="n"/>
      <c r="O73" s="1" t="n"/>
      <c r="P73" s="1" t="n"/>
      <c r="Q73" s="1" t="n"/>
      <c r="R73" s="1" t="n"/>
      <c r="S73" s="1" t="n"/>
      <c r="T73" s="1" t="n"/>
      <c r="U73" s="1" t="n"/>
      <c r="V73" s="1" t="n"/>
      <c r="W73" s="1" t="n"/>
      <c r="X73" s="1" t="n"/>
      <c r="Y73" s="1" t="n"/>
    </row>
    <row r="74">
      <c r="B74" s="242" t="n"/>
      <c r="C74" s="1" t="n"/>
      <c r="D74" s="238" t="n"/>
      <c r="E74" s="1" t="n"/>
      <c r="F74" s="1" t="n"/>
      <c r="G74" s="1" t="n"/>
      <c r="H74" s="1" t="n"/>
      <c r="I74" s="1" t="n"/>
      <c r="J74" s="1" t="n"/>
      <c r="K74" s="1" t="n"/>
      <c r="L74" s="1" t="n"/>
      <c r="M74" s="1" t="n"/>
      <c r="N74" s="1" t="n"/>
      <c r="O74" s="1" t="n"/>
      <c r="P74" s="1" t="n"/>
      <c r="Q74" s="1" t="n"/>
      <c r="R74" s="1" t="n"/>
      <c r="S74" s="1" t="n"/>
      <c r="T74" s="1" t="n"/>
      <c r="U74" s="1" t="n"/>
      <c r="V74" s="1" t="n"/>
      <c r="W74" s="1" t="n"/>
      <c r="X74" s="1" t="n"/>
      <c r="Y74" s="1" t="n"/>
    </row>
    <row r="75">
      <c r="B75" s="242" t="n"/>
      <c r="C75" s="1" t="n"/>
      <c r="D75" s="238" t="n"/>
      <c r="E75" s="1" t="n"/>
      <c r="F75" s="1" t="n"/>
      <c r="G75" s="1" t="n"/>
      <c r="H75" s="1" t="n"/>
      <c r="I75" s="1" t="n"/>
      <c r="J75" s="1" t="n"/>
      <c r="K75" s="1" t="n"/>
      <c r="L75" s="1" t="n"/>
      <c r="M75" s="1" t="n"/>
      <c r="N75" s="1" t="n"/>
      <c r="O75" s="1" t="n"/>
      <c r="P75" s="1" t="n"/>
      <c r="Q75" s="1" t="n"/>
      <c r="R75" s="1" t="n"/>
      <c r="S75" s="1" t="n"/>
      <c r="T75" s="1" t="n"/>
      <c r="U75" s="1" t="n"/>
      <c r="V75" s="1" t="n"/>
      <c r="W75" s="1" t="n"/>
      <c r="X75" s="1" t="n"/>
      <c r="Y75" s="1" t="n"/>
    </row>
    <row r="76">
      <c r="B76" s="242" t="n"/>
      <c r="C76" s="1" t="n"/>
      <c r="D76" s="238" t="n"/>
      <c r="E76" s="1" t="n"/>
      <c r="F76" s="1" t="n"/>
      <c r="G76" s="1" t="n"/>
      <c r="H76" s="1" t="n"/>
      <c r="I76" s="1" t="n"/>
      <c r="J76" s="1" t="n"/>
      <c r="K76" s="1" t="n"/>
      <c r="L76" s="1" t="n"/>
      <c r="M76" s="1" t="n"/>
      <c r="N76" s="1" t="n"/>
      <c r="O76" s="1" t="n"/>
      <c r="P76" s="1" t="n"/>
      <c r="Q76" s="1" t="n"/>
      <c r="R76" s="1" t="n"/>
      <c r="S76" s="1" t="n"/>
      <c r="T76" s="1" t="n"/>
      <c r="U76" s="1" t="n"/>
      <c r="V76" s="1" t="n"/>
      <c r="W76" s="1" t="n"/>
      <c r="X76" s="1" t="n"/>
      <c r="Y76" s="1" t="n"/>
    </row>
    <row r="77">
      <c r="B77" s="242" t="n"/>
      <c r="C77" s="1" t="n"/>
      <c r="D77" s="238" t="n"/>
      <c r="E77" s="1" t="n"/>
      <c r="F77" s="1" t="n"/>
      <c r="G77" s="1" t="n"/>
      <c r="H77" s="1" t="n"/>
      <c r="I77" s="1" t="n"/>
      <c r="J77" s="1" t="n"/>
      <c r="K77" s="1" t="n"/>
      <c r="L77" s="1" t="n"/>
      <c r="M77" s="1" t="n"/>
      <c r="N77" s="1" t="n"/>
      <c r="O77" s="1" t="n"/>
      <c r="P77" s="1" t="n"/>
      <c r="Q77" s="1" t="n"/>
      <c r="R77" s="1" t="n"/>
      <c r="S77" s="1" t="n"/>
      <c r="T77" s="1" t="n"/>
      <c r="U77" s="1" t="n"/>
      <c r="V77" s="1" t="n"/>
      <c r="W77" s="1" t="n"/>
      <c r="X77" s="1" t="n"/>
      <c r="Y77" s="1" t="n"/>
    </row>
    <row r="78">
      <c r="B78" s="242" t="n"/>
      <c r="C78" s="1" t="n"/>
      <c r="D78" s="238" t="n"/>
      <c r="E78" s="1" t="n"/>
      <c r="F78" s="1" t="n"/>
      <c r="G78" s="1" t="n"/>
      <c r="H78" s="1" t="n"/>
      <c r="I78" s="1" t="n"/>
      <c r="J78" s="1" t="n"/>
      <c r="K78" s="1" t="n"/>
      <c r="L78" s="1" t="n"/>
      <c r="M78" s="1" t="n"/>
      <c r="N78" s="1" t="n"/>
      <c r="O78" s="1" t="n"/>
      <c r="P78" s="1" t="n"/>
      <c r="Q78" s="1" t="n"/>
      <c r="R78" s="1" t="n"/>
      <c r="S78" s="1" t="n"/>
      <c r="T78" s="1" t="n"/>
      <c r="U78" s="1" t="n"/>
      <c r="V78" s="1" t="n"/>
      <c r="W78" s="1" t="n"/>
      <c r="X78" s="1" t="n"/>
      <c r="Y78" s="1" t="n"/>
    </row>
    <row r="79">
      <c r="B79" s="242" t="n"/>
      <c r="C79" s="1" t="n"/>
      <c r="D79" s="238" t="n"/>
      <c r="E79" s="1" t="n"/>
      <c r="F79" s="1" t="n"/>
      <c r="G79" s="1" t="n"/>
      <c r="H79" s="1" t="n"/>
      <c r="I79" s="1" t="n"/>
      <c r="J79" s="1" t="n"/>
      <c r="K79" s="1" t="n"/>
      <c r="L79" s="1" t="n"/>
      <c r="M79" s="1" t="n"/>
      <c r="N79" s="1" t="n"/>
      <c r="O79" s="1" t="n"/>
      <c r="P79" s="1" t="n"/>
      <c r="Q79" s="1" t="n"/>
      <c r="R79" s="1" t="n"/>
      <c r="S79" s="1" t="n"/>
      <c r="T79" s="1" t="n"/>
      <c r="U79" s="1" t="n"/>
      <c r="V79" s="1" t="n"/>
      <c r="W79" s="1" t="n"/>
      <c r="X79" s="1" t="n"/>
      <c r="Y79" s="1" t="n"/>
    </row>
    <row r="80">
      <c r="B80" s="242" t="n"/>
      <c r="C80" s="1" t="n"/>
      <c r="D80" s="238" t="n"/>
      <c r="E80" s="1" t="n"/>
      <c r="F80" s="1" t="n"/>
      <c r="G80" s="1" t="n"/>
      <c r="H80" s="1" t="n"/>
      <c r="I80" s="1" t="n"/>
      <c r="J80" s="1" t="n"/>
      <c r="K80" s="1" t="n"/>
      <c r="L80" s="1" t="n"/>
      <c r="M80" s="1" t="n"/>
      <c r="N80" s="1" t="n"/>
      <c r="O80" s="1" t="n"/>
      <c r="P80" s="1" t="n"/>
      <c r="Q80" s="1" t="n"/>
      <c r="R80" s="1" t="n"/>
      <c r="S80" s="1" t="n"/>
      <c r="T80" s="1" t="n"/>
      <c r="U80" s="1" t="n"/>
      <c r="V80" s="1" t="n"/>
      <c r="W80" s="1" t="n"/>
      <c r="X80" s="1" t="n"/>
      <c r="Y80" s="1" t="n"/>
    </row>
    <row r="81">
      <c r="B81" s="242" t="n"/>
      <c r="C81" s="1" t="n"/>
      <c r="D81" s="238" t="n"/>
      <c r="E81" s="1" t="n"/>
      <c r="F81" s="1" t="n"/>
      <c r="G81" s="1" t="n"/>
      <c r="H81" s="1" t="n"/>
      <c r="I81" s="1" t="n"/>
      <c r="J81" s="1" t="n"/>
      <c r="K81" s="1" t="n"/>
      <c r="L81" s="1" t="n"/>
      <c r="M81" s="1" t="n"/>
      <c r="N81" s="1" t="n"/>
      <c r="O81" s="1" t="n"/>
      <c r="P81" s="1" t="n"/>
      <c r="Q81" s="1" t="n"/>
      <c r="R81" s="1" t="n"/>
      <c r="S81" s="1" t="n"/>
      <c r="T81" s="1" t="n"/>
      <c r="U81" s="1" t="n"/>
      <c r="V81" s="1" t="n"/>
      <c r="W81" s="1" t="n"/>
      <c r="X81" s="1" t="n"/>
      <c r="Y81" s="1" t="n"/>
    </row>
    <row r="82">
      <c r="B82" s="242" t="n"/>
      <c r="C82" s="1" t="n"/>
      <c r="D82" s="238" t="n"/>
      <c r="E82" s="1" t="n"/>
      <c r="F82" s="1" t="n"/>
      <c r="G82" s="1" t="n"/>
      <c r="H82" s="1" t="n"/>
      <c r="I82" s="1" t="n"/>
      <c r="J82" s="1" t="n"/>
      <c r="K82" s="1" t="n"/>
      <c r="L82" s="1" t="n"/>
      <c r="M82" s="1" t="n"/>
      <c r="N82" s="1" t="n"/>
      <c r="O82" s="1" t="n"/>
      <c r="P82" s="1" t="n"/>
      <c r="Q82" s="1" t="n"/>
      <c r="R82" s="1" t="n"/>
      <c r="S82" s="1" t="n"/>
      <c r="T82" s="1" t="n"/>
      <c r="U82" s="1" t="n"/>
      <c r="V82" s="1" t="n"/>
      <c r="W82" s="1" t="n"/>
      <c r="X82" s="1" t="n"/>
      <c r="Y82" s="1" t="n"/>
    </row>
    <row r="83">
      <c r="B83" s="242" t="n"/>
      <c r="C83" s="1" t="n"/>
      <c r="D83" s="238" t="n"/>
      <c r="E83" s="1" t="n"/>
      <c r="F83" s="1" t="n"/>
      <c r="G83" s="1" t="n"/>
      <c r="H83" s="1" t="n"/>
      <c r="I83" s="1" t="n"/>
      <c r="J83" s="1" t="n"/>
      <c r="K83" s="1" t="n"/>
      <c r="L83" s="1" t="n"/>
      <c r="M83" s="1" t="n"/>
      <c r="N83" s="1" t="n"/>
      <c r="O83" s="1" t="n"/>
      <c r="P83" s="1" t="n"/>
      <c r="Q83" s="1" t="n"/>
      <c r="R83" s="1" t="n"/>
      <c r="S83" s="1" t="n"/>
      <c r="T83" s="1" t="n"/>
      <c r="U83" s="1" t="n"/>
      <c r="V83" s="1" t="n"/>
      <c r="W83" s="1" t="n"/>
      <c r="X83" s="1" t="n"/>
      <c r="Y83" s="1" t="n"/>
    </row>
    <row r="84">
      <c r="B84" s="242" t="n"/>
      <c r="C84" s="1" t="n"/>
      <c r="D84" s="238" t="n"/>
      <c r="E84" s="1" t="n"/>
      <c r="F84" s="1" t="n"/>
      <c r="G84" s="1" t="n"/>
      <c r="H84" s="1" t="n"/>
      <c r="I84" s="1" t="n"/>
      <c r="J84" s="1" t="n"/>
      <c r="K84" s="1" t="n"/>
      <c r="L84" s="1" t="n"/>
      <c r="M84" s="1" t="n"/>
      <c r="N84" s="1" t="n"/>
      <c r="O84" s="1" t="n"/>
      <c r="P84" s="1" t="n"/>
      <c r="Q84" s="1" t="n"/>
      <c r="R84" s="1" t="n"/>
      <c r="S84" s="1" t="n"/>
      <c r="T84" s="1" t="n"/>
      <c r="U84" s="1" t="n"/>
      <c r="V84" s="1" t="n"/>
      <c r="W84" s="1" t="n"/>
      <c r="X84" s="1" t="n"/>
      <c r="Y84" s="1" t="n"/>
    </row>
    <row r="85">
      <c r="B85" s="242" t="n"/>
      <c r="C85" s="1" t="n"/>
      <c r="D85" s="238" t="n"/>
      <c r="E85" s="1" t="n"/>
      <c r="F85" s="1" t="n"/>
      <c r="G85" s="1" t="n"/>
      <c r="H85" s="1" t="n"/>
      <c r="I85" s="1" t="n"/>
      <c r="J85" s="1" t="n"/>
      <c r="K85" s="1" t="n"/>
      <c r="L85" s="1" t="n"/>
      <c r="M85" s="1" t="n"/>
      <c r="N85" s="1" t="n"/>
      <c r="O85" s="1" t="n"/>
      <c r="P85" s="1" t="n"/>
      <c r="Q85" s="1" t="n"/>
      <c r="R85" s="1" t="n"/>
      <c r="S85" s="1" t="n"/>
      <c r="T85" s="1" t="n"/>
      <c r="U85" s="1" t="n"/>
      <c r="V85" s="1" t="n"/>
      <c r="W85" s="1" t="n"/>
      <c r="X85" s="1" t="n"/>
      <c r="Y85" s="1" t="n"/>
    </row>
    <row r="86">
      <c r="B86" s="242" t="n"/>
      <c r="C86" s="1" t="n"/>
      <c r="D86" s="238" t="n"/>
      <c r="E86" s="1" t="n"/>
      <c r="F86" s="1" t="n"/>
      <c r="G86" s="1" t="n"/>
      <c r="H86" s="1" t="n"/>
      <c r="I86" s="1" t="n"/>
      <c r="J86" s="1" t="n"/>
      <c r="K86" s="1" t="n"/>
      <c r="L86" s="1" t="n"/>
      <c r="M86" s="1" t="n"/>
      <c r="N86" s="1" t="n"/>
      <c r="O86" s="1" t="n"/>
      <c r="P86" s="1" t="n"/>
      <c r="Q86" s="1" t="n"/>
      <c r="R86" s="1" t="n"/>
      <c r="S86" s="1" t="n"/>
      <c r="T86" s="1" t="n"/>
      <c r="U86" s="1" t="n"/>
      <c r="V86" s="1" t="n"/>
      <c r="W86" s="1" t="n"/>
      <c r="X86" s="1" t="n"/>
      <c r="Y86" s="1" t="n"/>
    </row>
    <row r="87">
      <c r="B87" s="242" t="n"/>
      <c r="C87" s="1" t="n"/>
      <c r="D87" s="238" t="n"/>
      <c r="E87" s="1" t="n"/>
      <c r="F87" s="1" t="n"/>
      <c r="G87" s="1" t="n"/>
      <c r="H87" s="1" t="n"/>
      <c r="I87" s="1" t="n"/>
      <c r="J87" s="1" t="n"/>
      <c r="K87" s="1" t="n"/>
      <c r="L87" s="1" t="n"/>
      <c r="M87" s="1" t="n"/>
      <c r="N87" s="1" t="n"/>
      <c r="O87" s="1" t="n"/>
      <c r="P87" s="1" t="n"/>
      <c r="Q87" s="1" t="n"/>
      <c r="R87" s="1" t="n"/>
      <c r="S87" s="1" t="n"/>
      <c r="T87" s="1" t="n"/>
      <c r="U87" s="1" t="n"/>
      <c r="V87" s="1" t="n"/>
      <c r="W87" s="1" t="n"/>
      <c r="X87" s="1" t="n"/>
      <c r="Y87" s="1" t="n"/>
    </row>
    <row r="88">
      <c r="B88" s="242" t="n"/>
      <c r="C88" s="1" t="n"/>
      <c r="D88" s="238" t="n"/>
      <c r="E88" s="1" t="n"/>
      <c r="F88" s="1" t="n"/>
      <c r="G88" s="1" t="n"/>
      <c r="H88" s="1" t="n"/>
      <c r="I88" s="1" t="n"/>
      <c r="J88" s="1" t="n"/>
      <c r="K88" s="1" t="n"/>
      <c r="L88" s="1" t="n"/>
      <c r="M88" s="1" t="n"/>
      <c r="N88" s="1" t="n"/>
      <c r="O88" s="1" t="n"/>
      <c r="P88" s="1" t="n"/>
      <c r="Q88" s="1" t="n"/>
      <c r="R88" s="1" t="n"/>
      <c r="S88" s="1" t="n"/>
      <c r="T88" s="1" t="n"/>
      <c r="U88" s="1" t="n"/>
      <c r="V88" s="1" t="n"/>
      <c r="W88" s="1" t="n"/>
      <c r="X88" s="1" t="n"/>
      <c r="Y88" s="1" t="n"/>
    </row>
    <row r="89">
      <c r="B89" s="242" t="n"/>
      <c r="C89" s="1" t="n"/>
      <c r="D89" s="238" t="n"/>
      <c r="E89" s="1" t="n"/>
      <c r="F89" s="1" t="n"/>
      <c r="G89" s="1" t="n"/>
      <c r="H89" s="1" t="n"/>
      <c r="I89" s="1" t="n"/>
      <c r="J89" s="1" t="n"/>
      <c r="K89" s="1" t="n"/>
      <c r="L89" s="1" t="n"/>
      <c r="M89" s="1" t="n"/>
      <c r="N89" s="1" t="n"/>
      <c r="O89" s="1" t="n"/>
      <c r="P89" s="1" t="n"/>
      <c r="Q89" s="1" t="n"/>
      <c r="R89" s="1" t="n"/>
      <c r="S89" s="1" t="n"/>
      <c r="T89" s="1" t="n"/>
      <c r="U89" s="1" t="n"/>
      <c r="V89" s="1" t="n"/>
      <c r="W89" s="1" t="n"/>
      <c r="X89" s="1" t="n"/>
      <c r="Y89" s="1" t="n"/>
    </row>
    <row r="90">
      <c r="B90" s="242" t="n"/>
      <c r="C90" s="1" t="n"/>
      <c r="D90" s="238" t="n"/>
      <c r="E90" s="1" t="n"/>
      <c r="F90" s="1" t="n"/>
      <c r="G90" s="1" t="n"/>
      <c r="H90" s="1" t="n"/>
      <c r="I90" s="1" t="n"/>
      <c r="J90" s="1" t="n"/>
      <c r="K90" s="1" t="n"/>
      <c r="L90" s="1" t="n"/>
      <c r="M90" s="1" t="n"/>
      <c r="N90" s="1" t="n"/>
      <c r="O90" s="1" t="n"/>
      <c r="P90" s="1" t="n"/>
      <c r="Q90" s="1" t="n"/>
      <c r="R90" s="1" t="n"/>
      <c r="S90" s="1" t="n"/>
      <c r="T90" s="1" t="n"/>
      <c r="U90" s="1" t="n"/>
      <c r="V90" s="1" t="n"/>
      <c r="W90" s="1" t="n"/>
      <c r="X90" s="1" t="n"/>
      <c r="Y90" s="1" t="n"/>
    </row>
    <row r="91">
      <c r="B91" s="242" t="n"/>
      <c r="C91" s="1" t="n"/>
      <c r="D91" s="238" t="n"/>
      <c r="E91" s="1" t="n"/>
      <c r="F91" s="1" t="n"/>
      <c r="G91" s="1" t="n"/>
      <c r="H91" s="1" t="n"/>
      <c r="I91" s="1" t="n"/>
      <c r="J91" s="1" t="n"/>
      <c r="K91" s="1" t="n"/>
      <c r="L91" s="1" t="n"/>
      <c r="M91" s="1" t="n"/>
      <c r="N91" s="1" t="n"/>
      <c r="O91" s="1" t="n"/>
      <c r="P91" s="1" t="n"/>
      <c r="Q91" s="1" t="n"/>
      <c r="R91" s="1" t="n"/>
      <c r="S91" s="1" t="n"/>
      <c r="T91" s="1" t="n"/>
      <c r="U91" s="1" t="n"/>
      <c r="V91" s="1" t="n"/>
      <c r="W91" s="1" t="n"/>
      <c r="X91" s="1" t="n"/>
      <c r="Y91" s="1" t="n"/>
    </row>
    <row r="92">
      <c r="B92" s="242" t="n"/>
      <c r="C92" s="1" t="n"/>
      <c r="D92" s="238" t="n"/>
      <c r="E92" s="1" t="n"/>
      <c r="F92" s="1" t="n"/>
      <c r="G92" s="1" t="n"/>
      <c r="H92" s="1" t="n"/>
      <c r="I92" s="1" t="n"/>
      <c r="J92" s="1" t="n"/>
      <c r="K92" s="1" t="n"/>
      <c r="L92" s="1" t="n"/>
      <c r="M92" s="1" t="n"/>
      <c r="N92" s="1" t="n"/>
      <c r="O92" s="1" t="n"/>
      <c r="P92" s="1" t="n"/>
      <c r="Q92" s="1" t="n"/>
      <c r="R92" s="1" t="n"/>
      <c r="S92" s="1" t="n"/>
      <c r="T92" s="1" t="n"/>
      <c r="U92" s="1" t="n"/>
      <c r="V92" s="1" t="n"/>
      <c r="W92" s="1" t="n"/>
      <c r="X92" s="1" t="n"/>
      <c r="Y92" s="1" t="n"/>
    </row>
    <row r="93">
      <c r="B93" s="242" t="n"/>
      <c r="C93" s="1" t="n"/>
      <c r="D93" s="238" t="n"/>
      <c r="E93" s="1" t="n"/>
      <c r="F93" s="1" t="n"/>
      <c r="G93" s="1" t="n"/>
      <c r="H93" s="1" t="n"/>
      <c r="I93" s="1" t="n"/>
      <c r="J93" s="1" t="n"/>
      <c r="K93" s="1" t="n"/>
      <c r="L93" s="1" t="n"/>
      <c r="M93" s="1" t="n"/>
      <c r="N93" s="1" t="n"/>
      <c r="O93" s="1" t="n"/>
      <c r="P93" s="1" t="n"/>
      <c r="Q93" s="1" t="n"/>
      <c r="R93" s="1" t="n"/>
      <c r="S93" s="1" t="n"/>
      <c r="T93" s="1" t="n"/>
      <c r="U93" s="1" t="n"/>
      <c r="V93" s="1" t="n"/>
      <c r="W93" s="1" t="n"/>
      <c r="X93" s="1" t="n"/>
      <c r="Y93" s="1" t="n"/>
    </row>
    <row r="94">
      <c r="B94" s="242" t="n"/>
      <c r="C94" s="1" t="n"/>
      <c r="D94" s="238" t="n"/>
      <c r="E94" s="1" t="n"/>
      <c r="F94" s="1" t="n"/>
      <c r="G94" s="1" t="n"/>
      <c r="H94" s="1" t="n"/>
      <c r="I94" s="1" t="n"/>
      <c r="J94" s="1" t="n"/>
      <c r="K94" s="1" t="n"/>
      <c r="L94" s="1" t="n"/>
      <c r="M94" s="1" t="n"/>
      <c r="N94" s="1" t="n"/>
      <c r="O94" s="1" t="n"/>
      <c r="P94" s="1" t="n"/>
      <c r="Q94" s="1" t="n"/>
      <c r="R94" s="1" t="n"/>
      <c r="S94" s="1" t="n"/>
      <c r="T94" s="1" t="n"/>
      <c r="U94" s="1" t="n"/>
      <c r="V94" s="1" t="n"/>
      <c r="W94" s="1" t="n"/>
      <c r="X94" s="1" t="n"/>
      <c r="Y94" s="1" t="n"/>
    </row>
    <row r="95">
      <c r="B95" s="242" t="n"/>
      <c r="C95" s="1" t="n"/>
      <c r="D95" s="238" t="n"/>
      <c r="E95" s="1" t="n"/>
      <c r="F95" s="1" t="n"/>
      <c r="G95" s="1" t="n"/>
      <c r="H95" s="1" t="n"/>
      <c r="I95" s="1" t="n"/>
      <c r="J95" s="1" t="n"/>
      <c r="K95" s="1" t="n"/>
      <c r="L95" s="1" t="n"/>
      <c r="M95" s="1" t="n"/>
      <c r="N95" s="1" t="n"/>
      <c r="O95" s="1" t="n"/>
      <c r="P95" s="1" t="n"/>
      <c r="Q95" s="1" t="n"/>
      <c r="R95" s="1" t="n"/>
      <c r="S95" s="1" t="n"/>
      <c r="T95" s="1" t="n"/>
      <c r="U95" s="1" t="n"/>
      <c r="V95" s="1" t="n"/>
      <c r="W95" s="1" t="n"/>
      <c r="X95" s="1" t="n"/>
      <c r="Y95" s="1" t="n"/>
    </row>
    <row r="96">
      <c r="B96" s="242" t="n"/>
      <c r="C96" s="1" t="n"/>
      <c r="D96" s="238" t="n"/>
      <c r="E96" s="1" t="n"/>
      <c r="F96" s="1" t="n"/>
      <c r="G96" s="1" t="n"/>
      <c r="H96" s="1" t="n"/>
      <c r="I96" s="1" t="n"/>
      <c r="J96" s="1" t="n"/>
      <c r="K96" s="1" t="n"/>
      <c r="L96" s="1" t="n"/>
      <c r="M96" s="1" t="n"/>
      <c r="N96" s="1" t="n"/>
      <c r="O96" s="1" t="n"/>
      <c r="P96" s="1" t="n"/>
      <c r="Q96" s="1" t="n"/>
      <c r="R96" s="1" t="n"/>
      <c r="S96" s="1" t="n"/>
      <c r="T96" s="1" t="n"/>
      <c r="U96" s="1" t="n"/>
      <c r="V96" s="1" t="n"/>
      <c r="W96" s="1" t="n"/>
      <c r="X96" s="1" t="n"/>
      <c r="Y96" s="1" t="n"/>
    </row>
    <row r="97">
      <c r="B97" s="242" t="n"/>
      <c r="C97" s="1" t="n"/>
      <c r="D97" s="238" t="n"/>
      <c r="E97" s="1" t="n"/>
      <c r="F97" s="1" t="n"/>
      <c r="G97" s="1" t="n"/>
      <c r="H97" s="1" t="n"/>
      <c r="I97" s="1" t="n"/>
      <c r="J97" s="1" t="n"/>
      <c r="K97" s="1" t="n"/>
      <c r="L97" s="1" t="n"/>
      <c r="M97" s="1" t="n"/>
      <c r="N97" s="1" t="n"/>
      <c r="O97" s="1" t="n"/>
      <c r="P97" s="1" t="n"/>
      <c r="Q97" s="1" t="n"/>
      <c r="R97" s="1" t="n"/>
      <c r="S97" s="1" t="n"/>
      <c r="T97" s="1" t="n"/>
      <c r="U97" s="1" t="n"/>
      <c r="V97" s="1" t="n"/>
      <c r="W97" s="1" t="n"/>
      <c r="X97" s="1" t="n"/>
      <c r="Y97" s="1" t="n"/>
    </row>
    <row r="98">
      <c r="B98" s="242" t="n"/>
      <c r="C98" s="1" t="n"/>
      <c r="D98" s="238" t="n"/>
      <c r="E98" s="1" t="n"/>
      <c r="F98" s="1" t="n"/>
      <c r="G98" s="1" t="n"/>
      <c r="H98" s="1" t="n"/>
      <c r="I98" s="1" t="n"/>
      <c r="J98" s="1" t="n"/>
      <c r="K98" s="1" t="n"/>
      <c r="L98" s="1" t="n"/>
      <c r="M98" s="1" t="n"/>
      <c r="N98" s="1" t="n"/>
      <c r="O98" s="1" t="n"/>
      <c r="P98" s="1" t="n"/>
      <c r="Q98" s="1" t="n"/>
      <c r="R98" s="1" t="n"/>
      <c r="S98" s="1" t="n"/>
      <c r="T98" s="1" t="n"/>
      <c r="U98" s="1" t="n"/>
      <c r="V98" s="1" t="n"/>
      <c r="W98" s="1" t="n"/>
      <c r="X98" s="1" t="n"/>
      <c r="Y98" s="1" t="n"/>
    </row>
    <row r="99">
      <c r="B99" s="242" t="n"/>
      <c r="C99" s="1" t="n"/>
      <c r="D99" s="238" t="n"/>
      <c r="E99" s="1" t="n"/>
      <c r="F99" s="1" t="n"/>
      <c r="G99" s="1" t="n"/>
      <c r="H99" s="1" t="n"/>
      <c r="I99" s="1" t="n"/>
      <c r="J99" s="1" t="n"/>
      <c r="K99" s="1" t="n"/>
      <c r="L99" s="1" t="n"/>
      <c r="M99" s="1" t="n"/>
      <c r="N99" s="1" t="n"/>
      <c r="O99" s="1" t="n"/>
      <c r="P99" s="1" t="n"/>
      <c r="Q99" s="1" t="n"/>
      <c r="R99" s="1" t="n"/>
      <c r="S99" s="1" t="n"/>
      <c r="T99" s="1" t="n"/>
      <c r="U99" s="1" t="n"/>
      <c r="V99" s="1" t="n"/>
      <c r="W99" s="1" t="n"/>
      <c r="X99" s="1" t="n"/>
      <c r="Y99" s="1" t="n"/>
    </row>
    <row r="100">
      <c r="B100" s="242" t="n"/>
      <c r="C100" s="1" t="n"/>
      <c r="D100" s="238"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row>
    <row r="101">
      <c r="B101" s="242" t="n"/>
      <c r="C101" s="1" t="n"/>
      <c r="D101" s="238"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row>
    <row r="102">
      <c r="B102" s="242" t="n"/>
      <c r="C102" s="1" t="n"/>
      <c r="D102" s="238"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row>
    <row r="103">
      <c r="B103" s="242" t="n"/>
      <c r="C103" s="1" t="n"/>
      <c r="D103" s="238"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row>
    <row r="104">
      <c r="B104" s="242" t="n"/>
      <c r="C104" s="1" t="n"/>
      <c r="D104" s="238"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row>
    <row r="105">
      <c r="B105" s="242" t="n"/>
      <c r="C105" s="1" t="n"/>
      <c r="D105" s="238"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row>
    <row r="106">
      <c r="B106" s="242" t="n"/>
      <c r="C106" s="1" t="n"/>
      <c r="D106" s="238"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row>
    <row r="107">
      <c r="B107" s="242" t="n"/>
      <c r="C107" s="1" t="n"/>
      <c r="D107" s="238"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row>
    <row r="108">
      <c r="B108" s="242" t="n"/>
      <c r="C108" s="1" t="n"/>
      <c r="D108" s="238"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row>
    <row r="109">
      <c r="B109" s="242" t="n"/>
      <c r="C109" s="1" t="n"/>
      <c r="D109" s="238"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row>
    <row r="110">
      <c r="B110" s="242" t="n"/>
      <c r="C110" s="1" t="n"/>
      <c r="D110" s="238"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row>
    <row r="111">
      <c r="B111" s="242" t="n"/>
      <c r="C111" s="1" t="n"/>
      <c r="D111" s="238"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row>
    <row r="112">
      <c r="B112" s="242" t="n"/>
      <c r="C112" s="1" t="n"/>
      <c r="D112" s="238"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row>
    <row r="113">
      <c r="B113" s="242" t="n"/>
      <c r="C113" s="1" t="n"/>
      <c r="D113" s="238"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row>
    <row r="114">
      <c r="B114" s="242" t="n"/>
      <c r="C114" s="1" t="n"/>
      <c r="D114" s="238"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row>
    <row r="115">
      <c r="B115" s="242" t="n"/>
      <c r="C115" s="1" t="n"/>
      <c r="D115" s="238"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row>
    <row r="116">
      <c r="B116" s="242" t="n"/>
      <c r="C116" s="1" t="n"/>
      <c r="D116" s="238"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row>
    <row r="117">
      <c r="B117" s="242" t="n"/>
      <c r="C117" s="1" t="n"/>
      <c r="D117" s="238"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row>
    <row r="118">
      <c r="B118" s="242" t="n"/>
      <c r="C118" s="1" t="n"/>
      <c r="D118" s="238"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row>
    <row r="119">
      <c r="B119" s="242" t="n"/>
      <c r="C119" s="1" t="n"/>
      <c r="D119" s="238"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row>
    <row r="120">
      <c r="B120" s="242" t="n"/>
      <c r="C120" s="1" t="n"/>
      <c r="D120" s="238"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row>
    <row r="121">
      <c r="B121" s="242" t="n"/>
      <c r="C121" s="1" t="n"/>
      <c r="D121" s="238"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row>
    <row r="122">
      <c r="B122" s="242" t="n"/>
      <c r="C122" s="1" t="n"/>
      <c r="D122" s="238"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row>
    <row r="123">
      <c r="B123" s="242" t="n"/>
      <c r="C123" s="1" t="n"/>
      <c r="D123" s="238"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row>
    <row r="124">
      <c r="B124" s="242" t="n"/>
      <c r="C124" s="1" t="n"/>
      <c r="D124" s="238"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row>
    <row r="125">
      <c r="B125" s="242" t="n"/>
      <c r="C125" s="1" t="n"/>
      <c r="D125" s="238"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row>
    <row r="126">
      <c r="B126" s="242" t="n"/>
      <c r="C126" s="1" t="n"/>
      <c r="D126" s="238"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row>
    <row r="127">
      <c r="B127" s="242" t="n"/>
      <c r="C127" s="1" t="n"/>
      <c r="D127" s="238"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row>
    <row r="128">
      <c r="B128" s="242" t="n"/>
      <c r="C128" s="1" t="n"/>
      <c r="D128" s="238"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row>
    <row r="129">
      <c r="B129" s="242" t="n"/>
      <c r="C129" s="1" t="n"/>
      <c r="D129" s="238"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row>
    <row r="130">
      <c r="B130" s="242" t="n"/>
      <c r="C130" s="1" t="n"/>
      <c r="D130" s="238"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row>
    <row r="131">
      <c r="B131" s="242" t="n"/>
      <c r="C131" s="1" t="n"/>
      <c r="D131" s="238"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row>
    <row r="132">
      <c r="B132" s="242" t="n"/>
      <c r="C132" s="1" t="n"/>
      <c r="D132" s="238"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row>
    <row r="133">
      <c r="B133" s="242" t="n"/>
      <c r="C133" s="1" t="n"/>
      <c r="D133" s="238"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row>
    <row r="134">
      <c r="B134" s="242" t="n"/>
      <c r="C134" s="1" t="n"/>
      <c r="D134" s="238"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row>
    <row r="135">
      <c r="B135" s="242" t="n"/>
      <c r="C135" s="1" t="n"/>
      <c r="D135" s="238"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row>
    <row r="136">
      <c r="B136" s="242" t="n"/>
      <c r="C136" s="1" t="n"/>
      <c r="D136" s="238"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row>
    <row r="137">
      <c r="B137" s="242" t="n"/>
      <c r="C137" s="1" t="n"/>
      <c r="D137" s="238"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row>
    <row r="138">
      <c r="B138" s="242" t="n"/>
      <c r="C138" s="1" t="n"/>
      <c r="D138" s="238"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row>
    <row r="139">
      <c r="B139" s="242" t="n"/>
      <c r="C139" s="1" t="n"/>
      <c r="D139" s="238"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row>
    <row r="140">
      <c r="B140" s="242" t="n"/>
      <c r="C140" s="1" t="n"/>
      <c r="D140" s="238"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row>
    <row r="141">
      <c r="B141" s="242" t="n"/>
      <c r="C141" s="1" t="n"/>
      <c r="D141" s="238"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row>
    <row r="142">
      <c r="B142" s="242" t="n"/>
      <c r="C142" s="1" t="n"/>
      <c r="D142" s="238"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row>
    <row r="143">
      <c r="B143" s="242" t="n"/>
      <c r="C143" s="1" t="n"/>
      <c r="D143" s="238"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row>
    <row r="144">
      <c r="B144" s="242" t="n"/>
      <c r="C144" s="1" t="n"/>
      <c r="D144" s="238"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row>
    <row r="145">
      <c r="B145" s="242" t="n"/>
      <c r="C145" s="1" t="n"/>
      <c r="D145" s="238"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row>
    <row r="146">
      <c r="B146" s="242" t="n"/>
      <c r="C146" s="1" t="n"/>
      <c r="D146" s="238"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row>
    <row r="147">
      <c r="B147" s="242" t="n"/>
      <c r="C147" s="1" t="n"/>
      <c r="D147" s="238"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row>
    <row r="148">
      <c r="B148" s="242" t="n"/>
      <c r="C148" s="1" t="n"/>
      <c r="D148" s="238"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row>
    <row r="149">
      <c r="B149" s="242" t="n"/>
      <c r="C149" s="1" t="n"/>
      <c r="D149" s="238"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row>
    <row r="150">
      <c r="B150" s="242" t="n"/>
      <c r="C150" s="1" t="n"/>
      <c r="D150" s="238"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row>
    <row r="151">
      <c r="B151" s="242" t="n"/>
      <c r="C151" s="1" t="n"/>
      <c r="D151" s="238"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row>
    <row r="152">
      <c r="B152" s="242" t="n"/>
      <c r="C152" s="1" t="n"/>
      <c r="D152" s="238"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row>
    <row r="153">
      <c r="B153" s="242" t="n"/>
      <c r="C153" s="1" t="n"/>
      <c r="D153" s="238"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row>
    <row r="154">
      <c r="B154" s="242" t="n"/>
      <c r="C154" s="1" t="n"/>
      <c r="D154" s="238"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row>
    <row r="155">
      <c r="B155" s="242" t="n"/>
      <c r="C155" s="1" t="n"/>
      <c r="D155" s="238"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row>
    <row r="156">
      <c r="B156" s="242" t="n"/>
      <c r="C156" s="1" t="n"/>
      <c r="D156" s="238"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row>
    <row r="157">
      <c r="B157" s="242" t="n"/>
      <c r="C157" s="1" t="n"/>
      <c r="D157" s="238"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row>
    <row r="158">
      <c r="B158" s="242" t="n"/>
      <c r="C158" s="1" t="n"/>
      <c r="D158" s="238"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row>
    <row r="159">
      <c r="B159" s="242" t="n"/>
      <c r="C159" s="1" t="n"/>
      <c r="D159" s="238"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row>
    <row r="160">
      <c r="B160" s="242" t="n"/>
      <c r="C160" s="1" t="n"/>
      <c r="D160" s="238"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row>
    <row r="161">
      <c r="B161" s="242" t="n"/>
      <c r="C161" s="1" t="n"/>
      <c r="D161" s="238"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row>
    <row r="162">
      <c r="B162" s="242" t="n"/>
      <c r="C162" s="1" t="n"/>
      <c r="D162" s="238"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row>
    <row r="163">
      <c r="B163" s="242" t="n"/>
      <c r="C163" s="1" t="n"/>
      <c r="D163" s="238"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row>
    <row r="164">
      <c r="B164" s="242" t="n"/>
      <c r="C164" s="1" t="n"/>
      <c r="D164" s="238"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row>
    <row r="165">
      <c r="B165" s="242" t="n"/>
      <c r="C165" s="1" t="n"/>
      <c r="D165" s="238"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row>
    <row r="166">
      <c r="B166" s="242" t="n"/>
      <c r="C166" s="1" t="n"/>
      <c r="D166" s="238"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row>
    <row r="167">
      <c r="B167" s="242" t="n"/>
      <c r="C167" s="1" t="n"/>
      <c r="D167" s="238"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row>
    <row r="168">
      <c r="B168" s="242" t="n"/>
      <c r="C168" s="1" t="n"/>
      <c r="D168" s="238"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row>
    <row r="169">
      <c r="B169" s="242" t="n"/>
      <c r="C169" s="1" t="n"/>
      <c r="D169" s="238"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row>
    <row r="170">
      <c r="B170" s="242" t="n"/>
      <c r="C170" s="1" t="n"/>
      <c r="D170" s="238"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row>
    <row r="171">
      <c r="B171" s="242" t="n"/>
      <c r="C171" s="1" t="n"/>
      <c r="D171" s="238"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row>
    <row r="172">
      <c r="B172" s="242" t="n"/>
      <c r="C172" s="1" t="n"/>
      <c r="D172" s="238"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row>
    <row r="173">
      <c r="B173" s="242" t="n"/>
      <c r="C173" s="1" t="n"/>
      <c r="D173" s="238"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row>
    <row r="174">
      <c r="B174" s="242" t="n"/>
      <c r="C174" s="1" t="n"/>
      <c r="D174" s="238"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row>
    <row r="175">
      <c r="B175" s="242" t="n"/>
      <c r="C175" s="1" t="n"/>
      <c r="D175" s="238"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row>
    <row r="176">
      <c r="B176" s="242" t="n"/>
      <c r="C176" s="1" t="n"/>
      <c r="D176" s="238"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row>
    <row r="177">
      <c r="B177" s="242" t="n"/>
      <c r="C177" s="1" t="n"/>
      <c r="D177" s="238"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row>
    <row r="178">
      <c r="B178" s="242" t="n"/>
      <c r="C178" s="1" t="n"/>
      <c r="D178" s="238"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row>
    <row r="179">
      <c r="B179" s="242" t="n"/>
      <c r="C179" s="1" t="n"/>
      <c r="D179" s="238"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row>
    <row r="180">
      <c r="B180" s="242" t="n"/>
      <c r="C180" s="1" t="n"/>
      <c r="D180" s="238"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row>
    <row r="181">
      <c r="B181" s="242" t="n"/>
      <c r="C181" s="1" t="n"/>
      <c r="D181" s="238"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row>
    <row r="182">
      <c r="B182" s="242" t="n"/>
      <c r="C182" s="1" t="n"/>
      <c r="D182" s="238"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row>
    <row r="183">
      <c r="B183" s="242" t="n"/>
      <c r="C183" s="1" t="n"/>
      <c r="D183" s="238"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row>
    <row r="184">
      <c r="B184" s="242" t="n"/>
      <c r="C184" s="1" t="n"/>
      <c r="D184" s="238"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row>
    <row r="185">
      <c r="B185" s="242" t="n"/>
      <c r="C185" s="1" t="n"/>
      <c r="D185" s="238"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row>
    <row r="186">
      <c r="B186" s="242" t="n"/>
      <c r="C186" s="1" t="n"/>
      <c r="D186" s="238"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row>
    <row r="187">
      <c r="B187" s="242" t="n"/>
      <c r="C187" s="1" t="n"/>
      <c r="D187" s="238"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row>
    <row r="188">
      <c r="B188" s="242" t="n"/>
      <c r="C188" s="1" t="n"/>
      <c r="D188" s="238"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row>
    <row r="189">
      <c r="B189" s="242" t="n"/>
      <c r="C189" s="1" t="n"/>
      <c r="D189" s="238"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row>
    <row r="190">
      <c r="B190" s="242" t="n"/>
      <c r="C190" s="1" t="n"/>
      <c r="D190" s="238"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row>
    <row r="191">
      <c r="B191" s="242" t="n"/>
      <c r="C191" s="1" t="n"/>
      <c r="D191" s="238"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row>
    <row r="192">
      <c r="B192" s="242" t="n"/>
      <c r="C192" s="1" t="n"/>
      <c r="D192" s="238"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row>
    <row r="193">
      <c r="B193" s="242" t="n"/>
      <c r="C193" s="1" t="n"/>
      <c r="D193" s="238"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row>
    <row r="194">
      <c r="B194" s="242" t="n"/>
      <c r="C194" s="1" t="n"/>
      <c r="D194" s="238"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row>
    <row r="195">
      <c r="B195" s="242" t="n"/>
      <c r="C195" s="1" t="n"/>
      <c r="D195" s="238"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row>
    <row r="196">
      <c r="B196" s="242" t="n"/>
      <c r="C196" s="1" t="n"/>
      <c r="D196" s="238"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row>
    <row r="197">
      <c r="B197" s="242" t="n"/>
      <c r="C197" s="1" t="n"/>
      <c r="D197" s="238"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row>
    <row r="198">
      <c r="B198" s="242" t="n"/>
      <c r="C198" s="1" t="n"/>
      <c r="D198" s="238"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row>
    <row r="199">
      <c r="B199" s="242" t="n"/>
      <c r="C199" s="1" t="n"/>
      <c r="D199" s="238"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row>
    <row r="200">
      <c r="B200" s="242" t="n"/>
      <c r="C200" s="1" t="n"/>
      <c r="D200" s="238"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row>
    <row r="201">
      <c r="B201" s="242" t="n"/>
      <c r="C201" s="1" t="n"/>
      <c r="D201" s="238"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row>
    <row r="202">
      <c r="B202" s="242" t="n"/>
      <c r="C202" s="1" t="n"/>
      <c r="D202" s="238"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row>
    <row r="203">
      <c r="B203" s="242" t="n"/>
      <c r="C203" s="1" t="n"/>
      <c r="D203" s="238"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row>
    <row r="204">
      <c r="B204" s="242" t="n"/>
      <c r="C204" s="1" t="n"/>
      <c r="D204" s="238"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row>
    <row r="205">
      <c r="B205" s="242" t="n"/>
      <c r="C205" s="1" t="n"/>
      <c r="D205" s="238"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row>
    <row r="206">
      <c r="B206" s="242" t="n"/>
      <c r="C206" s="1" t="n"/>
      <c r="D206" s="238"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row>
    <row r="207">
      <c r="B207" s="242" t="n"/>
      <c r="C207" s="1" t="n"/>
      <c r="D207" s="238"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row>
    <row r="208">
      <c r="B208" s="242" t="n"/>
      <c r="C208" s="1" t="n"/>
      <c r="D208" s="238"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row>
    <row r="209">
      <c r="B209" s="242" t="n"/>
      <c r="C209" s="1" t="n"/>
      <c r="D209" s="238"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row>
    <row r="210">
      <c r="B210" s="242" t="n"/>
      <c r="C210" s="1" t="n"/>
      <c r="D210" s="238"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row>
    <row r="211">
      <c r="B211" s="242" t="n"/>
      <c r="C211" s="1" t="n"/>
      <c r="D211" s="238"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row>
    <row r="212">
      <c r="B212" s="242" t="n"/>
      <c r="C212" s="1" t="n"/>
      <c r="D212" s="238"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row>
    <row r="213">
      <c r="B213" s="242" t="n"/>
      <c r="C213" s="1" t="n"/>
      <c r="D213" s="238"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row>
    <row r="214">
      <c r="B214" s="242" t="n"/>
      <c r="C214" s="1" t="n"/>
      <c r="D214" s="238"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row>
    <row r="215">
      <c r="B215" s="242" t="n"/>
      <c r="C215" s="1" t="n"/>
      <c r="D215" s="238"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row>
    <row r="216">
      <c r="B216" s="242" t="n"/>
      <c r="C216" s="1" t="n"/>
      <c r="D216" s="238"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row>
    <row r="217">
      <c r="B217" s="242" t="n"/>
      <c r="C217" s="1" t="n"/>
      <c r="D217" s="238"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row>
    <row r="218">
      <c r="B218" s="242" t="n"/>
      <c r="C218" s="1" t="n"/>
      <c r="D218" s="238"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row>
    <row r="219">
      <c r="B219" s="242" t="n"/>
      <c r="C219" s="1" t="n"/>
      <c r="D219" s="238"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row>
    <row r="220">
      <c r="B220" s="242" t="n"/>
      <c r="C220" s="1" t="n"/>
      <c r="D220" s="238"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row>
    <row r="221">
      <c r="B221" s="242" t="n"/>
      <c r="C221" s="1" t="n"/>
      <c r="D221" s="238"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row>
    <row r="222">
      <c r="B222" s="242" t="n"/>
      <c r="C222" s="1" t="n"/>
      <c r="D222" s="238"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row>
    <row r="223">
      <c r="B223" s="242" t="n"/>
      <c r="C223" s="1" t="n"/>
      <c r="D223" s="238"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row>
    <row r="224">
      <c r="B224" s="242" t="n"/>
      <c r="C224" s="1" t="n"/>
      <c r="D224" s="238"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row>
    <row r="225">
      <c r="B225" s="242" t="n"/>
      <c r="C225" s="1" t="n"/>
      <c r="D225" s="238"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row>
    <row r="226">
      <c r="B226" s="242" t="n"/>
      <c r="C226" s="1" t="n"/>
      <c r="D226" s="238"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row>
    <row r="227">
      <c r="B227" s="242" t="n"/>
      <c r="C227" s="1" t="n"/>
      <c r="D227" s="238"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row>
    <row r="228">
      <c r="B228" s="242" t="n"/>
      <c r="C228" s="1" t="n"/>
      <c r="D228" s="238"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row>
    <row r="229">
      <c r="B229" s="242" t="n"/>
      <c r="C229" s="1" t="n"/>
      <c r="D229" s="238"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row>
    <row r="230">
      <c r="B230" s="242" t="n"/>
      <c r="C230" s="1" t="n"/>
      <c r="D230" s="238"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row>
    <row r="231">
      <c r="B231" s="242" t="n"/>
      <c r="C231" s="1" t="n"/>
      <c r="D231" s="238"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row>
    <row r="232">
      <c r="B232" s="242" t="n"/>
      <c r="C232" s="1" t="n"/>
      <c r="D232" s="238"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row>
    <row r="233">
      <c r="B233" s="242" t="n"/>
      <c r="C233" s="1" t="n"/>
      <c r="D233" s="238"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row>
    <row r="234">
      <c r="B234" s="242" t="n"/>
      <c r="C234" s="1" t="n"/>
      <c r="D234" s="238"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row>
    <row r="235">
      <c r="B235" s="242" t="n"/>
      <c r="C235" s="1" t="n"/>
      <c r="D235" s="238"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row>
    <row r="236">
      <c r="B236" s="242" t="n"/>
      <c r="C236" s="1" t="n"/>
      <c r="D236" s="238"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row>
    <row r="237">
      <c r="B237" s="242" t="n"/>
      <c r="C237" s="1" t="n"/>
      <c r="D237" s="238"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row>
    <row r="238">
      <c r="B238" s="242" t="n"/>
      <c r="C238" s="1" t="n"/>
      <c r="D238" s="238"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row>
    <row r="239">
      <c r="B239" s="242" t="n"/>
      <c r="C239" s="1" t="n"/>
      <c r="D239" s="238"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row>
    <row r="240">
      <c r="B240" s="242" t="n"/>
      <c r="C240" s="1" t="n"/>
      <c r="D240" s="238"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row>
    <row r="241">
      <c r="B241" s="242" t="n"/>
      <c r="C241" s="1" t="n"/>
      <c r="D241" s="238"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row>
    <row r="242">
      <c r="B242" s="242" t="n"/>
      <c r="C242" s="1" t="n"/>
      <c r="D242" s="238"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row>
    <row r="243">
      <c r="B243" s="242" t="n"/>
      <c r="C243" s="1" t="n"/>
      <c r="D243" s="238"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row>
    <row r="244">
      <c r="B244" s="242" t="n"/>
      <c r="C244" s="1" t="n"/>
      <c r="D244" s="238"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row>
    <row r="245">
      <c r="B245" s="242" t="n"/>
      <c r="C245" s="1" t="n"/>
      <c r="D245" s="238"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row>
    <row r="246">
      <c r="B246" s="242" t="n"/>
      <c r="C246" s="1" t="n"/>
      <c r="D246" s="238"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row>
    <row r="247">
      <c r="B247" s="242" t="n"/>
      <c r="C247" s="1" t="n"/>
      <c r="D247" s="238"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row>
    <row r="248">
      <c r="B248" s="242" t="n"/>
      <c r="C248" s="1" t="n"/>
      <c r="D248" s="238"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row>
    <row r="249">
      <c r="B249" s="242" t="n"/>
      <c r="C249" s="1" t="n"/>
      <c r="D249" s="238"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row>
    <row r="250">
      <c r="B250" s="242" t="n"/>
      <c r="C250" s="1" t="n"/>
      <c r="D250" s="238"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row>
    <row r="251">
      <c r="B251" s="242" t="n"/>
      <c r="C251" s="1" t="n"/>
      <c r="D251" s="238"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row>
    <row r="252">
      <c r="B252" s="242" t="n"/>
      <c r="C252" s="1" t="n"/>
      <c r="D252" s="238"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row>
    <row r="253">
      <c r="B253" s="242" t="n"/>
      <c r="C253" s="1" t="n"/>
      <c r="D253" s="238"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row>
    <row r="254">
      <c r="B254" s="242" t="n"/>
      <c r="C254" s="1" t="n"/>
      <c r="D254" s="238"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row>
    <row r="255">
      <c r="B255" s="242" t="n"/>
      <c r="C255" s="1" t="n"/>
      <c r="D255" s="238"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row>
    <row r="256">
      <c r="B256" s="242" t="n"/>
      <c r="C256" s="1" t="n"/>
      <c r="D256" s="238"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row>
    <row r="257">
      <c r="B257" s="242" t="n"/>
      <c r="C257" s="1" t="n"/>
      <c r="D257" s="238"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row>
    <row r="258">
      <c r="B258" s="242" t="n"/>
      <c r="C258" s="1" t="n"/>
      <c r="D258" s="238"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row>
    <row r="259">
      <c r="B259" s="242" t="n"/>
      <c r="C259" s="1" t="n"/>
      <c r="D259" s="238"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row>
    <row r="260">
      <c r="B260" s="242" t="n"/>
      <c r="C260" s="1" t="n"/>
      <c r="D260" s="238"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row>
    <row r="261">
      <c r="B261" s="242" t="n"/>
      <c r="C261" s="1" t="n"/>
      <c r="D261" s="238"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row>
    <row r="262">
      <c r="B262" s="242" t="n"/>
      <c r="C262" s="1" t="n"/>
      <c r="D262" s="238"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row>
    <row r="263">
      <c r="B263" s="242" t="n"/>
      <c r="C263" s="1" t="n"/>
      <c r="D263" s="238"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row>
    <row r="264">
      <c r="B264" s="242" t="n"/>
      <c r="C264" s="1" t="n"/>
      <c r="D264" s="238"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row>
    <row r="265">
      <c r="B265" s="242" t="n"/>
      <c r="C265" s="1" t="n"/>
      <c r="D265" s="238"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row>
    <row r="266">
      <c r="B266" s="242" t="n"/>
      <c r="C266" s="1" t="n"/>
      <c r="D266" s="238"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row>
    <row r="267">
      <c r="B267" s="242" t="n"/>
      <c r="C267" s="1" t="n"/>
      <c r="D267" s="238"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row>
    <row r="268">
      <c r="B268" s="242" t="n"/>
      <c r="C268" s="1" t="n"/>
      <c r="D268" s="238"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row>
    <row r="269">
      <c r="B269" s="242" t="n"/>
      <c r="C269" s="1" t="n"/>
      <c r="D269" s="238"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row>
    <row r="270">
      <c r="B270" s="242" t="n"/>
      <c r="C270" s="1" t="n"/>
      <c r="D270" s="238"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row>
    <row r="271">
      <c r="B271" s="242" t="n"/>
      <c r="C271" s="1" t="n"/>
      <c r="D271" s="238"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row>
    <row r="272">
      <c r="B272" s="242" t="n"/>
      <c r="C272" s="1" t="n"/>
      <c r="D272" s="238"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row>
    <row r="273">
      <c r="B273" s="242" t="n"/>
      <c r="C273" s="1" t="n"/>
      <c r="D273" s="238"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row>
    <row r="274">
      <c r="B274" s="242" t="n"/>
      <c r="C274" s="1" t="n"/>
      <c r="D274" s="238"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row>
    <row r="275">
      <c r="B275" s="242" t="n"/>
      <c r="C275" s="1" t="n"/>
      <c r="D275" s="238"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row>
    <row r="276">
      <c r="B276" s="242" t="n"/>
      <c r="C276" s="1" t="n"/>
      <c r="D276" s="238"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row>
    <row r="277">
      <c r="B277" s="242" t="n"/>
      <c r="C277" s="1" t="n"/>
      <c r="D277" s="238"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row>
    <row r="278">
      <c r="B278" s="242" t="n"/>
      <c r="C278" s="1" t="n"/>
      <c r="D278" s="238"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row>
    <row r="279">
      <c r="B279" s="242" t="n"/>
      <c r="C279" s="1" t="n"/>
      <c r="D279" s="238"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row>
    <row r="280">
      <c r="B280" s="242" t="n"/>
      <c r="C280" s="1" t="n"/>
      <c r="D280" s="238"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row>
    <row r="281">
      <c r="B281" s="242" t="n"/>
      <c r="C281" s="1" t="n"/>
      <c r="D281" s="238"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row>
    <row r="282">
      <c r="B282" s="242" t="n"/>
      <c r="C282" s="1" t="n"/>
      <c r="D282" s="238"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row>
    <row r="283">
      <c r="B283" s="242" t="n"/>
      <c r="C283" s="1" t="n"/>
      <c r="D283" s="238"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row>
    <row r="284">
      <c r="B284" s="242" t="n"/>
      <c r="C284" s="1" t="n"/>
      <c r="D284" s="238"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row>
    <row r="285">
      <c r="B285" s="242" t="n"/>
      <c r="C285" s="1" t="n"/>
      <c r="D285" s="238"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row>
    <row r="286">
      <c r="B286" s="242" t="n"/>
      <c r="C286" s="1" t="n"/>
      <c r="D286" s="238"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row>
    <row r="287">
      <c r="B287" s="242" t="n"/>
      <c r="C287" s="1" t="n"/>
      <c r="D287" s="238"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row>
    <row r="288">
      <c r="B288" s="242" t="n"/>
      <c r="C288" s="1" t="n"/>
      <c r="D288" s="238"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row>
    <row r="289">
      <c r="B289" s="242" t="n"/>
      <c r="C289" s="1" t="n"/>
      <c r="D289" s="238"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row>
    <row r="290">
      <c r="B290" s="242" t="n"/>
      <c r="C290" s="1" t="n"/>
      <c r="D290" s="238"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row>
    <row r="291">
      <c r="B291" s="242" t="n"/>
      <c r="C291" s="1" t="n"/>
      <c r="D291" s="238"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row>
    <row r="292">
      <c r="B292" s="242" t="n"/>
      <c r="C292" s="1" t="n"/>
      <c r="D292" s="238"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row>
    <row r="293">
      <c r="B293" s="242" t="n"/>
      <c r="C293" s="1" t="n"/>
      <c r="D293" s="238"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row>
    <row r="294">
      <c r="B294" s="242" t="n"/>
      <c r="C294" s="1" t="n"/>
      <c r="D294" s="238"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row>
    <row r="295">
      <c r="B295" s="242" t="n"/>
      <c r="C295" s="1" t="n"/>
      <c r="D295" s="238"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row>
    <row r="296">
      <c r="B296" s="242" t="n"/>
      <c r="C296" s="1" t="n"/>
      <c r="D296" s="238"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row>
    <row r="297">
      <c r="B297" s="242" t="n"/>
      <c r="C297" s="1" t="n"/>
      <c r="D297" s="238"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row>
    <row r="298">
      <c r="B298" s="242" t="n"/>
      <c r="C298" s="1" t="n"/>
      <c r="D298" s="238"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row>
    <row r="299">
      <c r="B299" s="242" t="n"/>
      <c r="C299" s="1" t="n"/>
      <c r="D299" s="238"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row>
    <row r="300">
      <c r="B300" s="242" t="n"/>
      <c r="C300" s="1" t="n"/>
      <c r="D300" s="238"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row>
    <row r="301">
      <c r="B301" s="242" t="n"/>
      <c r="C301" s="1" t="n"/>
      <c r="D301" s="238"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row>
    <row r="302">
      <c r="B302" s="242" t="n"/>
      <c r="C302" s="1" t="n"/>
      <c r="D302" s="238"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row>
    <row r="303">
      <c r="B303" s="242" t="n"/>
      <c r="C303" s="1" t="n"/>
      <c r="D303" s="238"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row>
    <row r="304">
      <c r="B304" s="242" t="n"/>
      <c r="C304" s="1" t="n"/>
      <c r="D304" s="238"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row>
    <row r="305">
      <c r="B305" s="242" t="n"/>
      <c r="C305" s="1" t="n"/>
      <c r="D305" s="238"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row>
    <row r="306">
      <c r="B306" s="242" t="n"/>
      <c r="C306" s="1" t="n"/>
      <c r="D306" s="238"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row>
    <row r="307">
      <c r="B307" s="242" t="n"/>
      <c r="C307" s="1" t="n"/>
      <c r="D307" s="238"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row>
    <row r="308">
      <c r="B308" s="242" t="n"/>
      <c r="C308" s="1" t="n"/>
      <c r="D308" s="238"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row>
    <row r="309">
      <c r="B309" s="242" t="n"/>
      <c r="C309" s="1" t="n"/>
      <c r="D309" s="238"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row>
    <row r="310">
      <c r="B310" s="242" t="n"/>
      <c r="C310" s="1" t="n"/>
      <c r="D310" s="238"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row>
    <row r="311">
      <c r="B311" s="242" t="n"/>
      <c r="C311" s="1" t="n"/>
      <c r="D311" s="238"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row>
    <row r="312">
      <c r="B312" s="242" t="n"/>
      <c r="C312" s="1" t="n"/>
      <c r="D312" s="238"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row>
    <row r="313">
      <c r="B313" s="242" t="n"/>
      <c r="C313" s="1" t="n"/>
      <c r="D313" s="238"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row>
    <row r="314">
      <c r="B314" s="242" t="n"/>
      <c r="C314" s="1" t="n"/>
      <c r="D314" s="238"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row>
    <row r="315">
      <c r="B315" s="242" t="n"/>
      <c r="C315" s="1" t="n"/>
      <c r="D315" s="238"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row>
    <row r="316">
      <c r="B316" s="242" t="n"/>
      <c r="C316" s="1" t="n"/>
      <c r="D316" s="238"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row>
    <row r="317">
      <c r="B317" s="242" t="n"/>
      <c r="C317" s="1" t="n"/>
      <c r="D317" s="238"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row>
    <row r="318">
      <c r="B318" s="242" t="n"/>
      <c r="C318" s="1" t="n"/>
      <c r="D318" s="238"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row>
    <row r="319">
      <c r="B319" s="242" t="n"/>
      <c r="C319" s="1" t="n"/>
      <c r="D319" s="238"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row>
    <row r="320">
      <c r="B320" s="242" t="n"/>
      <c r="C320" s="1" t="n"/>
      <c r="D320" s="238"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row>
    <row r="321">
      <c r="B321" s="242" t="n"/>
      <c r="C321" s="1" t="n"/>
      <c r="D321" s="238"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row>
    <row r="322">
      <c r="B322" s="242" t="n"/>
      <c r="C322" s="1" t="n"/>
      <c r="D322" s="238"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row>
    <row r="323">
      <c r="B323" s="242" t="n"/>
      <c r="C323" s="1" t="n"/>
      <c r="D323" s="238"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row>
    <row r="324">
      <c r="B324" s="242" t="n"/>
      <c r="C324" s="1" t="n"/>
      <c r="D324" s="238"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row>
    <row r="325">
      <c r="B325" s="242" t="n"/>
      <c r="C325" s="1" t="n"/>
      <c r="D325" s="238"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row>
    <row r="326">
      <c r="B326" s="242" t="n"/>
      <c r="C326" s="1" t="n"/>
      <c r="D326" s="238"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row>
    <row r="327">
      <c r="B327" s="242" t="n"/>
      <c r="C327" s="1" t="n"/>
      <c r="D327" s="238"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row>
    <row r="328">
      <c r="B328" s="242" t="n"/>
      <c r="C328" s="1" t="n"/>
      <c r="D328" s="238"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row>
    <row r="329">
      <c r="B329" s="242" t="n"/>
      <c r="C329" s="1" t="n"/>
      <c r="D329" s="238"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row>
    <row r="330">
      <c r="B330" s="242" t="n"/>
      <c r="C330" s="1" t="n"/>
      <c r="D330" s="238"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row>
    <row r="331">
      <c r="B331" s="242" t="n"/>
      <c r="C331" s="1" t="n"/>
      <c r="D331" s="238"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row>
    <row r="332">
      <c r="B332" s="242" t="n"/>
      <c r="C332" s="1" t="n"/>
      <c r="D332" s="238"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row>
    <row r="333">
      <c r="B333" s="242" t="n"/>
      <c r="C333" s="1" t="n"/>
      <c r="D333" s="238"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row>
    <row r="334">
      <c r="B334" s="242" t="n"/>
      <c r="C334" s="1" t="n"/>
      <c r="D334" s="238"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row>
    <row r="335">
      <c r="B335" s="242" t="n"/>
      <c r="C335" s="1" t="n"/>
      <c r="D335" s="238"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row>
    <row r="336">
      <c r="B336" s="242" t="n"/>
      <c r="C336" s="1" t="n"/>
      <c r="D336" s="238"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row>
    <row r="337">
      <c r="B337" s="242" t="n"/>
      <c r="C337" s="1" t="n"/>
      <c r="D337" s="238"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row>
    <row r="338">
      <c r="B338" s="242" t="n"/>
      <c r="C338" s="1" t="n"/>
      <c r="D338" s="238"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row>
    <row r="339">
      <c r="B339" s="242" t="n"/>
      <c r="C339" s="1" t="n"/>
      <c r="D339" s="238"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row>
    <row r="340">
      <c r="B340" s="242" t="n"/>
      <c r="C340" s="1" t="n"/>
      <c r="D340" s="238"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row>
    <row r="341">
      <c r="B341" s="242" t="n"/>
      <c r="C341" s="1" t="n"/>
      <c r="D341" s="238"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row>
    <row r="342">
      <c r="B342" s="242" t="n"/>
      <c r="C342" s="1" t="n"/>
      <c r="D342" s="238"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row>
    <row r="343">
      <c r="B343" s="242" t="n"/>
      <c r="C343" s="1" t="n"/>
      <c r="D343" s="238"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row>
    <row r="344">
      <c r="B344" s="242" t="n"/>
      <c r="C344" s="1" t="n"/>
      <c r="D344" s="238"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row>
    <row r="345">
      <c r="B345" s="242" t="n"/>
      <c r="C345" s="1" t="n"/>
      <c r="D345" s="238"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row>
    <row r="346">
      <c r="B346" s="242" t="n"/>
      <c r="C346" s="1" t="n"/>
      <c r="D346" s="238"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row>
    <row r="347">
      <c r="B347" s="242" t="n"/>
      <c r="C347" s="1" t="n"/>
      <c r="D347" s="238"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row>
    <row r="348">
      <c r="B348" s="242" t="n"/>
      <c r="C348" s="1" t="n"/>
      <c r="D348" s="238"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row>
    <row r="349">
      <c r="B349" s="242" t="n"/>
      <c r="C349" s="1" t="n"/>
      <c r="D349" s="238"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row>
    <row r="350">
      <c r="B350" s="242" t="n"/>
      <c r="C350" s="1" t="n"/>
      <c r="D350" s="238"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row>
    <row r="351">
      <c r="B351" s="242" t="n"/>
      <c r="C351" s="1" t="n"/>
      <c r="D351" s="238"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row>
    <row r="352">
      <c r="B352" s="242" t="n"/>
      <c r="C352" s="1" t="n"/>
      <c r="D352" s="238"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row>
    <row r="353">
      <c r="B353" s="242" t="n"/>
      <c r="C353" s="1" t="n"/>
      <c r="D353" s="238"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row>
    <row r="354">
      <c r="B354" s="242" t="n"/>
      <c r="C354" s="1" t="n"/>
      <c r="D354" s="238"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row>
    <row r="355">
      <c r="B355" s="242" t="n"/>
      <c r="C355" s="1" t="n"/>
      <c r="D355" s="238"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row>
    <row r="356">
      <c r="B356" s="242" t="n"/>
      <c r="C356" s="1" t="n"/>
      <c r="D356" s="238"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row>
    <row r="357">
      <c r="B357" s="242" t="n"/>
      <c r="C357" s="1" t="n"/>
      <c r="D357" s="238"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row>
    <row r="358">
      <c r="B358" s="242" t="n"/>
      <c r="C358" s="1" t="n"/>
      <c r="D358" s="238"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row>
    <row r="359">
      <c r="B359" s="242" t="n"/>
      <c r="C359" s="1" t="n"/>
      <c r="D359" s="238"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row>
    <row r="360">
      <c r="B360" s="242" t="n"/>
      <c r="C360" s="1" t="n"/>
      <c r="D360" s="238"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row>
    <row r="361">
      <c r="B361" s="242" t="n"/>
      <c r="C361" s="1" t="n"/>
      <c r="D361" s="238"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row>
    <row r="362">
      <c r="B362" s="242" t="n"/>
      <c r="C362" s="1" t="n"/>
      <c r="D362" s="238"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row>
    <row r="363">
      <c r="B363" s="242" t="n"/>
      <c r="C363" s="1" t="n"/>
      <c r="D363" s="238"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row>
    <row r="364">
      <c r="B364" s="242" t="n"/>
      <c r="C364" s="1" t="n"/>
      <c r="D364" s="238"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row>
    <row r="365">
      <c r="B365" s="242" t="n"/>
      <c r="C365" s="1" t="n"/>
      <c r="D365" s="238"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row>
    <row r="366">
      <c r="B366" s="242" t="n"/>
      <c r="C366" s="1" t="n"/>
      <c r="D366" s="238"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row>
    <row r="367">
      <c r="B367" s="242" t="n"/>
      <c r="C367" s="1" t="n"/>
      <c r="D367" s="238"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row>
    <row r="368">
      <c r="B368" s="242" t="n"/>
      <c r="C368" s="1" t="n"/>
      <c r="D368" s="238"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row>
    <row r="369">
      <c r="B369" s="242" t="n"/>
      <c r="C369" s="1" t="n"/>
      <c r="D369" s="238"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row>
    <row r="370">
      <c r="B370" s="242" t="n"/>
      <c r="C370" s="1" t="n"/>
      <c r="D370" s="238"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row>
    <row r="371">
      <c r="B371" s="242" t="n"/>
      <c r="C371" s="1" t="n"/>
      <c r="D371" s="238"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row>
    <row r="372">
      <c r="B372" s="242" t="n"/>
      <c r="C372" s="1" t="n"/>
      <c r="D372" s="238"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row>
    <row r="373">
      <c r="B373" s="242" t="n"/>
      <c r="C373" s="1" t="n"/>
      <c r="D373" s="238"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row>
    <row r="374">
      <c r="B374" s="242" t="n"/>
      <c r="C374" s="1" t="n"/>
      <c r="D374" s="238"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row>
    <row r="375">
      <c r="B375" s="242" t="n"/>
      <c r="C375" s="1" t="n"/>
      <c r="D375" s="238"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row>
    <row r="376">
      <c r="B376" s="242" t="n"/>
      <c r="C376" s="1" t="n"/>
      <c r="D376" s="238"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row>
    <row r="377">
      <c r="B377" s="242" t="n"/>
      <c r="C377" s="1" t="n"/>
      <c r="D377" s="238"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row>
    <row r="378">
      <c r="B378" s="242" t="n"/>
      <c r="C378" s="1" t="n"/>
      <c r="D378" s="238"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row>
    <row r="379">
      <c r="B379" s="242" t="n"/>
      <c r="C379" s="1" t="n"/>
      <c r="D379" s="238"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row>
    <row r="380">
      <c r="B380" s="242" t="n"/>
      <c r="C380" s="1" t="n"/>
      <c r="D380" s="238"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row>
    <row r="381">
      <c r="B381" s="242" t="n"/>
      <c r="C381" s="1" t="n"/>
      <c r="D381" s="238"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row>
    <row r="382">
      <c r="B382" s="242" t="n"/>
      <c r="C382" s="1" t="n"/>
      <c r="D382" s="238"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row>
    <row r="383">
      <c r="B383" s="242" t="n"/>
      <c r="C383" s="1" t="n"/>
      <c r="D383" s="238"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row>
    <row r="384">
      <c r="B384" s="242" t="n"/>
      <c r="C384" s="1" t="n"/>
      <c r="D384" s="238"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row>
    <row r="385">
      <c r="B385" s="242" t="n"/>
      <c r="C385" s="1" t="n"/>
      <c r="D385" s="238"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row>
    <row r="386">
      <c r="B386" s="242" t="n"/>
      <c r="C386" s="1" t="n"/>
      <c r="D386" s="238"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row>
    <row r="387">
      <c r="B387" s="242" t="n"/>
      <c r="C387" s="1" t="n"/>
      <c r="D387" s="238"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row>
    <row r="388">
      <c r="B388" s="242" t="n"/>
      <c r="C388" s="1" t="n"/>
      <c r="D388" s="238"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row>
    <row r="389">
      <c r="B389" s="242" t="n"/>
      <c r="C389" s="1" t="n"/>
      <c r="D389" s="238"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row>
    <row r="390">
      <c r="B390" s="242" t="n"/>
      <c r="C390" s="1" t="n"/>
      <c r="D390" s="238"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row>
    <row r="391">
      <c r="B391" s="242" t="n"/>
      <c r="C391" s="1" t="n"/>
      <c r="D391" s="238"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row>
    <row r="392">
      <c r="B392" s="242" t="n"/>
      <c r="C392" s="1" t="n"/>
      <c r="D392" s="238"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row>
    <row r="393">
      <c r="B393" s="242" t="n"/>
      <c r="C393" s="1" t="n"/>
      <c r="D393" s="238"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row>
    <row r="394">
      <c r="B394" s="242" t="n"/>
      <c r="C394" s="1" t="n"/>
      <c r="D394" s="238"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row>
    <row r="395">
      <c r="B395" s="242" t="n"/>
      <c r="C395" s="1" t="n"/>
      <c r="D395" s="238"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row>
    <row r="396">
      <c r="B396" s="242" t="n"/>
      <c r="C396" s="1" t="n"/>
      <c r="D396" s="238"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row>
    <row r="397">
      <c r="B397" s="242" t="n"/>
      <c r="C397" s="1" t="n"/>
      <c r="D397" s="238"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row>
    <row r="398">
      <c r="B398" s="242" t="n"/>
      <c r="C398" s="1" t="n"/>
      <c r="D398" s="238"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row>
    <row r="399">
      <c r="B399" s="242" t="n"/>
      <c r="C399" s="1" t="n"/>
      <c r="D399" s="238"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row>
    <row r="400">
      <c r="B400" s="242" t="n"/>
      <c r="C400" s="1" t="n"/>
      <c r="D400" s="238"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row>
    <row r="401">
      <c r="B401" s="242" t="n"/>
      <c r="C401" s="1" t="n"/>
      <c r="D401" s="238"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row>
    <row r="402">
      <c r="B402" s="242" t="n"/>
      <c r="C402" s="1" t="n"/>
      <c r="D402" s="238"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row>
    <row r="403">
      <c r="B403" s="242" t="n"/>
      <c r="C403" s="1" t="n"/>
      <c r="D403" s="238"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row>
    <row r="404">
      <c r="B404" s="242" t="n"/>
      <c r="C404" s="1" t="n"/>
      <c r="D404" s="238"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row>
    <row r="405">
      <c r="B405" s="242" t="n"/>
      <c r="C405" s="1" t="n"/>
      <c r="D405" s="238"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row>
    <row r="406">
      <c r="B406" s="242" t="n"/>
      <c r="C406" s="1" t="n"/>
      <c r="D406" s="238"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row>
    <row r="407">
      <c r="B407" s="242" t="n"/>
      <c r="C407" s="1" t="n"/>
      <c r="D407" s="238"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row>
    <row r="408">
      <c r="B408" s="242" t="n"/>
      <c r="C408" s="1" t="n"/>
      <c r="D408" s="238"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row>
    <row r="409">
      <c r="B409" s="242" t="n"/>
      <c r="C409" s="1" t="n"/>
      <c r="D409" s="238"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row>
    <row r="410">
      <c r="B410" s="242" t="n"/>
      <c r="C410" s="1" t="n"/>
      <c r="D410" s="238"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row>
    <row r="411">
      <c r="B411" s="242" t="n"/>
      <c r="C411" s="1" t="n"/>
      <c r="D411" s="238"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row>
    <row r="412">
      <c r="B412" s="242" t="n"/>
      <c r="C412" s="1" t="n"/>
      <c r="D412" s="238"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row>
    <row r="413">
      <c r="B413" s="242" t="n"/>
      <c r="C413" s="1" t="n"/>
      <c r="D413" s="238"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row>
    <row r="414">
      <c r="B414" s="242" t="n"/>
      <c r="C414" s="1" t="n"/>
      <c r="D414" s="238"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row>
    <row r="415">
      <c r="B415" s="242" t="n"/>
      <c r="C415" s="1" t="n"/>
      <c r="D415" s="238"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row>
    <row r="416">
      <c r="B416" s="242" t="n"/>
      <c r="C416" s="1" t="n"/>
      <c r="D416" s="238"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row>
    <row r="417">
      <c r="B417" s="242" t="n"/>
      <c r="C417" s="1" t="n"/>
      <c r="D417" s="238"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row>
    <row r="418">
      <c r="B418" s="242" t="n"/>
      <c r="C418" s="1" t="n"/>
      <c r="D418" s="238"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row>
    <row r="419">
      <c r="B419" s="242" t="n"/>
      <c r="C419" s="1" t="n"/>
      <c r="D419" s="238"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row>
    <row r="420">
      <c r="B420" s="242" t="n"/>
      <c r="C420" s="1" t="n"/>
      <c r="D420" s="238"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row>
    <row r="421">
      <c r="B421" s="242" t="n"/>
      <c r="C421" s="1" t="n"/>
      <c r="D421" s="238"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row>
    <row r="422">
      <c r="B422" s="242" t="n"/>
      <c r="C422" s="1" t="n"/>
      <c r="D422" s="238"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row>
    <row r="423">
      <c r="B423" s="242" t="n"/>
      <c r="C423" s="1" t="n"/>
      <c r="D423" s="238"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row>
    <row r="424">
      <c r="B424" s="242" t="n"/>
      <c r="C424" s="1" t="n"/>
      <c r="D424" s="238"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row>
    <row r="425">
      <c r="B425" s="242" t="n"/>
      <c r="C425" s="1" t="n"/>
      <c r="D425" s="238"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row>
    <row r="426">
      <c r="B426" s="242" t="n"/>
      <c r="C426" s="1" t="n"/>
      <c r="D426" s="238"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row>
    <row r="427">
      <c r="B427" s="242" t="n"/>
      <c r="C427" s="1" t="n"/>
      <c r="D427" s="238"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row>
    <row r="428">
      <c r="B428" s="242" t="n"/>
      <c r="C428" s="1" t="n"/>
      <c r="D428" s="238"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row>
    <row r="429">
      <c r="B429" s="242" t="n"/>
      <c r="C429" s="1" t="n"/>
      <c r="D429" s="238"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row>
    <row r="430">
      <c r="B430" s="242" t="n"/>
      <c r="C430" s="1" t="n"/>
      <c r="D430" s="238"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row>
    <row r="431">
      <c r="B431" s="242" t="n"/>
      <c r="C431" s="1" t="n"/>
      <c r="D431" s="238"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row>
    <row r="432">
      <c r="B432" s="242" t="n"/>
      <c r="C432" s="1" t="n"/>
      <c r="D432" s="238"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row>
    <row r="433">
      <c r="B433" s="242" t="n"/>
      <c r="C433" s="1" t="n"/>
      <c r="D433" s="238"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row>
    <row r="434">
      <c r="B434" s="242" t="n"/>
      <c r="C434" s="1" t="n"/>
      <c r="D434" s="238"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row>
    <row r="435">
      <c r="B435" s="242" t="n"/>
      <c r="C435" s="1" t="n"/>
      <c r="D435" s="238"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row>
    <row r="436">
      <c r="B436" s="242" t="n"/>
      <c r="C436" s="1" t="n"/>
      <c r="D436" s="238"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row>
    <row r="437">
      <c r="B437" s="242" t="n"/>
      <c r="C437" s="1" t="n"/>
      <c r="D437" s="238"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row>
    <row r="438">
      <c r="B438" s="242" t="n"/>
      <c r="C438" s="1" t="n"/>
      <c r="D438" s="238"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row>
    <row r="439">
      <c r="B439" s="242" t="n"/>
      <c r="C439" s="1" t="n"/>
      <c r="D439" s="238"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row>
    <row r="440">
      <c r="B440" s="242" t="n"/>
      <c r="C440" s="1" t="n"/>
      <c r="D440" s="238"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row>
    <row r="441">
      <c r="B441" s="242" t="n"/>
      <c r="C441" s="1" t="n"/>
      <c r="D441" s="238"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row>
    <row r="442">
      <c r="B442" s="242" t="n"/>
      <c r="C442" s="1" t="n"/>
      <c r="D442" s="238"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row>
    <row r="443">
      <c r="B443" s="242" t="n"/>
      <c r="C443" s="1" t="n"/>
      <c r="D443" s="238"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row>
    <row r="444">
      <c r="B444" s="242" t="n"/>
      <c r="C444" s="1" t="n"/>
      <c r="D444" s="238"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row>
    <row r="445">
      <c r="B445" s="242" t="n"/>
      <c r="C445" s="1" t="n"/>
      <c r="D445" s="238"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row>
    <row r="446">
      <c r="B446" s="242" t="n"/>
      <c r="C446" s="1" t="n"/>
      <c r="D446" s="238"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row>
    <row r="447">
      <c r="B447" s="242" t="n"/>
      <c r="C447" s="1" t="n"/>
      <c r="D447" s="238"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row>
    <row r="448">
      <c r="B448" s="242" t="n"/>
      <c r="C448" s="1" t="n"/>
      <c r="D448" s="238"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row>
    <row r="449">
      <c r="B449" s="242" t="n"/>
      <c r="C449" s="1" t="n"/>
      <c r="D449" s="238"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row>
    <row r="450">
      <c r="B450" s="242" t="n"/>
      <c r="C450" s="1" t="n"/>
      <c r="D450" s="238"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row>
    <row r="451">
      <c r="B451" s="242" t="n"/>
      <c r="C451" s="1" t="n"/>
      <c r="D451" s="238"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row>
    <row r="452">
      <c r="B452" s="242" t="n"/>
      <c r="C452" s="1" t="n"/>
      <c r="D452" s="238"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row>
    <row r="453">
      <c r="B453" s="242" t="n"/>
      <c r="C453" s="1" t="n"/>
      <c r="D453" s="238"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row>
    <row r="454">
      <c r="B454" s="242" t="n"/>
      <c r="C454" s="1" t="n"/>
      <c r="D454" s="238"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row>
    <row r="455">
      <c r="B455" s="242" t="n"/>
      <c r="C455" s="1" t="n"/>
      <c r="D455" s="238"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row>
    <row r="456">
      <c r="B456" s="242" t="n"/>
      <c r="C456" s="1" t="n"/>
      <c r="D456" s="238"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row>
    <row r="457">
      <c r="B457" s="242" t="n"/>
      <c r="C457" s="1" t="n"/>
      <c r="D457" s="238"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row>
    <row r="458">
      <c r="B458" s="242" t="n"/>
      <c r="C458" s="1" t="n"/>
      <c r="D458" s="238"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row>
    <row r="459">
      <c r="B459" s="242" t="n"/>
      <c r="C459" s="1" t="n"/>
      <c r="D459" s="238"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row>
    <row r="460">
      <c r="B460" s="242" t="n"/>
      <c r="C460" s="1" t="n"/>
      <c r="D460" s="238"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row>
    <row r="461">
      <c r="B461" s="242" t="n"/>
      <c r="C461" s="1" t="n"/>
      <c r="D461" s="238"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row>
    <row r="462">
      <c r="B462" s="242" t="n"/>
      <c r="C462" s="1" t="n"/>
      <c r="D462" s="238"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row>
    <row r="463">
      <c r="B463" s="242" t="n"/>
      <c r="C463" s="1" t="n"/>
      <c r="D463" s="238"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row>
    <row r="464">
      <c r="B464" s="242" t="n"/>
      <c r="C464" s="1" t="n"/>
      <c r="D464" s="238"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row>
    <row r="465">
      <c r="B465" s="242" t="n"/>
      <c r="C465" s="1" t="n"/>
      <c r="D465" s="238"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row>
    <row r="466">
      <c r="B466" s="242" t="n"/>
      <c r="C466" s="1" t="n"/>
      <c r="D466" s="238"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row>
    <row r="467">
      <c r="B467" s="242" t="n"/>
      <c r="C467" s="1" t="n"/>
      <c r="D467" s="238"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row>
    <row r="468">
      <c r="B468" s="242" t="n"/>
      <c r="C468" s="1" t="n"/>
      <c r="D468" s="238"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row>
    <row r="469">
      <c r="B469" s="242" t="n"/>
      <c r="C469" s="1" t="n"/>
      <c r="D469" s="238"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row>
    <row r="470">
      <c r="B470" s="242" t="n"/>
      <c r="C470" s="1" t="n"/>
      <c r="D470" s="238"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row>
    <row r="471">
      <c r="B471" s="242" t="n"/>
      <c r="C471" s="1" t="n"/>
      <c r="D471" s="238"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row>
    <row r="472">
      <c r="B472" s="242" t="n"/>
      <c r="C472" s="1" t="n"/>
      <c r="D472" s="238"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row>
    <row r="473">
      <c r="B473" s="242" t="n"/>
      <c r="C473" s="1" t="n"/>
      <c r="D473" s="238"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row>
    <row r="474">
      <c r="B474" s="242" t="n"/>
      <c r="C474" s="1" t="n"/>
      <c r="D474" s="238"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row>
    <row r="475">
      <c r="B475" s="242" t="n"/>
      <c r="C475" s="1" t="n"/>
      <c r="D475" s="238"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row>
    <row r="476">
      <c r="B476" s="242" t="n"/>
      <c r="C476" s="1" t="n"/>
      <c r="D476" s="238"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row>
    <row r="477">
      <c r="B477" s="242" t="n"/>
      <c r="C477" s="1" t="n"/>
      <c r="D477" s="238"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row>
    <row r="478">
      <c r="B478" s="242" t="n"/>
      <c r="C478" s="1" t="n"/>
      <c r="D478" s="238"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row>
    <row r="479">
      <c r="B479" s="242" t="n"/>
      <c r="C479" s="1" t="n"/>
      <c r="D479" s="238"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row>
    <row r="480">
      <c r="B480" s="242" t="n"/>
      <c r="C480" s="1" t="n"/>
      <c r="D480" s="238"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row>
    <row r="481">
      <c r="B481" s="242" t="n"/>
      <c r="C481" s="1" t="n"/>
      <c r="D481" s="238"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row>
    <row r="482">
      <c r="B482" s="242" t="n"/>
      <c r="C482" s="1" t="n"/>
      <c r="D482" s="238"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row>
    <row r="483">
      <c r="B483" s="242" t="n"/>
      <c r="C483" s="1" t="n"/>
      <c r="D483" s="238"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row>
    <row r="484">
      <c r="B484" s="242" t="n"/>
      <c r="C484" s="1" t="n"/>
      <c r="D484" s="238"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row>
    <row r="485">
      <c r="B485" s="242" t="n"/>
      <c r="C485" s="1" t="n"/>
      <c r="D485" s="238"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row>
    <row r="486">
      <c r="B486" s="242" t="n"/>
      <c r="C486" s="1" t="n"/>
      <c r="D486" s="238"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row>
    <row r="487">
      <c r="B487" s="242" t="n"/>
      <c r="C487" s="1" t="n"/>
      <c r="D487" s="238"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row>
    <row r="488">
      <c r="B488" s="242" t="n"/>
      <c r="C488" s="1" t="n"/>
      <c r="D488" s="238"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row>
    <row r="489">
      <c r="B489" s="242" t="n"/>
      <c r="C489" s="1" t="n"/>
      <c r="D489" s="238"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row>
    <row r="490">
      <c r="B490" s="242" t="n"/>
      <c r="C490" s="1" t="n"/>
      <c r="D490" s="238"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row>
    <row r="491">
      <c r="B491" s="242" t="n"/>
      <c r="C491" s="1" t="n"/>
      <c r="D491" s="238"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row>
    <row r="492">
      <c r="B492" s="242" t="n"/>
      <c r="C492" s="1" t="n"/>
      <c r="D492" s="238"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row>
    <row r="493">
      <c r="B493" s="242" t="n"/>
      <c r="C493" s="1" t="n"/>
      <c r="D493" s="238"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row>
    <row r="494">
      <c r="B494" s="242" t="n"/>
      <c r="C494" s="1" t="n"/>
      <c r="D494" s="238"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row>
    <row r="495">
      <c r="B495" s="242" t="n"/>
      <c r="C495" s="1" t="n"/>
      <c r="D495" s="238"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row>
    <row r="496">
      <c r="B496" s="242" t="n"/>
      <c r="C496" s="1" t="n"/>
      <c r="D496" s="238"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row>
    <row r="497">
      <c r="B497" s="242" t="n"/>
      <c r="C497" s="1" t="n"/>
      <c r="D497" s="238"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row>
    <row r="498">
      <c r="B498" s="242" t="n"/>
      <c r="C498" s="1" t="n"/>
      <c r="D498" s="238"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row>
    <row r="499">
      <c r="B499" s="242" t="n"/>
      <c r="C499" s="1" t="n"/>
      <c r="D499" s="238"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row>
    <row r="500">
      <c r="B500" s="242" t="n"/>
      <c r="C500" s="1" t="n"/>
      <c r="D500" s="238"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row>
    <row r="501">
      <c r="B501" s="242" t="n"/>
      <c r="C501" s="1" t="n"/>
      <c r="D501" s="238"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row>
    <row r="502">
      <c r="B502" s="242" t="n"/>
      <c r="C502" s="1" t="n"/>
      <c r="D502" s="238"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row>
    <row r="503">
      <c r="B503" s="242" t="n"/>
      <c r="C503" s="1" t="n"/>
      <c r="D503" s="238"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row>
    <row r="504">
      <c r="B504" s="242" t="n"/>
      <c r="C504" s="1" t="n"/>
      <c r="D504" s="238"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row>
    <row r="505">
      <c r="B505" s="242" t="n"/>
      <c r="C505" s="1" t="n"/>
      <c r="D505" s="238"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row>
    <row r="506">
      <c r="B506" s="242" t="n"/>
      <c r="C506" s="1" t="n"/>
      <c r="D506" s="238"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row>
    <row r="507">
      <c r="B507" s="242" t="n"/>
      <c r="C507" s="1" t="n"/>
      <c r="D507" s="238"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row>
    <row r="508">
      <c r="B508" s="242" t="n"/>
      <c r="C508" s="1" t="n"/>
      <c r="D508" s="238"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row>
    <row r="509">
      <c r="B509" s="242" t="n"/>
      <c r="C509" s="1" t="n"/>
      <c r="D509" s="238"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row>
    <row r="510">
      <c r="B510" s="242" t="n"/>
      <c r="C510" s="1" t="n"/>
      <c r="D510" s="238"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row>
    <row r="511">
      <c r="B511" s="242" t="n"/>
      <c r="C511" s="1" t="n"/>
      <c r="D511" s="238"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row>
    <row r="512">
      <c r="B512" s="242" t="n"/>
      <c r="C512" s="1" t="n"/>
      <c r="D512" s="238"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row>
    <row r="513">
      <c r="B513" s="242" t="n"/>
      <c r="C513" s="1" t="n"/>
      <c r="D513" s="238"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row>
    <row r="514">
      <c r="B514" s="242" t="n"/>
      <c r="C514" s="1" t="n"/>
      <c r="D514" s="238"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row>
    <row r="515">
      <c r="B515" s="242" t="n"/>
      <c r="C515" s="1" t="n"/>
      <c r="D515" s="238"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row>
    <row r="516">
      <c r="B516" s="242" t="n"/>
      <c r="C516" s="1" t="n"/>
      <c r="D516" s="238"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row>
    <row r="517">
      <c r="B517" s="242" t="n"/>
      <c r="C517" s="1" t="n"/>
      <c r="D517" s="238"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row>
    <row r="518">
      <c r="B518" s="242" t="n"/>
      <c r="C518" s="1" t="n"/>
      <c r="D518" s="238"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row>
    <row r="519">
      <c r="B519" s="242" t="n"/>
      <c r="C519" s="1" t="n"/>
      <c r="D519" s="238"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row>
    <row r="520">
      <c r="B520" s="242" t="n"/>
      <c r="C520" s="1" t="n"/>
      <c r="D520" s="238"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row>
    <row r="521">
      <c r="B521" s="242" t="n"/>
      <c r="C521" s="1" t="n"/>
      <c r="D521" s="238"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row>
    <row r="522">
      <c r="B522" s="242" t="n"/>
      <c r="C522" s="1" t="n"/>
      <c r="D522" s="238"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row>
    <row r="523">
      <c r="B523" s="242" t="n"/>
      <c r="C523" s="1" t="n"/>
      <c r="D523" s="238"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row>
    <row r="524">
      <c r="B524" s="242" t="n"/>
      <c r="C524" s="1" t="n"/>
      <c r="D524" s="238"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row>
    <row r="525">
      <c r="B525" s="242" t="n"/>
      <c r="C525" s="1" t="n"/>
      <c r="D525" s="238"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row>
    <row r="526">
      <c r="B526" s="242" t="n"/>
      <c r="C526" s="1" t="n"/>
      <c r="D526" s="238"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row>
    <row r="527">
      <c r="B527" s="242" t="n"/>
      <c r="C527" s="1" t="n"/>
      <c r="D527" s="238"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row>
    <row r="528">
      <c r="B528" s="242" t="n"/>
      <c r="C528" s="1" t="n"/>
      <c r="D528" s="238"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row>
    <row r="529">
      <c r="B529" s="242" t="n"/>
      <c r="C529" s="1" t="n"/>
      <c r="D529" s="238"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row>
    <row r="530">
      <c r="B530" s="242" t="n"/>
      <c r="C530" s="1" t="n"/>
      <c r="D530" s="238"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row>
    <row r="531">
      <c r="B531" s="242" t="n"/>
      <c r="C531" s="1" t="n"/>
      <c r="D531" s="238"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row>
    <row r="532">
      <c r="B532" s="242" t="n"/>
      <c r="C532" s="1" t="n"/>
      <c r="D532" s="238"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row>
    <row r="533">
      <c r="B533" s="242" t="n"/>
      <c r="C533" s="1" t="n"/>
      <c r="D533" s="238"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row>
    <row r="534">
      <c r="B534" s="242" t="n"/>
      <c r="C534" s="1" t="n"/>
      <c r="D534" s="238"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row>
    <row r="535">
      <c r="B535" s="242" t="n"/>
      <c r="C535" s="1" t="n"/>
      <c r="D535" s="238"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row>
    <row r="536">
      <c r="B536" s="242" t="n"/>
      <c r="C536" s="1" t="n"/>
      <c r="D536" s="238"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row>
    <row r="537">
      <c r="B537" s="242" t="n"/>
      <c r="C537" s="1" t="n"/>
      <c r="D537" s="238"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row>
    <row r="538">
      <c r="B538" s="242" t="n"/>
      <c r="C538" s="1" t="n"/>
      <c r="D538" s="238"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row>
    <row r="539">
      <c r="B539" s="242" t="n"/>
      <c r="C539" s="1" t="n"/>
      <c r="D539" s="238"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row>
    <row r="540">
      <c r="B540" s="242" t="n"/>
      <c r="C540" s="1" t="n"/>
      <c r="D540" s="238"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row>
    <row r="541">
      <c r="B541" s="242" t="n"/>
      <c r="C541" s="1" t="n"/>
      <c r="D541" s="238"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row>
    <row r="542">
      <c r="B542" s="242" t="n"/>
      <c r="C542" s="1" t="n"/>
      <c r="D542" s="238"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row>
    <row r="543">
      <c r="B543" s="242" t="n"/>
      <c r="C543" s="1" t="n"/>
      <c r="D543" s="238"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row>
    <row r="544">
      <c r="B544" s="242" t="n"/>
      <c r="C544" s="1" t="n"/>
      <c r="D544" s="238"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row>
    <row r="545">
      <c r="B545" s="242" t="n"/>
      <c r="C545" s="1" t="n"/>
      <c r="D545" s="238"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row>
    <row r="546">
      <c r="B546" s="242" t="n"/>
      <c r="C546" s="1" t="n"/>
      <c r="D546" s="238"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row>
    <row r="547">
      <c r="B547" s="242" t="n"/>
      <c r="C547" s="1" t="n"/>
      <c r="D547" s="238"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row>
    <row r="548">
      <c r="B548" s="242" t="n"/>
      <c r="C548" s="1" t="n"/>
      <c r="D548" s="238"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row>
    <row r="549">
      <c r="B549" s="242" t="n"/>
      <c r="C549" s="1" t="n"/>
      <c r="D549" s="238"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row>
    <row r="550">
      <c r="B550" s="242" t="n"/>
      <c r="C550" s="1" t="n"/>
      <c r="D550" s="238"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row>
    <row r="551">
      <c r="B551" s="242" t="n"/>
      <c r="C551" s="1" t="n"/>
      <c r="D551" s="238"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row>
    <row r="552">
      <c r="B552" s="242" t="n"/>
      <c r="C552" s="1" t="n"/>
      <c r="D552" s="238"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row>
    <row r="553">
      <c r="B553" s="242" t="n"/>
      <c r="C553" s="1" t="n"/>
      <c r="D553" s="238"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row>
    <row r="554">
      <c r="B554" s="242" t="n"/>
      <c r="C554" s="1" t="n"/>
      <c r="D554" s="238"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row>
    <row r="555">
      <c r="B555" s="242" t="n"/>
      <c r="C555" s="1" t="n"/>
      <c r="D555" s="238"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row>
    <row r="556">
      <c r="B556" s="242" t="n"/>
      <c r="C556" s="1" t="n"/>
      <c r="D556" s="238"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row>
    <row r="557">
      <c r="B557" s="242" t="n"/>
      <c r="C557" s="1" t="n"/>
      <c r="D557" s="238"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row>
    <row r="558">
      <c r="B558" s="242" t="n"/>
      <c r="C558" s="1" t="n"/>
      <c r="D558" s="238"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row>
    <row r="559">
      <c r="B559" s="242" t="n"/>
      <c r="C559" s="1" t="n"/>
      <c r="D559" s="238"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row>
    <row r="560">
      <c r="B560" s="242" t="n"/>
      <c r="C560" s="1" t="n"/>
      <c r="D560" s="238"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row>
    <row r="561">
      <c r="B561" s="242" t="n"/>
      <c r="C561" s="1" t="n"/>
      <c r="D561" s="238"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row>
    <row r="562">
      <c r="B562" s="242" t="n"/>
      <c r="C562" s="1" t="n"/>
      <c r="D562" s="238"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row>
    <row r="563">
      <c r="B563" s="242" t="n"/>
      <c r="C563" s="1" t="n"/>
      <c r="D563" s="238"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row>
    <row r="564">
      <c r="B564" s="242" t="n"/>
      <c r="C564" s="1" t="n"/>
      <c r="D564" s="238"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row>
    <row r="565">
      <c r="B565" s="242" t="n"/>
      <c r="C565" s="1" t="n"/>
      <c r="D565" s="238"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row>
    <row r="566">
      <c r="B566" s="242" t="n"/>
      <c r="C566" s="1" t="n"/>
      <c r="D566" s="238"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row>
    <row r="567">
      <c r="B567" s="242" t="n"/>
      <c r="C567" s="1" t="n"/>
      <c r="D567" s="238"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row>
    <row r="568">
      <c r="B568" s="242" t="n"/>
      <c r="C568" s="1" t="n"/>
      <c r="D568" s="238"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row>
    <row r="569">
      <c r="B569" s="242" t="n"/>
      <c r="C569" s="1" t="n"/>
      <c r="D569" s="238"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row>
    <row r="570">
      <c r="B570" s="242" t="n"/>
      <c r="C570" s="1" t="n"/>
      <c r="D570" s="238"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row>
    <row r="571">
      <c r="B571" s="242" t="n"/>
      <c r="C571" s="1" t="n"/>
      <c r="D571" s="238"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row>
    <row r="572">
      <c r="B572" s="242" t="n"/>
      <c r="C572" s="1" t="n"/>
      <c r="D572" s="238"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row>
    <row r="573">
      <c r="B573" s="242" t="n"/>
      <c r="C573" s="1" t="n"/>
      <c r="D573" s="238"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row>
    <row r="574">
      <c r="B574" s="242" t="n"/>
      <c r="C574" s="1" t="n"/>
      <c r="D574" s="238"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row>
    <row r="575">
      <c r="B575" s="242" t="n"/>
      <c r="C575" s="1" t="n"/>
      <c r="D575" s="238"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row>
    <row r="576">
      <c r="B576" s="242" t="n"/>
      <c r="C576" s="1" t="n"/>
      <c r="D576" s="238"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row>
    <row r="577">
      <c r="B577" s="242" t="n"/>
      <c r="C577" s="1" t="n"/>
      <c r="D577" s="238"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row>
    <row r="578">
      <c r="B578" s="242" t="n"/>
      <c r="C578" s="1" t="n"/>
      <c r="D578" s="238"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row>
    <row r="579">
      <c r="B579" s="242" t="n"/>
      <c r="C579" s="1" t="n"/>
      <c r="D579" s="238"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row>
    <row r="580">
      <c r="B580" s="242" t="n"/>
      <c r="C580" s="1" t="n"/>
      <c r="D580" s="238"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row>
    <row r="581">
      <c r="B581" s="242" t="n"/>
      <c r="C581" s="1" t="n"/>
      <c r="D581" s="238"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row>
    <row r="582">
      <c r="B582" s="242" t="n"/>
      <c r="C582" s="1" t="n"/>
      <c r="D582" s="238"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row>
    <row r="583">
      <c r="B583" s="242" t="n"/>
      <c r="C583" s="1" t="n"/>
      <c r="D583" s="238"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row>
    <row r="584">
      <c r="B584" s="242" t="n"/>
      <c r="C584" s="1" t="n"/>
      <c r="D584" s="238"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row>
    <row r="585">
      <c r="B585" s="242" t="n"/>
      <c r="C585" s="1" t="n"/>
      <c r="D585" s="238"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row>
    <row r="586">
      <c r="B586" s="242" t="n"/>
      <c r="C586" s="1" t="n"/>
      <c r="D586" s="238"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row>
    <row r="587">
      <c r="B587" s="242" t="n"/>
      <c r="C587" s="1" t="n"/>
      <c r="D587" s="238"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row>
    <row r="588">
      <c r="B588" s="242" t="n"/>
      <c r="C588" s="1" t="n"/>
      <c r="D588" s="238"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row>
    <row r="589">
      <c r="B589" s="242" t="n"/>
      <c r="C589" s="1" t="n"/>
      <c r="D589" s="238"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row>
    <row r="590">
      <c r="B590" s="242" t="n"/>
      <c r="C590" s="1" t="n"/>
      <c r="D590" s="238"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row>
    <row r="591">
      <c r="B591" s="242" t="n"/>
      <c r="C591" s="1" t="n"/>
      <c r="D591" s="238"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row>
    <row r="592">
      <c r="B592" s="242" t="n"/>
      <c r="C592" s="1" t="n"/>
      <c r="D592" s="238"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row>
    <row r="593">
      <c r="B593" s="242" t="n"/>
      <c r="C593" s="1" t="n"/>
      <c r="D593" s="238"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row>
    <row r="594">
      <c r="B594" s="242" t="n"/>
      <c r="C594" s="1" t="n"/>
      <c r="D594" s="238"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row>
    <row r="595">
      <c r="B595" s="242" t="n"/>
      <c r="C595" s="1" t="n"/>
      <c r="D595" s="238"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row>
    <row r="596">
      <c r="B596" s="242" t="n"/>
      <c r="C596" s="1" t="n"/>
      <c r="D596" s="238"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row>
    <row r="597">
      <c r="B597" s="242" t="n"/>
      <c r="C597" s="1" t="n"/>
      <c r="D597" s="238"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row>
    <row r="598">
      <c r="B598" s="242" t="n"/>
      <c r="C598" s="1" t="n"/>
      <c r="D598" s="238"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row>
    <row r="599">
      <c r="B599" s="242" t="n"/>
      <c r="C599" s="1" t="n"/>
      <c r="D599" s="238"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row>
    <row r="600">
      <c r="B600" s="242" t="n"/>
      <c r="C600" s="1" t="n"/>
      <c r="D600" s="238"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row>
    <row r="601">
      <c r="B601" s="242" t="n"/>
      <c r="C601" s="1" t="n"/>
      <c r="D601" s="238"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row>
    <row r="602">
      <c r="B602" s="242" t="n"/>
      <c r="C602" s="1" t="n"/>
      <c r="D602" s="238"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row>
    <row r="603">
      <c r="B603" s="242" t="n"/>
      <c r="C603" s="1" t="n"/>
      <c r="D603" s="238"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row>
    <row r="604">
      <c r="B604" s="242" t="n"/>
      <c r="C604" s="1" t="n"/>
      <c r="D604" s="238"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row>
    <row r="605">
      <c r="B605" s="242" t="n"/>
      <c r="C605" s="1" t="n"/>
      <c r="D605" s="238"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row>
    <row r="606">
      <c r="B606" s="242" t="n"/>
      <c r="C606" s="1" t="n"/>
      <c r="D606" s="238"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row>
    <row r="607">
      <c r="B607" s="242" t="n"/>
      <c r="C607" s="1" t="n"/>
      <c r="D607" s="238"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row>
    <row r="608">
      <c r="B608" s="242" t="n"/>
      <c r="C608" s="1" t="n"/>
      <c r="D608" s="238"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row>
    <row r="609">
      <c r="B609" s="242" t="n"/>
      <c r="C609" s="1" t="n"/>
      <c r="D609" s="238"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row>
    <row r="610">
      <c r="B610" s="242" t="n"/>
      <c r="C610" s="1" t="n"/>
      <c r="D610" s="238"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row>
    <row r="611">
      <c r="B611" s="242" t="n"/>
      <c r="C611" s="1" t="n"/>
      <c r="D611" s="238"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row>
    <row r="612">
      <c r="B612" s="242" t="n"/>
      <c r="C612" s="1" t="n"/>
      <c r="D612" s="238"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row>
    <row r="613">
      <c r="B613" s="242" t="n"/>
      <c r="C613" s="1" t="n"/>
      <c r="D613" s="238"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row>
    <row r="614">
      <c r="B614" s="242" t="n"/>
      <c r="C614" s="1" t="n"/>
      <c r="D614" s="238"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row>
    <row r="615">
      <c r="B615" s="242" t="n"/>
      <c r="C615" s="1" t="n"/>
      <c r="D615" s="238"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row>
    <row r="616">
      <c r="B616" s="242" t="n"/>
      <c r="C616" s="1" t="n"/>
      <c r="D616" s="238"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row>
    <row r="617">
      <c r="B617" s="242" t="n"/>
      <c r="C617" s="1" t="n"/>
      <c r="D617" s="238"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row>
    <row r="618">
      <c r="B618" s="242" t="n"/>
      <c r="C618" s="1" t="n"/>
      <c r="D618" s="238"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row>
    <row r="619">
      <c r="B619" s="242" t="n"/>
      <c r="C619" s="1" t="n"/>
      <c r="D619" s="238"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row>
    <row r="620">
      <c r="B620" s="242" t="n"/>
      <c r="C620" s="1" t="n"/>
      <c r="D620" s="238"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row>
    <row r="621">
      <c r="B621" s="242" t="n"/>
      <c r="C621" s="1" t="n"/>
      <c r="D621" s="238"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row>
    <row r="622">
      <c r="B622" s="242" t="n"/>
      <c r="C622" s="1" t="n"/>
      <c r="D622" s="238"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row>
    <row r="623">
      <c r="B623" s="242" t="n"/>
      <c r="C623" s="1" t="n"/>
      <c r="D623" s="238"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row>
    <row r="624">
      <c r="B624" s="242" t="n"/>
      <c r="C624" s="1" t="n"/>
      <c r="D624" s="238"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row>
    <row r="625">
      <c r="B625" s="242" t="n"/>
      <c r="C625" s="1" t="n"/>
      <c r="D625" s="238"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row>
    <row r="626">
      <c r="B626" s="242" t="n"/>
      <c r="C626" s="1" t="n"/>
      <c r="D626" s="238"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row>
    <row r="627">
      <c r="B627" s="242" t="n"/>
      <c r="C627" s="1" t="n"/>
      <c r="D627" s="238"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row>
    <row r="628">
      <c r="B628" s="242" t="n"/>
      <c r="C628" s="1" t="n"/>
      <c r="D628" s="238"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row>
    <row r="629">
      <c r="B629" s="242" t="n"/>
      <c r="C629" s="1" t="n"/>
      <c r="D629" s="238"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row>
    <row r="630">
      <c r="B630" s="242" t="n"/>
      <c r="C630" s="1" t="n"/>
      <c r="D630" s="238"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row>
    <row r="631">
      <c r="B631" s="242" t="n"/>
      <c r="C631" s="1" t="n"/>
      <c r="D631" s="238"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row>
    <row r="632">
      <c r="B632" s="242" t="n"/>
      <c r="C632" s="1" t="n"/>
      <c r="D632" s="238"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row>
    <row r="633">
      <c r="B633" s="242" t="n"/>
      <c r="C633" s="1" t="n"/>
      <c r="D633" s="238"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row>
    <row r="634">
      <c r="B634" s="242" t="n"/>
      <c r="C634" s="1" t="n"/>
      <c r="D634" s="238"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row>
    <row r="635">
      <c r="B635" s="242" t="n"/>
      <c r="C635" s="1" t="n"/>
      <c r="D635" s="238"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row>
    <row r="636">
      <c r="B636" s="242" t="n"/>
      <c r="C636" s="1" t="n"/>
      <c r="D636" s="238"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row>
    <row r="637">
      <c r="B637" s="242" t="n"/>
      <c r="C637" s="1" t="n"/>
      <c r="D637" s="238"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row>
    <row r="638">
      <c r="B638" s="242" t="n"/>
      <c r="C638" s="1" t="n"/>
      <c r="D638" s="238"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row>
    <row r="639">
      <c r="B639" s="242" t="n"/>
      <c r="C639" s="1" t="n"/>
      <c r="D639" s="238"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row>
    <row r="640">
      <c r="B640" s="242" t="n"/>
      <c r="C640" s="1" t="n"/>
      <c r="D640" s="238"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row>
    <row r="641">
      <c r="B641" s="242" t="n"/>
      <c r="C641" s="1" t="n"/>
      <c r="D641" s="238"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row>
    <row r="642">
      <c r="B642" s="242" t="n"/>
      <c r="C642" s="1" t="n"/>
      <c r="D642" s="238"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row>
    <row r="643">
      <c r="B643" s="242" t="n"/>
      <c r="C643" s="1" t="n"/>
      <c r="D643" s="238"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row>
    <row r="644">
      <c r="B644" s="242" t="n"/>
      <c r="C644" s="1" t="n"/>
      <c r="D644" s="238"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row>
    <row r="645">
      <c r="B645" s="242" t="n"/>
      <c r="C645" s="1" t="n"/>
      <c r="D645" s="238"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row>
    <row r="646">
      <c r="B646" s="242" t="n"/>
      <c r="C646" s="1" t="n"/>
      <c r="D646" s="238"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row>
    <row r="647">
      <c r="B647" s="242" t="n"/>
      <c r="C647" s="1" t="n"/>
      <c r="D647" s="238"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row>
    <row r="648">
      <c r="B648" s="242" t="n"/>
      <c r="C648" s="1" t="n"/>
      <c r="D648" s="238"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row>
    <row r="649">
      <c r="B649" s="242" t="n"/>
      <c r="C649" s="1" t="n"/>
      <c r="D649" s="238"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row>
    <row r="650">
      <c r="B650" s="242" t="n"/>
      <c r="C650" s="1" t="n"/>
      <c r="D650" s="238"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row>
    <row r="651">
      <c r="B651" s="242" t="n"/>
      <c r="C651" s="1" t="n"/>
      <c r="D651" s="238"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row>
    <row r="652">
      <c r="B652" s="242" t="n"/>
      <c r="C652" s="1" t="n"/>
      <c r="D652" s="238"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row>
    <row r="653">
      <c r="B653" s="242" t="n"/>
      <c r="C653" s="1" t="n"/>
      <c r="D653" s="238"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row>
    <row r="654">
      <c r="B654" s="242" t="n"/>
      <c r="C654" s="1" t="n"/>
      <c r="D654" s="238"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row>
    <row r="655">
      <c r="B655" s="242" t="n"/>
      <c r="C655" s="1" t="n"/>
      <c r="D655" s="238"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row>
    <row r="656">
      <c r="B656" s="242" t="n"/>
      <c r="C656" s="1" t="n"/>
      <c r="D656" s="238"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row>
    <row r="657">
      <c r="B657" s="242" t="n"/>
      <c r="C657" s="1" t="n"/>
      <c r="D657" s="238"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row>
    <row r="658">
      <c r="B658" s="242" t="n"/>
      <c r="C658" s="1" t="n"/>
      <c r="D658" s="238"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row>
    <row r="659">
      <c r="B659" s="242" t="n"/>
      <c r="C659" s="1" t="n"/>
      <c r="D659" s="238"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row>
    <row r="660">
      <c r="B660" s="242" t="n"/>
      <c r="C660" s="1" t="n"/>
      <c r="D660" s="238"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row>
    <row r="661">
      <c r="B661" s="242" t="n"/>
      <c r="C661" s="1" t="n"/>
      <c r="D661" s="238"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row>
    <row r="662">
      <c r="B662" s="242" t="n"/>
      <c r="C662" s="1" t="n"/>
      <c r="D662" s="238"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row>
    <row r="663">
      <c r="B663" s="242" t="n"/>
      <c r="C663" s="1" t="n"/>
      <c r="D663" s="238"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row>
    <row r="664">
      <c r="B664" s="242" t="n"/>
      <c r="C664" s="1" t="n"/>
      <c r="D664" s="238"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row>
    <row r="665">
      <c r="B665" s="242" t="n"/>
      <c r="C665" s="1" t="n"/>
      <c r="D665" s="238"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row>
    <row r="666">
      <c r="B666" s="242" t="n"/>
      <c r="C666" s="1" t="n"/>
      <c r="D666" s="238"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row>
    <row r="667">
      <c r="B667" s="242" t="n"/>
      <c r="C667" s="1" t="n"/>
      <c r="D667" s="238"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row>
    <row r="668">
      <c r="B668" s="242" t="n"/>
      <c r="C668" s="1" t="n"/>
      <c r="D668" s="238"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row>
    <row r="669">
      <c r="B669" s="242" t="n"/>
      <c r="C669" s="1" t="n"/>
      <c r="D669" s="238"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row>
    <row r="670">
      <c r="B670" s="242" t="n"/>
      <c r="C670" s="1" t="n"/>
      <c r="D670" s="238"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row>
    <row r="671">
      <c r="B671" s="242" t="n"/>
      <c r="C671" s="1" t="n"/>
      <c r="D671" s="238"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row>
    <row r="672">
      <c r="B672" s="242" t="n"/>
      <c r="C672" s="1" t="n"/>
      <c r="D672" s="238"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row>
    <row r="673">
      <c r="B673" s="242" t="n"/>
      <c r="C673" s="1" t="n"/>
      <c r="D673" s="238"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row>
    <row r="674">
      <c r="B674" s="242" t="n"/>
      <c r="C674" s="1" t="n"/>
      <c r="D674" s="238"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row>
    <row r="675">
      <c r="B675" s="242" t="n"/>
      <c r="C675" s="1" t="n"/>
      <c r="D675" s="238"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row>
    <row r="676">
      <c r="B676" s="242" t="n"/>
      <c r="C676" s="1" t="n"/>
      <c r="D676" s="238"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row>
    <row r="677">
      <c r="B677" s="242" t="n"/>
      <c r="C677" s="1" t="n"/>
      <c r="D677" s="238"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row>
    <row r="678">
      <c r="B678" s="242" t="n"/>
      <c r="C678" s="1" t="n"/>
      <c r="D678" s="238"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row>
    <row r="679">
      <c r="B679" s="242" t="n"/>
      <c r="C679" s="1" t="n"/>
      <c r="D679" s="238"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row>
    <row r="680">
      <c r="B680" s="242" t="n"/>
      <c r="C680" s="1" t="n"/>
      <c r="D680" s="238"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row>
    <row r="681">
      <c r="B681" s="242" t="n"/>
      <c r="C681" s="1" t="n"/>
      <c r="D681" s="238"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row>
    <row r="682">
      <c r="B682" s="242" t="n"/>
      <c r="C682" s="1" t="n"/>
      <c r="D682" s="238"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row>
    <row r="683">
      <c r="B683" s="242" t="n"/>
      <c r="C683" s="1" t="n"/>
      <c r="D683" s="238"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row>
    <row r="684">
      <c r="B684" s="242" t="n"/>
      <c r="C684" s="1" t="n"/>
      <c r="D684" s="238"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row>
    <row r="685">
      <c r="B685" s="242" t="n"/>
      <c r="C685" s="1" t="n"/>
      <c r="D685" s="238"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row>
    <row r="686">
      <c r="B686" s="242" t="n"/>
      <c r="C686" s="1" t="n"/>
      <c r="D686" s="238"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row>
    <row r="687">
      <c r="B687" s="242" t="n"/>
      <c r="C687" s="1" t="n"/>
      <c r="D687" s="238"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row>
    <row r="688">
      <c r="B688" s="242" t="n"/>
      <c r="C688" s="1" t="n"/>
      <c r="D688" s="238"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row>
    <row r="689">
      <c r="B689" s="242" t="n"/>
      <c r="C689" s="1" t="n"/>
      <c r="D689" s="238"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row>
    <row r="690">
      <c r="B690" s="242" t="n"/>
      <c r="C690" s="1" t="n"/>
      <c r="D690" s="238"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row>
    <row r="691">
      <c r="B691" s="242" t="n"/>
      <c r="C691" s="1" t="n"/>
      <c r="D691" s="238"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row>
    <row r="692">
      <c r="B692" s="242" t="n"/>
      <c r="C692" s="1" t="n"/>
      <c r="D692" s="238"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row>
    <row r="693">
      <c r="B693" s="242" t="n"/>
      <c r="C693" s="1" t="n"/>
      <c r="D693" s="238"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row>
    <row r="694">
      <c r="B694" s="242" t="n"/>
      <c r="C694" s="1" t="n"/>
      <c r="D694" s="238"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row>
    <row r="695">
      <c r="B695" s="242" t="n"/>
      <c r="C695" s="1" t="n"/>
      <c r="D695" s="238"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row>
    <row r="696">
      <c r="B696" s="242" t="n"/>
      <c r="C696" s="1" t="n"/>
      <c r="D696" s="238"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row>
    <row r="697">
      <c r="B697" s="242" t="n"/>
      <c r="C697" s="1" t="n"/>
      <c r="D697" s="238"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row>
    <row r="698">
      <c r="B698" s="242" t="n"/>
      <c r="C698" s="1" t="n"/>
      <c r="D698" s="238"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row>
    <row r="699">
      <c r="B699" s="242" t="n"/>
      <c r="C699" s="1" t="n"/>
      <c r="D699" s="238"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row>
    <row r="700">
      <c r="B700" s="242" t="n"/>
      <c r="C700" s="1" t="n"/>
      <c r="D700" s="238"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row>
    <row r="701">
      <c r="B701" s="242" t="n"/>
      <c r="C701" s="1" t="n"/>
      <c r="D701" s="238"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row>
    <row r="702">
      <c r="B702" s="242" t="n"/>
      <c r="C702" s="1" t="n"/>
      <c r="D702" s="238"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row>
    <row r="703">
      <c r="B703" s="242" t="n"/>
      <c r="C703" s="1" t="n"/>
      <c r="D703" s="238"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row>
    <row r="704">
      <c r="B704" s="242" t="n"/>
      <c r="C704" s="1" t="n"/>
      <c r="D704" s="238"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row>
    <row r="705">
      <c r="B705" s="242" t="n"/>
      <c r="C705" s="1" t="n"/>
      <c r="D705" s="238"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row>
    <row r="706">
      <c r="B706" s="242" t="n"/>
      <c r="C706" s="1" t="n"/>
      <c r="D706" s="238"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row>
    <row r="707">
      <c r="B707" s="242" t="n"/>
      <c r="C707" s="1" t="n"/>
      <c r="D707" s="238"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row>
    <row r="708">
      <c r="B708" s="242" t="n"/>
      <c r="C708" s="1" t="n"/>
      <c r="D708" s="238"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row>
    <row r="709">
      <c r="B709" s="242" t="n"/>
      <c r="C709" s="1" t="n"/>
      <c r="D709" s="238"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row>
    <row r="710">
      <c r="B710" s="242" t="n"/>
      <c r="C710" s="1" t="n"/>
      <c r="D710" s="238"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row>
    <row r="711">
      <c r="B711" s="242" t="n"/>
      <c r="C711" s="1" t="n"/>
      <c r="D711" s="238"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row>
    <row r="712">
      <c r="B712" s="242" t="n"/>
      <c r="C712" s="1" t="n"/>
      <c r="D712" s="238"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row>
    <row r="713">
      <c r="B713" s="242" t="n"/>
      <c r="C713" s="1" t="n"/>
      <c r="D713" s="238"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row>
    <row r="714">
      <c r="B714" s="242" t="n"/>
      <c r="C714" s="1" t="n"/>
      <c r="D714" s="238"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row>
    <row r="715">
      <c r="B715" s="242" t="n"/>
      <c r="C715" s="1" t="n"/>
      <c r="D715" s="238"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row>
    <row r="716">
      <c r="B716" s="242" t="n"/>
      <c r="C716" s="1" t="n"/>
      <c r="D716" s="238"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row>
    <row r="717">
      <c r="B717" s="242" t="n"/>
      <c r="C717" s="1" t="n"/>
      <c r="D717" s="238"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row>
    <row r="718">
      <c r="B718" s="242" t="n"/>
      <c r="C718" s="1" t="n"/>
      <c r="D718" s="238"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row>
    <row r="719">
      <c r="B719" s="242" t="n"/>
      <c r="C719" s="1" t="n"/>
      <c r="D719" s="238"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row>
    <row r="720">
      <c r="B720" s="242" t="n"/>
      <c r="C720" s="1" t="n"/>
      <c r="D720" s="238"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row>
    <row r="721">
      <c r="B721" s="242" t="n"/>
      <c r="C721" s="1" t="n"/>
      <c r="D721" s="238"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row>
    <row r="722">
      <c r="B722" s="242" t="n"/>
      <c r="C722" s="1" t="n"/>
      <c r="D722" s="238"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row>
    <row r="723">
      <c r="B723" s="242" t="n"/>
      <c r="C723" s="1" t="n"/>
      <c r="D723" s="238"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row>
    <row r="724">
      <c r="B724" s="242" t="n"/>
      <c r="C724" s="1" t="n"/>
      <c r="D724" s="238"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row>
    <row r="725">
      <c r="B725" s="242" t="n"/>
      <c r="C725" s="1" t="n"/>
      <c r="D725" s="238"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row>
    <row r="726">
      <c r="B726" s="242" t="n"/>
      <c r="C726" s="1" t="n"/>
      <c r="D726" s="238"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row>
    <row r="727">
      <c r="B727" s="242" t="n"/>
      <c r="C727" s="1" t="n"/>
      <c r="D727" s="238"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row>
    <row r="728">
      <c r="B728" s="242" t="n"/>
      <c r="C728" s="1" t="n"/>
      <c r="D728" s="238"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row>
    <row r="729">
      <c r="B729" s="242" t="n"/>
      <c r="C729" s="1" t="n"/>
      <c r="D729" s="238"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row>
    <row r="730">
      <c r="B730" s="242" t="n"/>
      <c r="C730" s="1" t="n"/>
      <c r="D730" s="238"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row>
    <row r="731">
      <c r="B731" s="242" t="n"/>
      <c r="C731" s="1" t="n"/>
      <c r="D731" s="238"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row>
    <row r="732">
      <c r="B732" s="242" t="n"/>
      <c r="C732" s="1" t="n"/>
      <c r="D732" s="238"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row>
    <row r="733">
      <c r="B733" s="242" t="n"/>
      <c r="C733" s="1" t="n"/>
      <c r="D733" s="238"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row>
    <row r="734">
      <c r="B734" s="242" t="n"/>
      <c r="C734" s="1" t="n"/>
      <c r="D734" s="238"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row>
    <row r="735">
      <c r="B735" s="242" t="n"/>
      <c r="C735" s="1" t="n"/>
      <c r="D735" s="238"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row>
    <row r="736">
      <c r="B736" s="242" t="n"/>
      <c r="C736" s="1" t="n"/>
      <c r="D736" s="238"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row>
    <row r="737">
      <c r="B737" s="242" t="n"/>
      <c r="C737" s="1" t="n"/>
      <c r="D737" s="238"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row>
    <row r="738">
      <c r="B738" s="242" t="n"/>
      <c r="C738" s="1" t="n"/>
      <c r="D738" s="238"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row>
    <row r="739">
      <c r="B739" s="242" t="n"/>
      <c r="C739" s="1" t="n"/>
      <c r="D739" s="238"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row>
    <row r="740">
      <c r="B740" s="242" t="n"/>
      <c r="C740" s="1" t="n"/>
      <c r="D740" s="238"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row>
    <row r="741">
      <c r="B741" s="242" t="n"/>
      <c r="C741" s="1" t="n"/>
      <c r="D741" s="238"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row>
    <row r="742">
      <c r="B742" s="242" t="n"/>
      <c r="C742" s="1" t="n"/>
      <c r="D742" s="238"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row>
    <row r="743">
      <c r="B743" s="242" t="n"/>
      <c r="C743" s="1" t="n"/>
      <c r="D743" s="238"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row>
    <row r="744">
      <c r="B744" s="242" t="n"/>
      <c r="C744" s="1" t="n"/>
      <c r="D744" s="238"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row>
    <row r="745">
      <c r="B745" s="242" t="n"/>
      <c r="C745" s="1" t="n"/>
      <c r="D745" s="238"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row>
    <row r="746">
      <c r="B746" s="242" t="n"/>
      <c r="C746" s="1" t="n"/>
      <c r="D746" s="238"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row>
    <row r="747">
      <c r="B747" s="242" t="n"/>
      <c r="C747" s="1" t="n"/>
      <c r="D747" s="238"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row>
    <row r="748">
      <c r="B748" s="242" t="n"/>
      <c r="C748" s="1" t="n"/>
      <c r="D748" s="238"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row>
    <row r="749">
      <c r="B749" s="242" t="n"/>
      <c r="C749" s="1" t="n"/>
      <c r="D749" s="238"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row>
    <row r="750">
      <c r="B750" s="242" t="n"/>
      <c r="C750" s="1" t="n"/>
      <c r="D750" s="238"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row>
    <row r="751">
      <c r="B751" s="242" t="n"/>
      <c r="C751" s="1" t="n"/>
      <c r="D751" s="238"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row>
    <row r="752">
      <c r="B752" s="242" t="n"/>
      <c r="C752" s="1" t="n"/>
      <c r="D752" s="238"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row>
    <row r="753">
      <c r="B753" s="242" t="n"/>
      <c r="C753" s="1" t="n"/>
      <c r="D753" s="238"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row>
    <row r="754">
      <c r="B754" s="242" t="n"/>
      <c r="C754" s="1" t="n"/>
      <c r="D754" s="238"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row>
    <row r="755">
      <c r="B755" s="242" t="n"/>
      <c r="C755" s="1" t="n"/>
      <c r="D755" s="238"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row>
    <row r="756">
      <c r="B756" s="242" t="n"/>
      <c r="C756" s="1" t="n"/>
      <c r="D756" s="238"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row>
    <row r="757">
      <c r="B757" s="242" t="n"/>
      <c r="C757" s="1" t="n"/>
      <c r="D757" s="238"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row>
    <row r="758">
      <c r="B758" s="242" t="n"/>
      <c r="C758" s="1" t="n"/>
      <c r="D758" s="238"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row>
    <row r="759">
      <c r="B759" s="242" t="n"/>
      <c r="C759" s="1" t="n"/>
      <c r="D759" s="238"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row>
    <row r="760">
      <c r="B760" s="242" t="n"/>
      <c r="C760" s="1" t="n"/>
      <c r="D760" s="238"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row>
    <row r="761">
      <c r="B761" s="242" t="n"/>
      <c r="C761" s="1" t="n"/>
      <c r="D761" s="238"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row>
    <row r="762">
      <c r="B762" s="242" t="n"/>
      <c r="C762" s="1" t="n"/>
      <c r="D762" s="238"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row>
    <row r="763">
      <c r="B763" s="242" t="n"/>
      <c r="C763" s="1" t="n"/>
      <c r="D763" s="238"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row>
    <row r="764">
      <c r="B764" s="242" t="n"/>
      <c r="C764" s="1" t="n"/>
      <c r="D764" s="238"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row>
    <row r="765">
      <c r="B765" s="242" t="n"/>
      <c r="C765" s="1" t="n"/>
      <c r="D765" s="238"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row>
    <row r="766">
      <c r="B766" s="242" t="n"/>
      <c r="C766" s="1" t="n"/>
      <c r="D766" s="238"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row>
    <row r="767">
      <c r="B767" s="242" t="n"/>
      <c r="C767" s="1" t="n"/>
      <c r="D767" s="238"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row>
    <row r="768">
      <c r="B768" s="242" t="n"/>
      <c r="C768" s="1" t="n"/>
      <c r="D768" s="238"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row>
    <row r="769">
      <c r="B769" s="242" t="n"/>
      <c r="C769" s="1" t="n"/>
      <c r="D769" s="238"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row>
    <row r="770">
      <c r="B770" s="242" t="n"/>
      <c r="C770" s="1" t="n"/>
      <c r="D770" s="238"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row>
    <row r="771">
      <c r="B771" s="242" t="n"/>
      <c r="C771" s="1" t="n"/>
      <c r="D771" s="238"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row>
    <row r="772">
      <c r="B772" s="242" t="n"/>
      <c r="C772" s="1" t="n"/>
      <c r="D772" s="238"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row>
    <row r="773">
      <c r="B773" s="242" t="n"/>
      <c r="C773" s="1" t="n"/>
      <c r="D773" s="238"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row>
    <row r="774">
      <c r="B774" s="242" t="n"/>
      <c r="C774" s="1" t="n"/>
      <c r="D774" s="238"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row>
    <row r="775">
      <c r="B775" s="242" t="n"/>
      <c r="C775" s="1" t="n"/>
      <c r="D775" s="238"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row>
    <row r="776">
      <c r="B776" s="242" t="n"/>
      <c r="C776" s="1" t="n"/>
      <c r="D776" s="238"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row>
    <row r="777">
      <c r="B777" s="242" t="n"/>
      <c r="C777" s="1" t="n"/>
      <c r="D777" s="238"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row>
    <row r="778">
      <c r="B778" s="242" t="n"/>
      <c r="C778" s="1" t="n"/>
      <c r="D778" s="238"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row>
    <row r="779">
      <c r="B779" s="242" t="n"/>
      <c r="C779" s="1" t="n"/>
      <c r="D779" s="238"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row>
    <row r="780">
      <c r="B780" s="242" t="n"/>
      <c r="C780" s="1" t="n"/>
      <c r="D780" s="238"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row>
    <row r="781">
      <c r="B781" s="242" t="n"/>
      <c r="C781" s="1" t="n"/>
      <c r="D781" s="238"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row>
    <row r="782">
      <c r="B782" s="242" t="n"/>
      <c r="C782" s="1" t="n"/>
      <c r="D782" s="238"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row>
    <row r="783">
      <c r="B783" s="242" t="n"/>
      <c r="C783" s="1" t="n"/>
      <c r="D783" s="238"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row>
    <row r="784">
      <c r="B784" s="242" t="n"/>
      <c r="C784" s="1" t="n"/>
      <c r="D784" s="238"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row>
    <row r="785">
      <c r="B785" s="242" t="n"/>
      <c r="C785" s="1" t="n"/>
      <c r="D785" s="238"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row>
    <row r="786">
      <c r="B786" s="242" t="n"/>
      <c r="C786" s="1" t="n"/>
      <c r="D786" s="238"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row>
    <row r="787">
      <c r="B787" s="242" t="n"/>
      <c r="C787" s="1" t="n"/>
      <c r="D787" s="238"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row>
    <row r="788">
      <c r="B788" s="242" t="n"/>
      <c r="C788" s="1" t="n"/>
      <c r="D788" s="238"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row>
    <row r="789">
      <c r="B789" s="242" t="n"/>
      <c r="C789" s="1" t="n"/>
      <c r="D789" s="238"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row>
    <row r="790">
      <c r="B790" s="242" t="n"/>
      <c r="C790" s="1" t="n"/>
      <c r="D790" s="238"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row>
    <row r="791">
      <c r="B791" s="242" t="n"/>
      <c r="C791" s="1" t="n"/>
      <c r="D791" s="238"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row>
    <row r="792">
      <c r="B792" s="242" t="n"/>
      <c r="C792" s="1" t="n"/>
      <c r="D792" s="238"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row>
    <row r="793">
      <c r="B793" s="242" t="n"/>
      <c r="C793" s="1" t="n"/>
      <c r="D793" s="238"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row>
    <row r="794">
      <c r="B794" s="242" t="n"/>
      <c r="C794" s="1" t="n"/>
      <c r="D794" s="238"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row>
    <row r="795">
      <c r="B795" s="242" t="n"/>
      <c r="C795" s="1" t="n"/>
      <c r="D795" s="238"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row>
    <row r="796">
      <c r="B796" s="242" t="n"/>
      <c r="C796" s="1" t="n"/>
      <c r="D796" s="238"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row>
    <row r="797">
      <c r="B797" s="242" t="n"/>
      <c r="C797" s="1" t="n"/>
      <c r="D797" s="238"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row>
    <row r="798">
      <c r="B798" s="242" t="n"/>
      <c r="C798" s="1" t="n"/>
      <c r="D798" s="238"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row>
    <row r="799">
      <c r="B799" s="242" t="n"/>
      <c r="C799" s="1" t="n"/>
      <c r="D799" s="238"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row>
    <row r="800">
      <c r="B800" s="242" t="n"/>
      <c r="C800" s="1" t="n"/>
      <c r="D800" s="238"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row>
    <row r="801">
      <c r="B801" s="242" t="n"/>
      <c r="C801" s="1" t="n"/>
      <c r="D801" s="238"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row>
    <row r="802">
      <c r="B802" s="242" t="n"/>
      <c r="C802" s="1" t="n"/>
      <c r="D802" s="238"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row>
    <row r="803">
      <c r="B803" s="242" t="n"/>
      <c r="C803" s="1" t="n"/>
      <c r="D803" s="238"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row>
    <row r="804">
      <c r="B804" s="242" t="n"/>
      <c r="C804" s="1" t="n"/>
      <c r="D804" s="238"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row>
    <row r="805">
      <c r="B805" s="242" t="n"/>
      <c r="C805" s="1" t="n"/>
      <c r="D805" s="238"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row>
    <row r="806">
      <c r="B806" s="242" t="n"/>
      <c r="C806" s="1" t="n"/>
      <c r="D806" s="238"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row>
    <row r="807">
      <c r="B807" s="242" t="n"/>
      <c r="C807" s="1" t="n"/>
      <c r="D807" s="238"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row>
    <row r="808">
      <c r="B808" s="242" t="n"/>
      <c r="C808" s="1" t="n"/>
      <c r="D808" s="238"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row>
    <row r="809">
      <c r="B809" s="242" t="n"/>
      <c r="C809" s="1" t="n"/>
      <c r="D809" s="238"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row>
    <row r="810">
      <c r="B810" s="242" t="n"/>
      <c r="C810" s="1" t="n"/>
      <c r="D810" s="238"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row>
    <row r="811">
      <c r="B811" s="242" t="n"/>
      <c r="C811" s="1" t="n"/>
      <c r="D811" s="238"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row>
    <row r="812">
      <c r="B812" s="242" t="n"/>
      <c r="C812" s="1" t="n"/>
      <c r="D812" s="238"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row>
    <row r="813">
      <c r="B813" s="242" t="n"/>
      <c r="C813" s="1" t="n"/>
      <c r="D813" s="238"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row>
    <row r="814">
      <c r="B814" s="242" t="n"/>
      <c r="C814" s="1" t="n"/>
      <c r="D814" s="238"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row>
    <row r="815">
      <c r="B815" s="242" t="n"/>
      <c r="C815" s="1" t="n"/>
      <c r="D815" s="238"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row>
    <row r="816">
      <c r="B816" s="242" t="n"/>
      <c r="C816" s="1" t="n"/>
      <c r="D816" s="238"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row>
    <row r="817">
      <c r="B817" s="242" t="n"/>
      <c r="C817" s="1" t="n"/>
      <c r="D817" s="238"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row>
    <row r="818">
      <c r="B818" s="242" t="n"/>
      <c r="C818" s="1" t="n"/>
      <c r="D818" s="238"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row>
    <row r="819">
      <c r="B819" s="242" t="n"/>
      <c r="C819" s="1" t="n"/>
      <c r="D819" s="238"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row>
    <row r="820">
      <c r="B820" s="242" t="n"/>
      <c r="C820" s="1" t="n"/>
      <c r="D820" s="238"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row>
    <row r="821">
      <c r="B821" s="242" t="n"/>
      <c r="C821" s="1" t="n"/>
      <c r="D821" s="238"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row>
    <row r="822">
      <c r="B822" s="242" t="n"/>
      <c r="C822" s="1" t="n"/>
      <c r="D822" s="238"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row>
    <row r="823">
      <c r="B823" s="242" t="n"/>
      <c r="C823" s="1" t="n"/>
      <c r="D823" s="238"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row>
    <row r="824">
      <c r="B824" s="242" t="n"/>
      <c r="C824" s="1" t="n"/>
      <c r="D824" s="238"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row>
    <row r="825">
      <c r="B825" s="242" t="n"/>
      <c r="C825" s="1" t="n"/>
      <c r="D825" s="238"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row>
    <row r="826">
      <c r="B826" s="242" t="n"/>
      <c r="C826" s="1" t="n"/>
      <c r="D826" s="238"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row>
    <row r="827">
      <c r="B827" s="242" t="n"/>
      <c r="C827" s="1" t="n"/>
      <c r="D827" s="238"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row>
    <row r="828">
      <c r="B828" s="242" t="n"/>
      <c r="C828" s="1" t="n"/>
      <c r="D828" s="238"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row>
    <row r="829">
      <c r="B829" s="242" t="n"/>
      <c r="C829" s="1" t="n"/>
      <c r="D829" s="238"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row>
    <row r="830">
      <c r="B830" s="242" t="n"/>
      <c r="C830" s="1" t="n"/>
      <c r="D830" s="238"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row>
    <row r="831">
      <c r="B831" s="242" t="n"/>
      <c r="C831" s="1" t="n"/>
      <c r="D831" s="238"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row>
    <row r="832">
      <c r="B832" s="242" t="n"/>
      <c r="C832" s="1" t="n"/>
      <c r="D832" s="238"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row>
    <row r="833">
      <c r="B833" s="242" t="n"/>
      <c r="C833" s="1" t="n"/>
      <c r="D833" s="238"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row>
    <row r="834">
      <c r="B834" s="242" t="n"/>
      <c r="C834" s="1" t="n"/>
      <c r="D834" s="238"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row>
    <row r="835">
      <c r="B835" s="242" t="n"/>
      <c r="C835" s="1" t="n"/>
      <c r="D835" s="238"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row>
    <row r="836">
      <c r="B836" s="242" t="n"/>
      <c r="C836" s="1" t="n"/>
      <c r="D836" s="238"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row>
    <row r="837">
      <c r="B837" s="242" t="n"/>
      <c r="C837" s="1" t="n"/>
      <c r="D837" s="238"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row>
    <row r="838">
      <c r="B838" s="242" t="n"/>
      <c r="C838" s="1" t="n"/>
      <c r="D838" s="238"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row>
    <row r="839">
      <c r="B839" s="242" t="n"/>
      <c r="C839" s="1" t="n"/>
      <c r="D839" s="238"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row>
    <row r="840">
      <c r="B840" s="242" t="n"/>
      <c r="C840" s="1" t="n"/>
      <c r="D840" s="238"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row>
    <row r="841">
      <c r="B841" s="242" t="n"/>
      <c r="C841" s="1" t="n"/>
      <c r="D841" s="238"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row>
    <row r="842">
      <c r="B842" s="242" t="n"/>
      <c r="C842" s="1" t="n"/>
      <c r="D842" s="238"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row>
    <row r="843">
      <c r="B843" s="242" t="n"/>
      <c r="C843" s="1" t="n"/>
      <c r="D843" s="238"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row>
    <row r="844">
      <c r="B844" s="242" t="n"/>
      <c r="C844" s="1" t="n"/>
      <c r="D844" s="238"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row>
    <row r="845">
      <c r="B845" s="242" t="n"/>
      <c r="C845" s="1" t="n"/>
      <c r="D845" s="238"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row>
    <row r="846">
      <c r="B846" s="242" t="n"/>
      <c r="C846" s="1" t="n"/>
      <c r="D846" s="238"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row>
    <row r="847">
      <c r="B847" s="242" t="n"/>
      <c r="C847" s="1" t="n"/>
      <c r="D847" s="238"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row>
    <row r="848">
      <c r="B848" s="242" t="n"/>
      <c r="C848" s="1" t="n"/>
      <c r="D848" s="238"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row>
    <row r="849">
      <c r="B849" s="242" t="n"/>
      <c r="C849" s="1" t="n"/>
      <c r="D849" s="238"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row>
    <row r="850">
      <c r="B850" s="242" t="n"/>
      <c r="C850" s="1" t="n"/>
      <c r="D850" s="238"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row>
    <row r="851">
      <c r="B851" s="242" t="n"/>
      <c r="C851" s="1" t="n"/>
      <c r="D851" s="238"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row>
    <row r="852">
      <c r="B852" s="242" t="n"/>
      <c r="C852" s="1" t="n"/>
      <c r="D852" s="238"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row>
    <row r="853">
      <c r="B853" s="242" t="n"/>
      <c r="C853" s="1" t="n"/>
      <c r="D853" s="238"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row>
    <row r="854">
      <c r="B854" s="242" t="n"/>
      <c r="C854" s="1" t="n"/>
      <c r="D854" s="238"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row>
    <row r="855">
      <c r="B855" s="242" t="n"/>
      <c r="C855" s="1" t="n"/>
      <c r="D855" s="238"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row>
    <row r="856">
      <c r="B856" s="242" t="n"/>
      <c r="C856" s="1" t="n"/>
      <c r="D856" s="238"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row>
    <row r="857">
      <c r="B857" s="242" t="n"/>
      <c r="C857" s="1" t="n"/>
      <c r="D857" s="238"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row>
    <row r="858">
      <c r="B858" s="242" t="n"/>
      <c r="C858" s="1" t="n"/>
      <c r="D858" s="238"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row>
    <row r="859">
      <c r="B859" s="242" t="n"/>
      <c r="C859" s="1" t="n"/>
      <c r="D859" s="238"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row>
    <row r="860">
      <c r="B860" s="242" t="n"/>
      <c r="C860" s="1" t="n"/>
      <c r="D860" s="238"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row>
    <row r="861">
      <c r="B861" s="242" t="n"/>
      <c r="C861" s="1" t="n"/>
      <c r="D861" s="238"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row>
    <row r="862">
      <c r="B862" s="242" t="n"/>
      <c r="C862" s="1" t="n"/>
      <c r="D862" s="238"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row>
    <row r="863">
      <c r="B863" s="242" t="n"/>
      <c r="C863" s="1" t="n"/>
      <c r="D863" s="238"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row>
    <row r="864">
      <c r="B864" s="242" t="n"/>
      <c r="C864" s="1" t="n"/>
      <c r="D864" s="238"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row>
    <row r="865">
      <c r="B865" s="242" t="n"/>
      <c r="C865" s="1" t="n"/>
      <c r="D865" s="238"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row>
    <row r="866">
      <c r="B866" s="242" t="n"/>
      <c r="C866" s="1" t="n"/>
      <c r="D866" s="238"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row>
    <row r="867">
      <c r="B867" s="242" t="n"/>
      <c r="C867" s="1" t="n"/>
      <c r="D867" s="238"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row>
    <row r="868">
      <c r="B868" s="242" t="n"/>
      <c r="C868" s="1" t="n"/>
      <c r="D868" s="238"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row>
    <row r="869">
      <c r="B869" s="242" t="n"/>
      <c r="C869" s="1" t="n"/>
      <c r="D869" s="238"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row>
    <row r="870">
      <c r="B870" s="242" t="n"/>
      <c r="C870" s="1" t="n"/>
      <c r="D870" s="238"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row>
    <row r="871">
      <c r="B871" s="242" t="n"/>
      <c r="C871" s="1" t="n"/>
      <c r="D871" s="238"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row>
    <row r="872">
      <c r="B872" s="242" t="n"/>
      <c r="C872" s="1" t="n"/>
      <c r="D872" s="238"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row>
    <row r="873">
      <c r="B873" s="242" t="n"/>
      <c r="C873" s="1" t="n"/>
      <c r="D873" s="238"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row>
    <row r="874">
      <c r="B874" s="242" t="n"/>
      <c r="C874" s="1" t="n"/>
      <c r="D874" s="238"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row>
    <row r="875">
      <c r="B875" s="242" t="n"/>
      <c r="C875" s="1" t="n"/>
      <c r="D875" s="238"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row>
    <row r="876">
      <c r="B876" s="242" t="n"/>
      <c r="C876" s="1" t="n"/>
      <c r="D876" s="238"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row>
    <row r="877">
      <c r="B877" s="242" t="n"/>
      <c r="C877" s="1" t="n"/>
      <c r="D877" s="238"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row>
    <row r="878">
      <c r="B878" s="242" t="n"/>
      <c r="C878" s="1" t="n"/>
      <c r="D878" s="238"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row>
    <row r="879">
      <c r="B879" s="242" t="n"/>
      <c r="C879" s="1" t="n"/>
      <c r="D879" s="238"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row>
    <row r="880">
      <c r="B880" s="242" t="n"/>
      <c r="C880" s="1" t="n"/>
      <c r="D880" s="238"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row>
    <row r="881">
      <c r="B881" s="242" t="n"/>
      <c r="C881" s="1" t="n"/>
      <c r="D881" s="238"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row>
    <row r="882">
      <c r="B882" s="242" t="n"/>
      <c r="C882" s="1" t="n"/>
      <c r="D882" s="238"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row>
    <row r="883">
      <c r="B883" s="242" t="n"/>
      <c r="C883" s="1" t="n"/>
      <c r="D883" s="238"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row>
    <row r="884">
      <c r="B884" s="242" t="n"/>
      <c r="C884" s="1" t="n"/>
      <c r="D884" s="238"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row>
    <row r="885">
      <c r="B885" s="242" t="n"/>
      <c r="C885" s="1" t="n"/>
      <c r="D885" s="238"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row>
    <row r="886">
      <c r="B886" s="242" t="n"/>
      <c r="C886" s="1" t="n"/>
      <c r="D886" s="238"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row>
    <row r="887">
      <c r="B887" s="242" t="n"/>
      <c r="C887" s="1" t="n"/>
      <c r="D887" s="238"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row>
    <row r="888">
      <c r="B888" s="242" t="n"/>
      <c r="C888" s="1" t="n"/>
      <c r="D888" s="238"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row>
    <row r="889">
      <c r="B889" s="242" t="n"/>
      <c r="C889" s="1" t="n"/>
      <c r="D889" s="238"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row>
    <row r="890">
      <c r="B890" s="242" t="n"/>
      <c r="C890" s="1" t="n"/>
      <c r="D890" s="238"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row>
    <row r="891">
      <c r="B891" s="242" t="n"/>
      <c r="C891" s="1" t="n"/>
      <c r="D891" s="238"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row>
    <row r="892">
      <c r="B892" s="242" t="n"/>
      <c r="C892" s="1" t="n"/>
      <c r="D892" s="238"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row>
    <row r="893">
      <c r="B893" s="242" t="n"/>
      <c r="C893" s="1" t="n"/>
      <c r="D893" s="238"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row>
    <row r="894">
      <c r="B894" s="242" t="n"/>
      <c r="C894" s="1" t="n"/>
      <c r="D894" s="238"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row>
    <row r="895">
      <c r="B895" s="242" t="n"/>
      <c r="C895" s="1" t="n"/>
      <c r="D895" s="238"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row>
    <row r="896">
      <c r="B896" s="242" t="n"/>
      <c r="C896" s="1" t="n"/>
      <c r="D896" s="238"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row>
    <row r="897">
      <c r="B897" s="242" t="n"/>
      <c r="C897" s="1" t="n"/>
      <c r="D897" s="238"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row>
    <row r="898">
      <c r="B898" s="242" t="n"/>
      <c r="C898" s="1" t="n"/>
      <c r="D898" s="238"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row>
    <row r="899">
      <c r="B899" s="242" t="n"/>
      <c r="C899" s="1" t="n"/>
      <c r="D899" s="238"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row>
    <row r="900">
      <c r="B900" s="242" t="n"/>
      <c r="C900" s="1" t="n"/>
      <c r="D900" s="238"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row>
    <row r="901">
      <c r="B901" s="242" t="n"/>
      <c r="C901" s="1" t="n"/>
      <c r="D901" s="238"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row>
    <row r="902">
      <c r="B902" s="242" t="n"/>
      <c r="C902" s="1" t="n"/>
      <c r="D902" s="238"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row>
    <row r="903">
      <c r="B903" s="242" t="n"/>
      <c r="C903" s="1" t="n"/>
      <c r="D903" s="238"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row>
    <row r="904">
      <c r="B904" s="242" t="n"/>
      <c r="C904" s="1" t="n"/>
      <c r="D904" s="238"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row>
    <row r="905">
      <c r="B905" s="242" t="n"/>
      <c r="C905" s="1" t="n"/>
      <c r="D905" s="238"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row>
    <row r="906">
      <c r="B906" s="242" t="n"/>
      <c r="C906" s="1" t="n"/>
      <c r="D906" s="238"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row>
    <row r="907">
      <c r="B907" s="242" t="n"/>
      <c r="C907" s="1" t="n"/>
      <c r="D907" s="238"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row>
    <row r="908">
      <c r="B908" s="242" t="n"/>
      <c r="C908" s="1" t="n"/>
      <c r="D908" s="238"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row>
    <row r="909">
      <c r="B909" s="242" t="n"/>
      <c r="C909" s="1" t="n"/>
      <c r="D909" s="238"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row>
    <row r="910">
      <c r="B910" s="242" t="n"/>
      <c r="C910" s="1" t="n"/>
      <c r="D910" s="238"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row>
    <row r="911">
      <c r="B911" s="242" t="n"/>
      <c r="C911" s="1" t="n"/>
      <c r="D911" s="238"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row>
    <row r="912">
      <c r="B912" s="242" t="n"/>
      <c r="C912" s="1" t="n"/>
      <c r="D912" s="238"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row>
    <row r="913">
      <c r="B913" s="242" t="n"/>
      <c r="C913" s="1" t="n"/>
      <c r="D913" s="238"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row>
    <row r="914">
      <c r="B914" s="242" t="n"/>
      <c r="C914" s="1" t="n"/>
      <c r="D914" s="238"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row>
    <row r="915">
      <c r="B915" s="242" t="n"/>
      <c r="C915" s="1" t="n"/>
      <c r="D915" s="238"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row>
    <row r="916">
      <c r="B916" s="242" t="n"/>
      <c r="C916" s="1" t="n"/>
      <c r="D916" s="238"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row>
    <row r="917">
      <c r="B917" s="242" t="n"/>
      <c r="C917" s="1" t="n"/>
      <c r="D917" s="238"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row>
    <row r="918">
      <c r="B918" s="242" t="n"/>
      <c r="C918" s="1" t="n"/>
      <c r="D918" s="238"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row>
    <row r="919">
      <c r="B919" s="242" t="n"/>
      <c r="C919" s="1" t="n"/>
      <c r="D919" s="238"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row>
    <row r="920">
      <c r="B920" s="242" t="n"/>
      <c r="C920" s="1" t="n"/>
      <c r="D920" s="238"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row>
    <row r="921">
      <c r="B921" s="242" t="n"/>
      <c r="C921" s="1" t="n"/>
      <c r="D921" s="238"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row>
    <row r="922">
      <c r="B922" s="242" t="n"/>
      <c r="C922" s="1" t="n"/>
      <c r="D922" s="238"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row>
    <row r="923">
      <c r="B923" s="242" t="n"/>
      <c r="C923" s="1" t="n"/>
      <c r="D923" s="238"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row>
    <row r="924">
      <c r="B924" s="242" t="n"/>
      <c r="C924" s="1" t="n"/>
      <c r="D924" s="238"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row>
    <row r="925">
      <c r="B925" s="242" t="n"/>
      <c r="C925" s="1" t="n"/>
      <c r="D925" s="238"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row>
    <row r="926">
      <c r="B926" s="242" t="n"/>
      <c r="C926" s="1" t="n"/>
      <c r="D926" s="238"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row>
    <row r="927">
      <c r="B927" s="242" t="n"/>
      <c r="C927" s="1" t="n"/>
      <c r="D927" s="238"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row>
    <row r="928">
      <c r="B928" s="242" t="n"/>
      <c r="C928" s="1" t="n"/>
      <c r="D928" s="238"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row>
    <row r="929">
      <c r="B929" s="242" t="n"/>
      <c r="C929" s="1" t="n"/>
      <c r="D929" s="238"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row>
    <row r="930">
      <c r="B930" s="242" t="n"/>
      <c r="C930" s="1" t="n"/>
      <c r="D930" s="238"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row>
    <row r="931">
      <c r="B931" s="242" t="n"/>
      <c r="C931" s="1" t="n"/>
      <c r="D931" s="238"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row>
    <row r="932">
      <c r="B932" s="242" t="n"/>
      <c r="C932" s="1" t="n"/>
      <c r="D932" s="238"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row>
    <row r="933">
      <c r="B933" s="242" t="n"/>
      <c r="C933" s="1" t="n"/>
      <c r="D933" s="238"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row>
    <row r="934">
      <c r="B934" s="242" t="n"/>
      <c r="C934" s="1" t="n"/>
      <c r="D934" s="238"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row>
    <row r="935">
      <c r="B935" s="242" t="n"/>
      <c r="C935" s="1" t="n"/>
      <c r="D935" s="238"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row>
    <row r="936">
      <c r="B936" s="242" t="n"/>
      <c r="C936" s="1" t="n"/>
      <c r="D936" s="238"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row>
    <row r="937">
      <c r="B937" s="242" t="n"/>
      <c r="C937" s="1" t="n"/>
      <c r="D937" s="238"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row>
    <row r="938">
      <c r="B938" s="242" t="n"/>
      <c r="C938" s="1" t="n"/>
      <c r="D938" s="238"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row>
    <row r="939">
      <c r="B939" s="242" t="n"/>
      <c r="C939" s="1" t="n"/>
      <c r="D939" s="238"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row>
    <row r="940">
      <c r="B940" s="242" t="n"/>
      <c r="C940" s="1" t="n"/>
      <c r="D940" s="238"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row>
    <row r="941">
      <c r="B941" s="242" t="n"/>
      <c r="C941" s="1" t="n"/>
      <c r="D941" s="238"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row>
    <row r="942">
      <c r="B942" s="242" t="n"/>
      <c r="C942" s="1" t="n"/>
      <c r="D942" s="238"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row>
    <row r="943">
      <c r="B943" s="242" t="n"/>
      <c r="C943" s="1" t="n"/>
      <c r="D943" s="238"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row>
    <row r="944">
      <c r="B944" s="242" t="n"/>
      <c r="C944" s="1" t="n"/>
      <c r="D944" s="238"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row>
    <row r="945">
      <c r="B945" s="242" t="n"/>
      <c r="C945" s="1" t="n"/>
      <c r="D945" s="238"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row>
    <row r="946">
      <c r="B946" s="242" t="n"/>
      <c r="C946" s="1" t="n"/>
      <c r="D946" s="238"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row>
    <row r="947">
      <c r="B947" s="242" t="n"/>
      <c r="C947" s="1" t="n"/>
      <c r="D947" s="238"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row>
    <row r="948">
      <c r="B948" s="242" t="n"/>
      <c r="C948" s="1" t="n"/>
      <c r="D948" s="238"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row>
    <row r="949">
      <c r="B949" s="242" t="n"/>
      <c r="C949" s="1" t="n"/>
      <c r="D949" s="238"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row>
    <row r="950">
      <c r="B950" s="242" t="n"/>
      <c r="C950" s="1" t="n"/>
      <c r="D950" s="238"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row>
    <row r="951">
      <c r="B951" s="242" t="n"/>
      <c r="C951" s="1" t="n"/>
      <c r="D951" s="238"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row>
    <row r="952">
      <c r="B952" s="242" t="n"/>
      <c r="C952" s="1" t="n"/>
      <c r="D952" s="238"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row>
    <row r="953">
      <c r="B953" s="242" t="n"/>
      <c r="C953" s="1" t="n"/>
      <c r="D953" s="238"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row>
    <row r="954">
      <c r="B954" s="242" t="n"/>
      <c r="C954" s="1" t="n"/>
      <c r="D954" s="238"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row>
    <row r="955">
      <c r="B955" s="242" t="n"/>
      <c r="C955" s="1" t="n"/>
      <c r="D955" s="238"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row>
    <row r="956">
      <c r="B956" s="242" t="n"/>
      <c r="C956" s="1" t="n"/>
      <c r="D956" s="238"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row>
    <row r="957">
      <c r="B957" s="242" t="n"/>
      <c r="C957" s="1" t="n"/>
      <c r="D957" s="238"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row>
    <row r="958">
      <c r="B958" s="242" t="n"/>
      <c r="C958" s="1" t="n"/>
      <c r="D958" s="238"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row>
    <row r="959">
      <c r="B959" s="242" t="n"/>
      <c r="C959" s="1" t="n"/>
      <c r="D959" s="238"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row>
    <row r="960">
      <c r="B960" s="242" t="n"/>
      <c r="C960" s="1" t="n"/>
      <c r="D960" s="238"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row>
    <row r="961">
      <c r="B961" s="242" t="n"/>
      <c r="C961" s="1" t="n"/>
      <c r="D961" s="238"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row>
    <row r="962">
      <c r="B962" s="242" t="n"/>
      <c r="C962" s="1" t="n"/>
      <c r="D962" s="238"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row>
    <row r="963">
      <c r="B963" s="242" t="n"/>
      <c r="C963" s="1" t="n"/>
      <c r="D963" s="238"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row>
    <row r="964">
      <c r="B964" s="242" t="n"/>
      <c r="C964" s="1" t="n"/>
      <c r="D964" s="238"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row>
    <row r="965">
      <c r="B965" s="242" t="n"/>
      <c r="C965" s="1" t="n"/>
      <c r="D965" s="238"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row>
    <row r="966">
      <c r="B966" s="242" t="n"/>
      <c r="C966" s="1" t="n"/>
      <c r="D966" s="238"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row>
    <row r="967">
      <c r="B967" s="242" t="n"/>
      <c r="C967" s="1" t="n"/>
      <c r="D967" s="238"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row>
    <row r="968">
      <c r="B968" s="242" t="n"/>
      <c r="C968" s="1" t="n"/>
      <c r="D968" s="238"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row>
    <row r="969">
      <c r="B969" s="242" t="n"/>
      <c r="C969" s="1" t="n"/>
      <c r="D969" s="238"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row>
    <row r="970">
      <c r="B970" s="242" t="n"/>
      <c r="C970" s="1" t="n"/>
      <c r="D970" s="238"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row>
    <row r="971">
      <c r="B971" s="242" t="n"/>
      <c r="C971" s="1" t="n"/>
      <c r="D971" s="238"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row>
    <row r="972">
      <c r="B972" s="242" t="n"/>
      <c r="C972" s="1" t="n"/>
      <c r="D972" s="238"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row>
    <row r="973">
      <c r="B973" s="242" t="n"/>
      <c r="C973" s="1" t="n"/>
      <c r="D973" s="238"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row>
    <row r="974">
      <c r="B974" s="242" t="n"/>
      <c r="C974" s="1" t="n"/>
      <c r="D974" s="238"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row>
    <row r="975">
      <c r="B975" s="242" t="n"/>
      <c r="C975" s="1" t="n"/>
      <c r="D975" s="238"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row>
    <row r="976">
      <c r="B976" s="242" t="n"/>
      <c r="C976" s="1" t="n"/>
      <c r="D976" s="238"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row>
    <row r="977">
      <c r="B977" s="242" t="n"/>
      <c r="C977" s="1" t="n"/>
      <c r="D977" s="238"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row>
    <row r="978">
      <c r="B978" s="242" t="n"/>
      <c r="C978" s="1" t="n"/>
      <c r="D978" s="238"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row>
    <row r="979">
      <c r="B979" s="242" t="n"/>
      <c r="C979" s="1" t="n"/>
      <c r="D979" s="238"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row>
    <row r="980">
      <c r="B980" s="242" t="n"/>
      <c r="C980" s="1" t="n"/>
      <c r="D980" s="238"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row>
    <row r="981">
      <c r="B981" s="242" t="n"/>
      <c r="C981" s="1" t="n"/>
      <c r="D981" s="238"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row>
    <row r="982">
      <c r="B982" s="242" t="n"/>
      <c r="C982" s="1" t="n"/>
      <c r="D982" s="238"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row>
    <row r="983">
      <c r="B983" s="242" t="n"/>
      <c r="C983" s="1" t="n"/>
      <c r="D983" s="238"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row>
    <row r="984">
      <c r="B984" s="242" t="n"/>
      <c r="C984" s="1" t="n"/>
      <c r="D984" s="238"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row>
    <row r="985">
      <c r="B985" s="242" t="n"/>
      <c r="C985" s="1" t="n"/>
      <c r="D985" s="238"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row>
    <row r="986">
      <c r="B986" s="242" t="n"/>
      <c r="C986" s="1" t="n"/>
      <c r="D986" s="238"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row>
    <row r="987">
      <c r="B987" s="242" t="n"/>
      <c r="C987" s="1" t="n"/>
      <c r="D987" s="238"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row>
    <row r="988">
      <c r="B988" s="242" t="n"/>
      <c r="C988" s="1" t="n"/>
      <c r="D988" s="238"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row>
    <row r="989">
      <c r="B989" s="242" t="n"/>
      <c r="C989" s="1" t="n"/>
      <c r="D989" s="238"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row>
    <row r="990">
      <c r="B990" s="242" t="n"/>
      <c r="C990" s="1" t="n"/>
      <c r="D990" s="238"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row>
    <row r="991">
      <c r="B991" s="242" t="n"/>
      <c r="C991" s="1" t="n"/>
      <c r="D991" s="238"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row>
    <row r="992">
      <c r="B992" s="242" t="n"/>
      <c r="C992" s="1" t="n"/>
      <c r="D992" s="238"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row>
    <row r="993">
      <c r="B993" s="242" t="n"/>
      <c r="C993" s="1" t="n"/>
      <c r="D993" s="238"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row>
    <row r="994">
      <c r="B994" s="242" t="n"/>
      <c r="C994" s="1" t="n"/>
      <c r="D994" s="238"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row>
    <row r="995">
      <c r="B995" s="242" t="n"/>
      <c r="C995" s="1" t="n"/>
      <c r="D995" s="238"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row>
    <row r="996">
      <c r="B996" s="242" t="n"/>
      <c r="C996" s="1" t="n"/>
      <c r="D996" s="238"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row>
    <row r="997">
      <c r="B997" s="242" t="n"/>
      <c r="C997" s="1" t="n"/>
      <c r="D997" s="238"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row>
    <row r="998">
      <c r="B998" s="242" t="n"/>
      <c r="C998" s="1" t="n"/>
      <c r="D998" s="238"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row>
    <row r="999">
      <c r="B999" s="242" t="n"/>
      <c r="C999" s="1" t="n"/>
      <c r="D999" s="238"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row>
    <row r="1000">
      <c r="B1000" s="242" t="n"/>
      <c r="C1000" s="1" t="n"/>
      <c r="D1000" s="238"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row>
    <row r="1001">
      <c r="B1001" s="242" t="n"/>
      <c r="C1001" s="1" t="n"/>
      <c r="D1001" s="238"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row>
    <row r="1002">
      <c r="B1002" s="242" t="n"/>
      <c r="C1002" s="1" t="n"/>
      <c r="D1002" s="238"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row>
    <row r="1003">
      <c r="B1003" s="242" t="n"/>
      <c r="C1003" s="1" t="n"/>
      <c r="D1003" s="238"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row>
    <row r="1004">
      <c r="B1004" s="242" t="n"/>
      <c r="C1004" s="1" t="n"/>
      <c r="D1004" s="238"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row>
  </sheetData>
  <mergeCells count="7">
    <mergeCell ref="A1:D1"/>
    <mergeCell ref="A37:D37"/>
    <mergeCell ref="A9:D9"/>
    <mergeCell ref="A2:B2"/>
    <mergeCell ref="A5:D5"/>
    <mergeCell ref="A32:D32"/>
    <mergeCell ref="A13:D13"/>
  </mergeCells>
  <hyperlinks>
    <hyperlink ref="B6" location="'Cover'!A1" tooltip="Go to Cover"/>
    <hyperlink ref="B7" location="'Database Import'!A1" tooltip="Go to Database Import"/>
    <hyperlink ref="B8" location="'Forecast Horizon'!A1" tooltip="Go to Forecast Horizon"/>
    <hyperlink ref="B10" location="'Control Panel'!A1" tooltip="Go to Control Panel"/>
    <hyperlink ref="B11" location="'Model Assumptions'!A1" tooltip="Go to Model Assumptions"/>
    <hyperlink ref="B12" location="'Model Calibration'!A1" tooltip="Go to Model Calibration"/>
    <hyperlink ref="B14" location="'Macroeconomic Model'!A1" tooltip="Go to Macroeconomic Model"/>
    <hyperlink ref="B15" location="'Steel Demand Model'!A1" tooltip="Go to Steel Demand Model"/>
    <hyperlink ref="B16" location="'Steel Supply Model'!A1" tooltip="Go to Steel Supply Model"/>
    <hyperlink ref="B17" location="'Capacity Forecast'!A1" tooltip="Go to Capacity Forecast"/>
    <hyperlink ref="B18" location="'Capacity Expansion Tracker'!A1" tooltip="Go to Capacity Expansion Tracker"/>
    <hyperlink ref="B19" location="'Capacity Utilisation'!A1" tooltip="Go to Capacity Utilisation"/>
    <hyperlink ref="B20" location="'Steel Price Forecast'!A1" tooltip="Go to Steel Price Forecast"/>
    <hyperlink ref="B21" location="'Raw Material Forecast'!A1" tooltip="Go to Raw Material Forecast"/>
    <hyperlink ref="B22" location="'Cost Curve'!A1" tooltip="Go to Cost Curve"/>
    <hyperlink ref="B23" location="'Revenue Forecast'!A1" tooltip="Go to Revenue Forecast"/>
    <hyperlink ref="B24" location="'EBITDA Model'!A1" tooltip="Go to EBITDA Model"/>
    <hyperlink ref="B25" location="'Margin Analysis'!A1" tooltip="Go to Margin Analysis"/>
    <hyperlink ref="B26" location="'Working Capital Model'!A1" tooltip="Go to Working Capital Model"/>
    <hyperlink ref="B27" location="'Cash Flow Model'!A1" tooltip="Go to Cash Flow Model"/>
    <hyperlink ref="B28" location="'Capital Allocation'!A1" tooltip="Go to Capital Allocation"/>
    <hyperlink ref="B29" location="'Industry Cycle Model'!A1" tooltip="Go to Industry Cycle Model"/>
    <hyperlink ref="B30" location="'Trade Model'!A1" tooltip="Go to Trade Model"/>
    <hyperlink ref="B31" location="'ESG Model'!A1" tooltip="Go to ESG Model"/>
    <hyperlink ref="B33" location="'Scenario Manager'!A1" tooltip="Go to Scenario Manager"/>
    <hyperlink ref="B34" location="'Sensitivity Analysis'!A1" tooltip="Go to Sensitivity Analysis"/>
    <hyperlink ref="B35" location="'Comparable Valuation'!A1" tooltip="Go to Comparable Valuation"/>
    <hyperlink ref="B36" location="'Industry Dashboard'!A1" tooltip="Go to Industry Dashboard"/>
    <hyperlink ref="B38" location="'Audit Checks'!A1" tooltip="Go to Audit Checks"/>
    <hyperlink ref="B39" location="'Sources'!A1" tooltip="Go to Sources"/>
  </hyperlinks>
  <pageMargins left="0.7" right="0.7" top="0.75" bottom="0.75" header="0.3" footer="0.3"/>
</worksheet>
</file>

<file path=xl/worksheets/sheet3.xml><?xml version="1.0" encoding="utf-8"?>
<worksheet xmlns="http://schemas.openxmlformats.org/spreadsheetml/2006/main">
  <sheetPr codeName="Sheet3">
    <tabColor rgb="FF002060"/>
    <outlinePr summaryBelow="1" summaryRight="1"/>
    <pageSetUpPr/>
  </sheetPr>
  <dimension ref="A1:L69"/>
  <sheetViews>
    <sheetView showGridLines="0" zoomScaleNormal="100" workbookViewId="0">
      <selection activeCell="A2" sqref="A2:G2"/>
    </sheetView>
  </sheetViews>
  <sheetFormatPr baseColWidth="8" defaultColWidth="10" defaultRowHeight="14.4"/>
  <cols>
    <col width="24.77734375" customWidth="1" style="690" min="1" max="1"/>
    <col width="29.109375" customWidth="1" style="690" min="2" max="2"/>
    <col width="10" customWidth="1" style="690" min="3" max="3"/>
    <col width="16.88671875" customWidth="1" style="690" min="4" max="4"/>
    <col width="17.5546875" customWidth="1" style="690" min="5" max="5"/>
    <col width="10" customWidth="1" style="690" min="6" max="16384"/>
    <col width="7" customWidth="1" style="632" min="7" max="7"/>
  </cols>
  <sheetData>
    <row r="1" ht="25.8" customHeight="1" s="632">
      <c r="A1" s="365" t="inlineStr">
        <is>
          <t>DATABASE IMPORT</t>
        </is>
      </c>
    </row>
    <row r="2">
      <c r="A2" s="494" t="inlineStr">
        <is>
          <t>Industry Financial Model  |  Indian Steel Industry  |  Horizon FY2027E-FY2033E  |  Base year FY2026A</t>
        </is>
      </c>
    </row>
    <row r="3">
      <c r="A3" s="494" t="n"/>
      <c r="B3" s="494" t="n"/>
      <c r="C3" s="494" t="n"/>
      <c r="D3" s="494" t="n"/>
      <c r="E3" s="494" t="n"/>
      <c r="F3" s="494" t="n"/>
      <c r="G3" s="494" t="n"/>
    </row>
    <row r="4" ht="15.6" customHeight="1" s="632">
      <c r="A4" s="250" t="inlineStr">
        <is>
          <t>Workbook Information</t>
        </is>
      </c>
      <c r="B4" s="494" t="n"/>
      <c r="C4" s="494" t="n"/>
      <c r="D4" s="494" t="n"/>
      <c r="E4" s="494" t="n"/>
      <c r="F4" s="494" t="n"/>
      <c r="G4" s="494" t="n"/>
    </row>
    <row r="5" ht="6" customHeight="1" s="632">
      <c r="A5" s="250" t="n"/>
      <c r="B5" s="494" t="n"/>
      <c r="C5" s="494" t="n"/>
      <c r="D5" s="494" t="n"/>
      <c r="E5" s="494" t="n"/>
      <c r="F5" s="494" t="n"/>
      <c r="G5" s="494" t="n"/>
    </row>
    <row r="6" ht="15" customHeight="1" s="632" thickBot="1">
      <c r="A6" s="308" t="inlineStr">
        <is>
          <t>Field</t>
        </is>
      </c>
      <c r="B6" s="308" t="inlineStr">
        <is>
          <t>Value</t>
        </is>
      </c>
      <c r="D6" s="494" t="n"/>
      <c r="E6" s="494" t="n"/>
      <c r="F6" s="494" t="n"/>
      <c r="G6" s="494" t="n"/>
    </row>
    <row r="7" ht="15" customHeight="1" s="632" thickTop="1">
      <c r="A7" s="246" t="inlineStr">
        <is>
          <t>Source Workbook</t>
        </is>
      </c>
      <c r="B7" s="265" t="inlineStr">
        <is>
          <t>Master Industry Database.xlsx</t>
        </is>
      </c>
      <c r="D7" s="494" t="n"/>
      <c r="E7" s="494" t="n"/>
      <c r="F7" s="494" t="n"/>
      <c r="G7" s="494" t="n"/>
    </row>
    <row r="8">
      <c r="A8" s="247" t="inlineStr">
        <is>
          <t>Workbook Version</t>
        </is>
      </c>
      <c r="B8" s="266" t="n">
        <v>1</v>
      </c>
      <c r="D8" s="494" t="n"/>
      <c r="E8" s="494" t="n"/>
      <c r="F8" s="494" t="n"/>
      <c r="G8" s="494" t="n"/>
    </row>
    <row r="9">
      <c r="A9" s="247" t="inlineStr">
        <is>
          <t>Last Updated</t>
        </is>
      </c>
      <c r="B9" s="256" t="inlineStr">
        <is>
          <t>Linked</t>
        </is>
      </c>
      <c r="D9" s="494" t="n"/>
      <c r="E9" s="494" t="n"/>
      <c r="F9" s="494" t="n"/>
      <c r="G9" s="494" t="n"/>
    </row>
    <row r="10">
      <c r="A10" s="247" t="inlineStr">
        <is>
          <t>Reporting Basis</t>
        </is>
      </c>
      <c r="B10" s="256" t="inlineStr">
        <is>
          <t>Consolidated</t>
        </is>
      </c>
      <c r="D10" s="494" t="n"/>
      <c r="E10" s="494" t="n"/>
      <c r="F10" s="494" t="n"/>
      <c r="G10" s="494" t="n"/>
    </row>
    <row r="11">
      <c r="A11" s="247" t="inlineStr">
        <is>
          <t>Currency</t>
        </is>
      </c>
      <c r="B11" s="256" t="inlineStr">
        <is>
          <t>INR</t>
        </is>
      </c>
      <c r="D11" s="494" t="n"/>
      <c r="E11" s="494" t="n"/>
      <c r="F11" s="494" t="n"/>
      <c r="G11" s="494" t="n"/>
    </row>
    <row r="12">
      <c r="A12" s="247" t="inlineStr">
        <is>
          <t>Coverage Universe</t>
        </is>
      </c>
      <c r="B12" s="256" t="inlineStr">
        <is>
          <t>15 Companies</t>
        </is>
      </c>
      <c r="D12" s="494" t="n"/>
      <c r="E12" s="494" t="n"/>
      <c r="F12" s="494" t="n"/>
      <c r="G12" s="494" t="n"/>
    </row>
    <row r="13">
      <c r="A13" s="247" t="inlineStr">
        <is>
          <t>Historical Period</t>
        </is>
      </c>
      <c r="B13" s="256" t="inlineStr">
        <is>
          <t>FY2021–FY2026</t>
        </is>
      </c>
      <c r="D13" s="494" t="n"/>
      <c r="E13" s="494" t="n"/>
      <c r="F13" s="494" t="n"/>
      <c r="G13" s="494" t="n"/>
    </row>
    <row r="14" ht="15" customHeight="1" s="632" thickBot="1">
      <c r="A14" s="248" t="inlineStr">
        <is>
          <t>Import Status</t>
        </is>
      </c>
      <c r="B14" s="257" t="inlineStr">
        <is>
          <t xml:space="preserve">✅ Connected </t>
        </is>
      </c>
      <c r="D14" s="494" t="n"/>
      <c r="E14" s="494" t="n"/>
      <c r="F14" s="494" t="n"/>
      <c r="G14" s="494" t="n"/>
    </row>
    <row r="15">
      <c r="A15" s="683" t="n"/>
      <c r="B15" s="251" t="n"/>
      <c r="D15" s="494" t="n"/>
      <c r="E15" s="494" t="n"/>
      <c r="F15" s="494" t="n"/>
      <c r="G15" s="494" t="n"/>
    </row>
    <row r="16">
      <c r="B16" s="494" t="n"/>
      <c r="C16" s="494" t="n"/>
      <c r="D16" s="494" t="n"/>
      <c r="E16" s="494" t="n"/>
      <c r="F16" s="494" t="n"/>
      <c r="G16" s="494" t="n"/>
    </row>
    <row r="17" ht="15.6" customHeight="1" s="632">
      <c r="A17" s="250" t="inlineStr">
        <is>
          <t>Imported Datasets</t>
        </is>
      </c>
      <c r="B17" s="494" t="n"/>
      <c r="C17" s="494" t="n"/>
      <c r="D17" s="494" t="n"/>
      <c r="E17" s="494" t="n"/>
      <c r="F17" s="494" t="n"/>
      <c r="G17" s="494" t="n"/>
    </row>
    <row r="18" ht="4.8" customHeight="1" s="632">
      <c r="A18" s="250" t="n"/>
      <c r="B18" s="494" t="n"/>
      <c r="C18" s="494" t="n"/>
      <c r="D18" s="494" t="n"/>
      <c r="E18" s="494" t="n"/>
      <c r="F18" s="494" t="n"/>
      <c r="G18" s="494" t="n"/>
    </row>
    <row r="19" ht="15" customHeight="1" s="632" thickBot="1">
      <c r="A19" s="308" t="inlineStr">
        <is>
          <t>Dataset</t>
        </is>
      </c>
      <c r="B19" s="308" t="inlineStr">
        <is>
          <t>Source Sheet</t>
        </is>
      </c>
      <c r="C19" s="309" t="inlineStr">
        <is>
          <t>Status</t>
        </is>
      </c>
      <c r="D19" s="309" t="inlineStr">
        <is>
          <t>Rows Imported</t>
        </is>
      </c>
      <c r="E19" s="309" t="inlineStr">
        <is>
          <t>Last Refresh</t>
        </is>
      </c>
      <c r="F19" s="494" t="n"/>
      <c r="G19" s="707" t="inlineStr">
        <is>
          <t>Ref</t>
        </is>
      </c>
    </row>
    <row r="20" ht="15" customHeight="1" s="632" thickTop="1">
      <c r="A20" s="246" t="inlineStr">
        <is>
          <t>Company List</t>
        </is>
      </c>
      <c r="B20" s="566" t="inlineStr">
        <is>
          <t>Company List</t>
        </is>
      </c>
      <c r="C20" s="258" t="inlineStr">
        <is>
          <t>✅</t>
        </is>
      </c>
      <c r="D20" s="258" t="n">
        <v>15</v>
      </c>
      <c r="E20" s="267" t="n">
        <v>46237</v>
      </c>
      <c r="F20" s="494" t="n"/>
      <c r="G20" s="708" t="inlineStr">
        <is>
          <t>DI01</t>
        </is>
      </c>
    </row>
    <row r="21">
      <c r="A21" s="247" t="inlineStr">
        <is>
          <t>Production Capacity</t>
        </is>
      </c>
      <c r="B21" s="670" t="inlineStr">
        <is>
          <t>Production Capacity</t>
        </is>
      </c>
      <c r="C21" s="259" t="inlineStr">
        <is>
          <t>✅</t>
        </is>
      </c>
      <c r="D21" s="709" t="n">
        <v>20</v>
      </c>
      <c r="E21" s="267" t="n">
        <v>46237</v>
      </c>
      <c r="F21" s="494" t="n"/>
      <c r="G21" s="494" t="n"/>
    </row>
    <row r="22">
      <c r="A22" s="247" t="inlineStr">
        <is>
          <t>Production Volume</t>
        </is>
      </c>
      <c r="B22" s="670" t="inlineStr">
        <is>
          <t>Production Volume</t>
        </is>
      </c>
      <c r="C22" s="259" t="inlineStr">
        <is>
          <t>✅</t>
        </is>
      </c>
      <c r="D22" s="709" t="n">
        <v>33</v>
      </c>
      <c r="E22" s="267" t="n">
        <v>46237</v>
      </c>
      <c r="F22" s="494" t="n"/>
      <c r="G22" s="494" t="n"/>
    </row>
    <row r="23">
      <c r="A23" s="247" t="inlineStr">
        <is>
          <t>Revenue</t>
        </is>
      </c>
      <c r="B23" s="670" t="inlineStr">
        <is>
          <t>Revenue</t>
        </is>
      </c>
      <c r="C23" s="259" t="inlineStr">
        <is>
          <t>✅</t>
        </is>
      </c>
      <c r="D23" s="709" t="n">
        <v>16</v>
      </c>
      <c r="E23" s="267" t="n">
        <v>46237</v>
      </c>
      <c r="F23" s="494" t="n"/>
      <c r="G23" s="494" t="n"/>
    </row>
    <row r="24">
      <c r="A24" s="247" t="inlineStr">
        <is>
          <t>EBITDA</t>
        </is>
      </c>
      <c r="B24" s="670" t="inlineStr">
        <is>
          <t>EBITDA</t>
        </is>
      </c>
      <c r="C24" s="259" t="inlineStr">
        <is>
          <t>✅</t>
        </is>
      </c>
      <c r="D24" s="709" t="n">
        <v>15</v>
      </c>
      <c r="E24" s="267" t="n">
        <v>46237</v>
      </c>
      <c r="F24" s="494" t="n"/>
      <c r="G24" s="494" t="n"/>
    </row>
    <row r="25">
      <c r="A25" s="247" t="inlineStr">
        <is>
          <t>EBITDA per Ton</t>
        </is>
      </c>
      <c r="B25" s="670" t="inlineStr">
        <is>
          <t>EBITDA per Ton</t>
        </is>
      </c>
      <c r="C25" s="259" t="inlineStr">
        <is>
          <t>✅</t>
        </is>
      </c>
      <c r="D25" s="709" t="n">
        <v>8</v>
      </c>
      <c r="E25" s="267" t="n">
        <v>46237</v>
      </c>
    </row>
    <row r="26">
      <c r="A26" s="247" t="inlineStr">
        <is>
          <t>Steel Prices</t>
        </is>
      </c>
      <c r="B26" s="670" t="inlineStr">
        <is>
          <t>Steel Prices</t>
        </is>
      </c>
      <c r="C26" s="259" t="inlineStr">
        <is>
          <t>✅</t>
        </is>
      </c>
      <c r="D26" s="709" t="n">
        <v>17</v>
      </c>
      <c r="E26" s="267" t="n">
        <v>46237</v>
      </c>
      <c r="F26" s="244" t="n"/>
      <c r="G26" s="244" t="n"/>
      <c r="H26" s="244" t="n"/>
      <c r="I26" s="244" t="n"/>
      <c r="J26" s="244" t="n"/>
    </row>
    <row r="27">
      <c r="A27" s="247" t="inlineStr">
        <is>
          <t>Iron Ore Prices</t>
        </is>
      </c>
      <c r="B27" s="670" t="inlineStr">
        <is>
          <t>Iron Ore Prices</t>
        </is>
      </c>
      <c r="C27" s="259" t="inlineStr">
        <is>
          <t>✅</t>
        </is>
      </c>
      <c r="D27" s="709" t="n">
        <v>54</v>
      </c>
      <c r="E27" s="267" t="n">
        <v>46237</v>
      </c>
      <c r="F27" s="244" t="n"/>
      <c r="G27" s="244" t="n"/>
      <c r="H27" s="244" t="n"/>
      <c r="I27" s="244" t="n"/>
      <c r="J27" s="244" t="n"/>
    </row>
    <row r="28">
      <c r="A28" s="247" t="inlineStr">
        <is>
          <t>Coking Coal Prices</t>
        </is>
      </c>
      <c r="B28" s="670" t="inlineStr">
        <is>
          <t>Coking Coal Prices</t>
        </is>
      </c>
      <c r="C28" s="259" t="inlineStr">
        <is>
          <t>✅</t>
        </is>
      </c>
      <c r="D28" s="709" t="n">
        <v>9</v>
      </c>
      <c r="E28" s="267" t="n">
        <v>46237</v>
      </c>
      <c r="F28" s="244" t="n"/>
      <c r="G28" s="244" t="n"/>
      <c r="H28" s="244" t="n"/>
      <c r="I28" s="244" t="n"/>
      <c r="J28" s="244" t="n"/>
    </row>
    <row r="29">
      <c r="A29" s="247" t="inlineStr">
        <is>
          <t>Demand &amp; Consumption</t>
        </is>
      </c>
      <c r="B29" s="670" t="inlineStr">
        <is>
          <t>Demand &amp; Consumption</t>
        </is>
      </c>
      <c r="C29" s="259" t="inlineStr">
        <is>
          <t>✅</t>
        </is>
      </c>
      <c r="D29" s="709" t="n">
        <v>23</v>
      </c>
      <c r="E29" s="267" t="n">
        <v>46237</v>
      </c>
      <c r="F29" s="244" t="n"/>
      <c r="G29" s="244" t="n"/>
      <c r="H29" s="244" t="n"/>
      <c r="I29" s="244" t="n"/>
      <c r="J29" s="244" t="n"/>
    </row>
    <row r="30">
      <c r="A30" s="247" t="inlineStr">
        <is>
          <t>Imports &amp; Exports</t>
        </is>
      </c>
      <c r="B30" s="670" t="inlineStr">
        <is>
          <t>Imports &amp; Exports</t>
        </is>
      </c>
      <c r="C30" s="259" t="inlineStr">
        <is>
          <t>✅</t>
        </is>
      </c>
      <c r="D30" s="709" t="n">
        <v>43</v>
      </c>
      <c r="E30" s="267" t="n">
        <v>46237</v>
      </c>
      <c r="F30" s="244" t="n"/>
      <c r="G30" s="244" t="n"/>
      <c r="H30" s="244" t="n"/>
      <c r="I30" s="244" t="n"/>
      <c r="J30" s="244" t="n"/>
    </row>
    <row r="31">
      <c r="A31" s="247" t="inlineStr">
        <is>
          <t>Government Policies</t>
        </is>
      </c>
      <c r="B31" s="670" t="inlineStr">
        <is>
          <t>Govt Policies</t>
        </is>
      </c>
      <c r="C31" s="259" t="inlineStr">
        <is>
          <t>✅</t>
        </is>
      </c>
      <c r="D31" s="709" t="n">
        <v>0</v>
      </c>
      <c r="E31" s="267" t="n">
        <v>46237</v>
      </c>
      <c r="F31" s="244" t="n"/>
      <c r="G31" s="244" t="n"/>
      <c r="H31" s="244" t="n"/>
      <c r="I31" s="244" t="n"/>
      <c r="J31" s="244" t="n"/>
    </row>
    <row r="32" ht="15" customHeight="1" s="632" thickBot="1">
      <c r="A32" s="248" t="inlineStr">
        <is>
          <t>Industry KPIs</t>
        </is>
      </c>
      <c r="B32" s="564" t="inlineStr">
        <is>
          <t>Industry KPIs</t>
        </is>
      </c>
      <c r="C32" s="260" t="inlineStr">
        <is>
          <t>✅</t>
        </is>
      </c>
      <c r="D32" s="710" t="n">
        <v>24</v>
      </c>
      <c r="E32" s="268" t="n">
        <v>46237</v>
      </c>
      <c r="F32" s="244" t="n"/>
      <c r="G32" s="244" t="n"/>
      <c r="H32" s="244" t="n"/>
      <c r="I32" s="244" t="n"/>
      <c r="J32" s="244" t="n"/>
    </row>
    <row r="33">
      <c r="B33" s="244" t="n"/>
      <c r="C33" s="244" t="n"/>
      <c r="D33" s="244" t="n"/>
      <c r="E33" s="244" t="n"/>
      <c r="F33" s="244" t="n"/>
      <c r="G33" s="244" t="n"/>
      <c r="H33" s="244" t="n"/>
      <c r="I33" s="244" t="n"/>
      <c r="J33" s="244" t="n"/>
    </row>
    <row r="34">
      <c r="C34" s="191" t="n"/>
    </row>
    <row r="35" ht="15.6" customHeight="1" s="632">
      <c r="A35" s="250" t="inlineStr">
        <is>
          <t>Data Quality Checks</t>
        </is>
      </c>
    </row>
    <row r="36" ht="4.8" customHeight="1" s="632">
      <c r="A36" s="250" t="n"/>
    </row>
    <row r="37" ht="15" customHeight="1" s="632" thickBot="1">
      <c r="A37" s="308" t="inlineStr">
        <is>
          <t>Dataset</t>
        </is>
      </c>
      <c r="B37" s="309" t="inlineStr">
        <is>
          <t>Dataset</t>
        </is>
      </c>
    </row>
    <row r="38" ht="15" customHeight="1" s="632" thickTop="1">
      <c r="A38" s="246" t="inlineStr">
        <is>
          <t>Duplicate Companies</t>
        </is>
      </c>
      <c r="B38" s="662" t="inlineStr">
        <is>
          <t>✅</t>
        </is>
      </c>
    </row>
    <row r="39">
      <c r="A39" s="247" t="inlineStr">
        <is>
          <t>Missing Financial Years</t>
        </is>
      </c>
      <c r="B39" s="664" t="inlineStr">
        <is>
          <t>✅</t>
        </is>
      </c>
    </row>
    <row r="40">
      <c r="A40" s="247" t="inlineStr">
        <is>
          <t>Missing Capacity Data</t>
        </is>
      </c>
      <c r="B40" s="664" t="inlineStr">
        <is>
          <t>✅</t>
        </is>
      </c>
    </row>
    <row r="41">
      <c r="A41" s="247" t="inlineStr">
        <is>
          <t>Missing Revenue Data</t>
        </is>
      </c>
      <c r="B41" s="664" t="inlineStr">
        <is>
          <t>✅</t>
        </is>
      </c>
    </row>
    <row r="42">
      <c r="A42" s="247" t="inlineStr">
        <is>
          <t>Missing EBITDA Data</t>
        </is>
      </c>
      <c r="B42" s="664" t="inlineStr">
        <is>
          <t>✅</t>
        </is>
      </c>
    </row>
    <row r="43">
      <c r="A43" s="247" t="inlineStr">
        <is>
          <t>Missing Price Series</t>
        </is>
      </c>
      <c r="B43" s="664" t="inlineStr">
        <is>
          <t>✅</t>
        </is>
      </c>
    </row>
    <row r="44">
      <c r="A44" s="247" t="inlineStr">
        <is>
          <t>Currency Consistent</t>
        </is>
      </c>
      <c r="B44" s="664" t="inlineStr">
        <is>
          <t>✅</t>
        </is>
      </c>
    </row>
    <row r="45" ht="15" customHeight="1" s="632" thickBot="1">
      <c r="A45" s="248" t="inlineStr">
        <is>
          <t>Units Consistent</t>
        </is>
      </c>
      <c r="B45" s="666" t="inlineStr">
        <is>
          <t>✅</t>
        </is>
      </c>
    </row>
    <row r="46"/>
    <row r="47"/>
    <row r="48" ht="16.2" customHeight="1" s="632" thickBot="1">
      <c r="A48" s="250" t="inlineStr">
        <is>
          <t>Data Flow Diagram</t>
        </is>
      </c>
    </row>
    <row r="49" ht="5.4" customHeight="1" s="632" thickBot="1"/>
    <row r="50">
      <c r="A50" s="261" t="inlineStr">
        <is>
          <t>Master Industry Database</t>
        </is>
      </c>
    </row>
    <row r="51">
      <c r="A51" s="262" t="inlineStr">
        <is>
          <t xml:space="preserve">           │</t>
        </is>
      </c>
    </row>
    <row r="52">
      <c r="A52" s="262" t="inlineStr">
        <is>
          <t xml:space="preserve">          ▼</t>
        </is>
      </c>
    </row>
    <row r="53">
      <c r="A53" s="263" t="inlineStr">
        <is>
          <t>Database Import</t>
        </is>
      </c>
    </row>
    <row r="54">
      <c r="A54" s="262" t="inlineStr">
        <is>
          <t xml:space="preserve">           │</t>
        </is>
      </c>
    </row>
    <row r="55">
      <c r="A55" s="262" t="inlineStr">
        <is>
          <t xml:space="preserve">          ▼</t>
        </is>
      </c>
    </row>
    <row r="56">
      <c r="A56" s="263" t="inlineStr">
        <is>
          <t>Model Assumptions</t>
        </is>
      </c>
    </row>
    <row r="57">
      <c r="A57" s="262" t="inlineStr">
        <is>
          <t xml:space="preserve">           │</t>
        </is>
      </c>
    </row>
    <row r="58">
      <c r="A58" s="262" t="inlineStr">
        <is>
          <t xml:space="preserve">          ▼</t>
        </is>
      </c>
    </row>
    <row r="59">
      <c r="A59" s="263" t="inlineStr">
        <is>
          <t>Industry Models</t>
        </is>
      </c>
    </row>
    <row r="60">
      <c r="A60" s="262" t="inlineStr">
        <is>
          <t xml:space="preserve">           │</t>
        </is>
      </c>
    </row>
    <row r="61">
      <c r="A61" s="262" t="inlineStr">
        <is>
          <t xml:space="preserve">          ▼</t>
        </is>
      </c>
    </row>
    <row r="62">
      <c r="A62" s="263" t="inlineStr">
        <is>
          <t>Valuation</t>
        </is>
      </c>
    </row>
    <row r="63">
      <c r="A63" s="262" t="inlineStr">
        <is>
          <t xml:space="preserve">           │</t>
        </is>
      </c>
    </row>
    <row r="64">
      <c r="A64" s="262" t="inlineStr">
        <is>
          <t xml:space="preserve">          ▼</t>
        </is>
      </c>
    </row>
    <row r="65" ht="15" customHeight="1" s="632" thickBot="1">
      <c r="A65" s="264" t="inlineStr">
        <is>
          <t>Dashboard</t>
        </is>
      </c>
    </row>
    <row r="66"/>
    <row r="67"/>
    <row r="68">
      <c r="A68" s="249" t="inlineStr">
        <is>
          <t>Note</t>
        </is>
      </c>
    </row>
    <row r="69" ht="32.4" customHeight="1" s="632">
      <c r="A69" s="373" t="inlineStr">
        <is>
          <t>Purpose: This worksheet serves as the controlled interface between the Master Industry Database and the Industry Financial Model. No manual analytical inputs or calculations should be performed on this sheet. All imported datasets are validated before being used by downstream models.</t>
        </is>
      </c>
    </row>
  </sheetData>
  <mergeCells count="3">
    <mergeCell ref="A69:J69"/>
    <mergeCell ref="A1:J1"/>
    <mergeCell ref="A2:G2"/>
  </mergeCells>
  <hyperlinks>
    <hyperlink xmlns:r="http://schemas.openxmlformats.org/officeDocument/2006/relationships" ref="B7" r:id="rId1"/>
    <hyperlink ref="G20" location="'Audit Checks'!A112" tooltip="Open the reference register on 25 Audit Checks"/>
  </hyperlinks>
  <pageMargins left="0.7" right="0.7" top="0.75" bottom="0.75" header="0.3" footer="0.3"/>
</worksheet>
</file>

<file path=xl/worksheets/sheet4.xml><?xml version="1.0" encoding="utf-8"?>
<worksheet xmlns="http://schemas.openxmlformats.org/spreadsheetml/2006/main">
  <sheetPr codeName="Sheet4">
    <tabColor rgb="FF002060"/>
    <outlinePr summaryBelow="1" summaryRight="1"/>
    <pageSetUpPr/>
  </sheetPr>
  <dimension ref="A1:K49"/>
  <sheetViews>
    <sheetView showGridLines="0" topLeftCell="A18" workbookViewId="0">
      <selection activeCell="A25" sqref="A25"/>
    </sheetView>
  </sheetViews>
  <sheetFormatPr baseColWidth="8" defaultRowHeight="14.4"/>
  <cols>
    <col width="31.44140625" customWidth="1" style="690" min="1" max="1"/>
    <col width="17.6640625" customWidth="1" style="690" min="2" max="2"/>
    <col width="29.21875" customWidth="1" style="690" min="3" max="3"/>
    <col width="30.77734375" customWidth="1" style="690" min="4" max="4"/>
    <col width="27.88671875" customWidth="1" style="690" min="5" max="5"/>
    <col width="8.88671875" customWidth="1" style="690" min="6" max="8"/>
    <col width="42" customWidth="1" style="690" min="9" max="9"/>
    <col width="8.88671875" customWidth="1" style="690" min="10" max="16384"/>
    <col width="7" customWidth="1" style="632" min="11" max="11"/>
  </cols>
  <sheetData>
    <row r="1" ht="25.8" customHeight="1" s="632">
      <c r="A1" s="365" t="inlineStr">
        <is>
          <t>FORECAST HORIZON</t>
        </is>
      </c>
    </row>
    <row r="2">
      <c r="A2" s="494" t="inlineStr">
        <is>
          <t>Industry Financial Model  |  Indian Steel Industry  |  Horizon FY2027E-FY2033E  |  Base year FY2026A</t>
        </is>
      </c>
    </row>
    <row r="3" ht="13.8" customFormat="1" customHeight="1" s="142">
      <c r="A3" s="210" t="n"/>
      <c r="B3" s="210" t="n"/>
      <c r="C3" s="210" t="n"/>
      <c r="D3" s="210" t="n"/>
      <c r="E3" s="210" t="n"/>
      <c r="F3" s="210" t="n"/>
    </row>
    <row r="4" ht="16.2" customFormat="1" customHeight="1" s="142" thickBot="1">
      <c r="A4" s="493" t="inlineStr">
        <is>
          <t>Forecast Horizon Decision</t>
        </is>
      </c>
      <c r="B4" s="210" t="n"/>
      <c r="C4" s="210" t="n"/>
      <c r="D4" s="210" t="n"/>
      <c r="E4" s="210" t="n"/>
      <c r="F4" s="210" t="n"/>
    </row>
    <row r="5" ht="15" customFormat="1" customHeight="1" s="142" thickBot="1">
      <c r="A5" s="314" t="inlineStr">
        <is>
          <t>Field</t>
        </is>
      </c>
      <c r="B5" s="315" t="inlineStr">
        <is>
          <t>Value</t>
        </is>
      </c>
      <c r="C5" s="210" t="n"/>
      <c r="D5" s="210" t="n"/>
      <c r="E5" s="210" t="n"/>
      <c r="F5" s="210" t="n"/>
    </row>
    <row r="6" ht="15" customFormat="1" customHeight="1" s="142" thickTop="1">
      <c r="A6" s="246" t="inlineStr">
        <is>
          <t>Historical Period</t>
        </is>
      </c>
      <c r="B6" s="287" t="inlineStr">
        <is>
          <t>FY2021A – FY2026A</t>
        </is>
      </c>
      <c r="C6" s="210" t="n"/>
      <c r="D6" s="210" t="n"/>
      <c r="E6" s="210" t="n"/>
      <c r="F6" s="210" t="n"/>
    </row>
    <row r="7" customFormat="1" s="142">
      <c r="A7" s="247" t="inlineStr">
        <is>
          <t>Forecast Period</t>
        </is>
      </c>
      <c r="B7" s="288" t="inlineStr">
        <is>
          <t>FY2027E – FY2033E</t>
        </is>
      </c>
      <c r="C7" s="210" t="n"/>
      <c r="D7" s="210" t="n"/>
      <c r="E7" s="210" t="n"/>
      <c r="F7" s="210" t="n"/>
    </row>
    <row r="8" customFormat="1" s="142">
      <c r="A8" s="247" t="inlineStr">
        <is>
          <t>Forecast Horizon</t>
        </is>
      </c>
      <c r="B8" s="288" t="inlineStr">
        <is>
          <t>7 Years</t>
        </is>
      </c>
      <c r="C8" s="210" t="n"/>
      <c r="D8" s="210" t="n"/>
      <c r="E8" s="210" t="n"/>
      <c r="F8" s="210" t="n"/>
    </row>
    <row r="9" customFormat="1" s="142">
      <c r="A9" s="247" t="inlineStr">
        <is>
          <t>Base Year</t>
        </is>
      </c>
      <c r="B9" s="288" t="inlineStr">
        <is>
          <t>FY2026A</t>
        </is>
      </c>
      <c r="C9" s="210" t="n"/>
      <c r="D9" s="210" t="n"/>
      <c r="E9" s="210" t="n"/>
      <c r="F9" s="210" t="n"/>
    </row>
    <row r="10" ht="15" customFormat="1" customHeight="1" s="142" thickBot="1">
      <c r="A10" s="248" t="inlineStr">
        <is>
          <t>Terminal Year</t>
        </is>
      </c>
      <c r="B10" s="289" t="inlineStr">
        <is>
          <t>FY2033E</t>
        </is>
      </c>
      <c r="C10" s="210" t="n"/>
      <c r="D10" s="210" t="n"/>
      <c r="E10" s="210" t="n"/>
      <c r="F10" s="210" t="n"/>
    </row>
    <row r="11" ht="13.8" customFormat="1" customHeight="1" s="142">
      <c r="A11" s="210" t="n"/>
      <c r="B11" s="210" t="n"/>
      <c r="C11" s="210" t="n"/>
      <c r="D11" s="210" t="n"/>
      <c r="E11" s="210" t="n"/>
      <c r="F11" s="210" t="n"/>
    </row>
    <row r="12" ht="13.8" customFormat="1" customHeight="1" s="142">
      <c r="A12" s="210" t="n"/>
    </row>
    <row r="13" ht="16.2" customHeight="1" s="632" thickBot="1">
      <c r="A13" s="493" t="inlineStr">
        <is>
          <t>Horizon Comparison</t>
        </is>
      </c>
      <c r="B13" s="191" t="n"/>
    </row>
    <row r="14" ht="20.4" customHeight="1" s="632" thickBot="1">
      <c r="A14" s="310" t="inlineStr">
        <is>
          <t>Criterion</t>
        </is>
      </c>
      <c r="B14" s="311" t="inlineStr">
        <is>
          <t>Weight</t>
        </is>
      </c>
      <c r="C14" s="311" t="inlineStr">
        <is>
          <t>5-Year (FY2027-FY2031)</t>
        </is>
      </c>
      <c r="D14" s="312" t="inlineStr">
        <is>
          <t>7-Year (FY2027-FY2033)</t>
        </is>
      </c>
      <c r="E14" s="312" t="inlineStr">
        <is>
          <t>10-Year (FY2027-FY2036)</t>
        </is>
      </c>
      <c r="F14" s="312" t="inlineStr">
        <is>
          <t>Score 5Y</t>
        </is>
      </c>
      <c r="G14" s="311" t="inlineStr">
        <is>
          <t>Score 7Y</t>
        </is>
      </c>
      <c r="H14" s="311" t="inlineStr">
        <is>
          <t>Score 10Y</t>
        </is>
      </c>
      <c r="I14" s="313" t="inlineStr">
        <is>
          <t>Basis of assessment / evidence</t>
        </is>
      </c>
      <c r="K14" s="707" t="inlineStr">
        <is>
          <t>Ref</t>
        </is>
      </c>
    </row>
    <row r="15" ht="60.6" customHeight="1" s="632" thickTop="1">
      <c r="A15" s="272" t="inlineStr">
        <is>
          <t>Coverage of the announced capacity pipeline</t>
        </is>
      </c>
      <c r="B15" s="711" t="n">
        <v>0.25</v>
      </c>
      <c r="C15" s="274" t="inlineStr">
        <is>
          <t>Ends FY2031, exactly the terminal year of the announced pipeline. Captures 100% of commissioning but 0 years of post-commissioning ramp.</t>
        </is>
      </c>
      <c r="D15" s="274" t="inlineStr">
        <is>
          <t>Ends FY2033. Captures 100% of commissioning PLUS a 2-year ramp tail, so the terminal year reflects normalised rather than ramping utilisation.</t>
        </is>
      </c>
      <c r="E15" s="274" t="inlineStr">
        <is>
          <t>Ends FY2036, five years beyond the last dated project. Years 8-10 have no project-level visibility and become pure extrapolation.</t>
        </is>
      </c>
      <c r="F15" s="712" t="n">
        <v>3</v>
      </c>
      <c r="G15" s="712" t="n">
        <v>5</v>
      </c>
      <c r="H15" s="712" t="n">
        <v>2</v>
      </c>
      <c r="I15" s="276" t="inlineStr">
        <is>
          <t>Dated pipeline in the Master Database terminates FY2031: POSCO-JSW 6 Mtpa greenfield by 2031, SAIL ~35 Mt ambition by FY2031, PLI 1.2 capacity 8.7 Mt by FY2031, National Steel Policy 2017 target year FY2031. No credible dated project extends beyond FY2031.</t>
        </is>
      </c>
    </row>
    <row r="16" ht="72" customHeight="1" s="632">
      <c r="A16" s="277" t="inlineStr">
        <is>
          <t>Terminal year is a normalised, valuation-usable year</t>
        </is>
      </c>
      <c r="B16" s="713" t="n">
        <v>0.25</v>
      </c>
      <c r="C16" s="344" t="inlineStr">
        <is>
          <t>NO. Capacity commissioned FY2030-FY2031 is still ramping in FY2031, so terminal-year utilisation is artificially depressed and a terminal value struck there is understated.</t>
        </is>
      </c>
      <c r="D16" s="344" t="inlineStr">
        <is>
          <t>YES. The FY2030-FY2031 capacity cohort reaches normalised utilisation by FY2033 on a 2-3 year ramp, so the terminal year is a fair steady state.</t>
        </is>
      </c>
      <c r="E16" s="344" t="inlineStr">
        <is>
          <t>YES but redundant - steady state is already reached by FY2033, so FY2034-FY2036 add extrapolation risk without adding information.</t>
        </is>
      </c>
      <c r="F16" s="714" t="n">
        <v>1</v>
      </c>
      <c r="G16" s="714" t="n">
        <v>5</v>
      </c>
      <c r="H16" s="714" t="n">
        <v>4</v>
      </c>
      <c r="I16" s="279" t="inlineStr">
        <is>
          <t>Greenfield and large brownfield Indian steel capacity historically takes 2-3 years from commissioning to normalised utilisation. Observed in the database: NMDC Steel Nagarnar (3 Mtpa) produced 1.471 Mt in FY2025 and 2.382 Mt in FY2026, i.e. ~79% of nameplate in year 3+; RINL required a full year to recover to 5.43 Mt.</t>
        </is>
      </c>
    </row>
    <row r="17" ht="96" customHeight="1" s="632">
      <c r="A17" s="277" t="inlineStr">
        <is>
          <t>Coverage of a complete industry cycle</t>
        </is>
      </c>
      <c r="B17" s="713" t="n">
        <v>0.2</v>
      </c>
      <c r="C17" s="344" t="inlineStr">
        <is>
          <t>~0.7 cycles. Truncates the cycle, so the average forecast year is not cycle-neutral and the result is highly sensitive to where the start point sits in the cycle.</t>
        </is>
      </c>
      <c r="D17" s="344" t="inlineStr">
        <is>
          <t>~1.0 cycle. The forecast average is approximately cycle-neutral, which is the property a mid-cycle valuation requires.</t>
        </is>
      </c>
      <c r="E17" s="344" t="inlineStr">
        <is>
          <t>~1.4 cycles. Cycle-neutral but the second partial cycle is unforecastable in its timing.</t>
        </is>
      </c>
      <c r="F17" s="714" t="n">
        <v>2</v>
      </c>
      <c r="G17" s="714" t="n">
        <v>5</v>
      </c>
      <c r="H17" s="714" t="n">
        <v>3</v>
      </c>
      <c r="I17" s="279" t="inlineStr">
        <is>
          <t>Observed cycle length in the database: standardised EBITDA margin for Tata Steel peaked at 26% in FY2022, troughed at 10% in FY2024 and recovered to 15% in FY2026 - a 4-year peak-to-trough leg implying a ~7-8 year full cycle. Coking coal peaked at US$354/t in Oct-2023 and troughed at ~US$175/t in Mar-2025; iron ore peaked at US$155.52/dmt in FY2022 and troughed at US$100.52/dmt in FY2026.</t>
        </is>
      </c>
    </row>
    <row r="18" ht="48" customHeight="1" s="632">
      <c r="A18" s="277" t="inlineStr">
        <is>
          <t>Reliability of the macro anchor</t>
        </is>
      </c>
      <c r="B18" s="713" t="n">
        <v>0.15</v>
      </c>
      <c r="C18" s="344" t="inlineStr">
        <is>
          <t>Strong. RBI publishes an explicit FY2027 projection and the IMF medium-term path is credible to roughly 5 years.</t>
        </is>
      </c>
      <c r="D18" s="344" t="inlineStr">
        <is>
          <t>Adequate. Years 6-7 rely on a converging steady-state growth assumption rather than a published projection, which is disclosed and sensitised.</t>
        </is>
      </c>
      <c r="E18" s="344" t="inlineStr">
        <is>
          <t>Weak. Years 8-10 require a GDP path with no institutional publisher support at all.</t>
        </is>
      </c>
      <c r="F18" s="714" t="n">
        <v>5</v>
      </c>
      <c r="G18" s="714" t="n">
        <v>4</v>
      </c>
      <c r="H18" s="714" t="n">
        <v>2</v>
      </c>
      <c r="I18" s="279" t="inlineStr">
        <is>
          <t>RBI's June-2026 MPC projects FY2027 real GDP growth at 6.6%. No official Indian source publishes a real GDP path beyond roughly 5 years, so any year past FY2031 is the modeller's own convergence assumption.</t>
        </is>
      </c>
    </row>
    <row r="19" ht="48" customHeight="1" s="632">
      <c r="A19" s="277" t="inlineStr">
        <is>
          <t>Usability for DCF terminal value</t>
        </is>
      </c>
      <c r="B19" s="713" t="n">
        <v>0.15</v>
      </c>
      <c r="C19" s="344" t="inlineStr">
        <is>
          <t>Poor. A terminal value struck on a non-normalised year requires a manual mid-cycle adjustment, which defeats the purpose of an explicit forecast period.</t>
        </is>
      </c>
      <c r="D19" s="344" t="inlineStr">
        <is>
          <t>Good. Terminal value can be struck directly off FY2033 with no manual normalisation.</t>
        </is>
      </c>
      <c r="E19" s="344" t="inlineStr">
        <is>
          <t>Good but the incremental years add estimation error to the discounted stub, where their present-value weight is small.</t>
        </is>
      </c>
      <c r="F19" s="714" t="n">
        <v>2</v>
      </c>
      <c r="G19" s="714" t="n">
        <v>5</v>
      </c>
      <c r="H19" s="714" t="n">
        <v>3</v>
      </c>
      <c r="I19" s="279" t="inlineStr">
        <is>
          <t>At a ~12% nominal WACC the present-value weight of forecast years 8-10 is under 12% of total enterprise value, so extending the horizon adds materially more estimation error than valuation information.</t>
        </is>
      </c>
    </row>
    <row r="20" ht="36.6" customHeight="1" s="632" thickBot="1">
      <c r="A20" s="280" t="inlineStr">
        <is>
          <t>WEIGHTED TOTAL</t>
        </is>
      </c>
      <c r="B20" s="715">
        <f>SUM(B15:B19)</f>
        <v/>
      </c>
      <c r="C20" s="716">
        <f>IF(F20=MAX($F$20:$H$20),"SELECTED","Rejected")</f>
        <v/>
      </c>
      <c r="D20" s="716">
        <f>IF(G20=MAX($F$20:$H$20),"SELECTED","Rejected")</f>
        <v/>
      </c>
      <c r="E20" s="716">
        <f>IF(H20=MAX($F$20:$H$20),"SELECTED","Rejected")</f>
        <v/>
      </c>
      <c r="F20" s="717">
        <f>SUMPRODUCT($B$15:$B$19,F15:F19)</f>
        <v/>
      </c>
      <c r="G20" s="717">
        <f>SUMPRODUCT($B$15:$B$19,G15:G19)</f>
        <v/>
      </c>
      <c r="H20" s="717">
        <f>SUMPRODUCT($B$15:$B$19,H15:H19)</f>
        <v/>
      </c>
      <c r="I20" s="284" t="inlineStr">
        <is>
          <t>Live formula. The 7-year option wins on four of five criteria and ties on none; it loses only on macro-anchor reliability, where the 5-year option is stronger.</t>
        </is>
      </c>
      <c r="K20" s="708" t="inlineStr">
        <is>
          <t>FH01</t>
        </is>
      </c>
    </row>
    <row r="21"/>
    <row r="22"/>
    <row r="23" ht="15.6" customHeight="1" s="632">
      <c r="A23" s="493" t="inlineStr">
        <is>
          <t>Scope</t>
        </is>
      </c>
    </row>
    <row r="24">
      <c r="A24" s="216" t="inlineStr">
        <is>
          <t>This model forecasts:</t>
        </is>
      </c>
    </row>
    <row r="25">
      <c r="A25" s="290" t="inlineStr">
        <is>
          <t>Steel demand</t>
        </is>
      </c>
    </row>
    <row r="26">
      <c r="A26" s="290" t="inlineStr">
        <is>
          <t>Steel supply</t>
        </is>
      </c>
    </row>
    <row r="27">
      <c r="A27" s="290" t="inlineStr">
        <is>
          <t>Installed capacity</t>
        </is>
      </c>
    </row>
    <row r="28">
      <c r="A28" s="290" t="inlineStr">
        <is>
          <t>Capacity utilisation</t>
        </is>
      </c>
    </row>
    <row r="29">
      <c r="A29" s="290" t="inlineStr">
        <is>
          <t>Steel prices</t>
        </is>
      </c>
    </row>
    <row r="30">
      <c r="A30" s="290" t="inlineStr">
        <is>
          <t>Raw material prices</t>
        </is>
      </c>
    </row>
    <row r="31">
      <c r="A31" s="290" t="inlineStr">
        <is>
          <t>Revenue</t>
        </is>
      </c>
    </row>
    <row r="32">
      <c r="A32" s="290" t="inlineStr">
        <is>
          <t>EBITDA</t>
        </is>
      </c>
    </row>
    <row r="33">
      <c r="A33" s="290" t="inlineStr">
        <is>
          <t>Margins</t>
        </is>
      </c>
    </row>
    <row r="34">
      <c r="A34" s="290" t="inlineStr">
        <is>
          <t>Working capital</t>
        </is>
      </c>
    </row>
    <row r="35">
      <c r="A35" s="290" t="inlineStr">
        <is>
          <t>Cash flow</t>
        </is>
      </c>
    </row>
    <row r="36">
      <c r="A36" s="290" t="inlineStr">
        <is>
          <t>Sector valuation metrics</t>
        </is>
      </c>
    </row>
    <row r="37"/>
    <row r="38"/>
    <row r="39" ht="16.2" customHeight="1" s="632" thickBot="1">
      <c r="A39" s="493" t="inlineStr">
        <is>
          <t>Review Policy</t>
        </is>
      </c>
    </row>
    <row r="40" ht="15" customHeight="1" s="632" thickBot="1">
      <c r="A40" s="310" t="inlineStr">
        <is>
          <t>Item</t>
        </is>
      </c>
      <c r="B40" s="313" t="inlineStr">
        <is>
          <t>Frequency</t>
        </is>
      </c>
    </row>
    <row r="41" ht="15" customHeight="1" s="632" thickTop="1">
      <c r="A41" s="247" t="inlineStr">
        <is>
          <t>Forecast Horizon</t>
        </is>
      </c>
      <c r="B41" s="563" t="inlineStr">
        <is>
          <t>Annual</t>
        </is>
      </c>
    </row>
    <row r="42">
      <c r="A42" s="247" t="inlineStr">
        <is>
          <t>Base Year Roll Forward</t>
        </is>
      </c>
      <c r="B42" s="563" t="inlineStr">
        <is>
          <t>Annual</t>
        </is>
      </c>
    </row>
    <row r="43">
      <c r="A43" s="247" t="inlineStr">
        <is>
          <t>Historical Data Update</t>
        </is>
      </c>
      <c r="B43" s="563" t="inlineStr">
        <is>
          <t>Quarterly</t>
        </is>
      </c>
    </row>
    <row r="44">
      <c r="A44" s="247" t="inlineStr">
        <is>
          <t>Assumption Review</t>
        </is>
      </c>
      <c r="B44" s="563" t="inlineStr">
        <is>
          <t>Quarterly</t>
        </is>
      </c>
    </row>
    <row r="45" ht="15" customHeight="1" s="632" thickBot="1">
      <c r="A45" s="248" t="inlineStr">
        <is>
          <t>Full Model Review</t>
        </is>
      </c>
      <c r="B45" s="565" t="inlineStr">
        <is>
          <t>Annual</t>
        </is>
      </c>
    </row>
    <row r="46"/>
    <row r="47"/>
    <row r="48">
      <c r="A48" s="375" t="inlineStr">
        <is>
          <t>FY21A  FY22A  FY23A  FY24A  FY25A  FY26A | FY27E  FY28E  FY29E  FY30E  FY31E  FY32E  FY33E</t>
        </is>
      </c>
    </row>
    <row r="49">
      <c r="A49" s="376" t="inlineStr">
        <is>
          <t>Historical (Actual)                    |                                      Forecast</t>
        </is>
      </c>
    </row>
  </sheetData>
  <mergeCells count="4">
    <mergeCell ref="A49:E49"/>
    <mergeCell ref="A2:F2"/>
    <mergeCell ref="A1:I1"/>
    <mergeCell ref="A48:E48"/>
  </mergeCells>
  <hyperlinks>
    <hyperlink ref="K20" location="'Audit Checks'!A118" tooltip="Open the reference register on 25 Audit Checks"/>
  </hyperlinks>
  <pageMargins left="0.7" right="0.7" top="0.75" bottom="0.75" header="0.3" footer="0.3"/>
</worksheet>
</file>

<file path=xl/worksheets/sheet5.xml><?xml version="1.0" encoding="utf-8"?>
<worksheet xmlns="http://schemas.openxmlformats.org/spreadsheetml/2006/main">
  <sheetPr codeName="Sheet5">
    <tabColor rgb="FF002060"/>
    <outlinePr summaryBelow="1" summaryRight="1"/>
    <pageSetUpPr/>
  </sheetPr>
  <dimension ref="A1:P50"/>
  <sheetViews>
    <sheetView showGridLines="0" workbookViewId="0">
      <selection activeCell="E17" sqref="E17"/>
    </sheetView>
  </sheetViews>
  <sheetFormatPr baseColWidth="8" defaultRowHeight="14.4"/>
  <cols>
    <col width="51.88671875" customWidth="1" style="632" min="1" max="1"/>
    <col width="26.77734375" customWidth="1" style="632" min="2" max="2"/>
    <col width="13" customWidth="1" style="632" min="3" max="3"/>
    <col width="20.44140625" bestFit="1" customWidth="1" style="632" min="4" max="4"/>
    <col width="26.6640625" bestFit="1" customWidth="1" style="632" min="5" max="5"/>
    <col width="13" customWidth="1" style="632" min="6" max="6"/>
    <col width="24.21875" customWidth="1" style="632" min="7" max="7"/>
    <col width="15.21875" customWidth="1" style="632" min="8" max="8"/>
    <col width="13" customWidth="1" style="632" min="9" max="10"/>
    <col width="7" customWidth="1" style="632" min="10" max="10"/>
    <col width="12" customWidth="1" style="632" min="11" max="11"/>
    <col width="9.33203125" customWidth="1" style="632" min="12" max="12"/>
    <col width="7" customWidth="1" style="632" min="14" max="14"/>
  </cols>
  <sheetData>
    <row r="1" ht="25.8" customHeight="1" s="632">
      <c r="A1" s="365" t="inlineStr">
        <is>
          <t>CONTROL PANEL</t>
        </is>
      </c>
    </row>
    <row r="2">
      <c r="A2" s="355" t="inlineStr">
        <is>
          <t>Industry Financial Model  |  Indian Steel Industry  |  Horizon FY2027E-FY2033E  |  Base year FY2026A</t>
        </is>
      </c>
    </row>
    <row r="3">
      <c r="A3" s="355" t="n"/>
      <c r="B3" s="355" t="n"/>
      <c r="C3" s="355" t="n"/>
    </row>
    <row r="4" ht="16.2" customHeight="1" s="632" thickBot="1">
      <c r="A4" s="15" t="inlineStr">
        <is>
          <t>Model Information</t>
        </is>
      </c>
      <c r="D4" s="15" t="inlineStr">
        <is>
          <t>Global Controls</t>
        </is>
      </c>
      <c r="G4" s="15" t="inlineStr">
        <is>
          <t>Workbook Status</t>
        </is>
      </c>
    </row>
    <row r="5" ht="15" customHeight="1" s="632" thickBot="1">
      <c r="A5" s="316" t="inlineStr">
        <is>
          <t>Parameter</t>
        </is>
      </c>
      <c r="B5" s="317" t="inlineStr">
        <is>
          <t>Value</t>
        </is>
      </c>
      <c r="D5" s="316" t="inlineStr">
        <is>
          <t>Settings</t>
        </is>
      </c>
      <c r="E5" s="318" t="inlineStr">
        <is>
          <t>Value</t>
        </is>
      </c>
      <c r="G5" s="316" t="inlineStr">
        <is>
          <t>Check</t>
        </is>
      </c>
      <c r="H5" s="318" t="inlineStr">
        <is>
          <t>Status</t>
        </is>
      </c>
      <c r="J5" s="707" t="inlineStr">
        <is>
          <t>Ref</t>
        </is>
      </c>
    </row>
    <row r="6" ht="15" customHeight="1" s="632" thickTop="1">
      <c r="A6" s="293" t="inlineStr">
        <is>
          <t>Model Name</t>
        </is>
      </c>
      <c r="B6" s="294" t="inlineStr">
        <is>
          <t>Indian Steel Industry Financial Model</t>
        </is>
      </c>
      <c r="D6" s="293" t="inlineStr">
        <is>
          <t>Scenario</t>
        </is>
      </c>
      <c r="E6" s="300">
        <f>E17</f>
        <v/>
      </c>
      <c r="G6" s="305" t="inlineStr">
        <is>
          <t>Database Connected</t>
        </is>
      </c>
      <c r="H6" s="718">
        <f>IF(COUNT('Model Calibration'!$D$10:$D$14)=5,"OK","CHECK")</f>
        <v/>
      </c>
      <c r="J6" s="708" t="inlineStr">
        <is>
          <t>CP01</t>
        </is>
      </c>
    </row>
    <row r="7">
      <c r="A7" s="291" t="inlineStr">
        <is>
          <t>Version</t>
        </is>
      </c>
      <c r="B7" s="295" t="n">
        <v>1</v>
      </c>
      <c r="D7" s="291" t="inlineStr">
        <is>
          <t>Currency Display</t>
        </is>
      </c>
      <c r="E7" s="301" t="inlineStr">
        <is>
          <t>INR</t>
        </is>
      </c>
      <c r="G7" s="306" t="inlineStr">
        <is>
          <t>Assumptions Complete</t>
        </is>
      </c>
      <c r="H7" s="719">
        <f>IF(COUNT('Model Assumptions'!$E$8:$K$33)=ROWS('Model Assumptions'!$E$8:$K$33)*COLUMNS('Model Assumptions'!$E$8:$K$33),"OK","CHECK")</f>
        <v/>
      </c>
      <c r="J7" s="708" t="inlineStr">
        <is>
          <t>CP02</t>
        </is>
      </c>
    </row>
    <row r="8">
      <c r="A8" s="291" t="inlineStr">
        <is>
          <t>Status</t>
        </is>
      </c>
      <c r="B8" s="296" t="inlineStr">
        <is>
          <t>Final</t>
        </is>
      </c>
      <c r="D8" s="291" t="inlineStr">
        <is>
          <t>Number Format</t>
        </is>
      </c>
      <c r="E8" s="302" t="inlineStr">
        <is>
          <t>Crore</t>
        </is>
      </c>
      <c r="G8" s="306" t="inlineStr">
        <is>
          <t>Calibration Complete</t>
        </is>
      </c>
      <c r="H8" s="719">
        <f>IF(ABS('Model Calibration'!$D$19-'Model Calibration'!$D$21-'Model Calibration'!$D$20)&lt;1,"OK","CHECK")</f>
        <v/>
      </c>
      <c r="J8" s="708" t="inlineStr">
        <is>
          <t>CP03</t>
        </is>
      </c>
    </row>
    <row r="9">
      <c r="A9" s="291" t="inlineStr">
        <is>
          <t>Last Uploaded</t>
        </is>
      </c>
      <c r="B9" s="297">
        <f>TODAY()</f>
        <v/>
      </c>
      <c r="D9" s="291" t="inlineStr">
        <is>
          <t>Forecast Year</t>
        </is>
      </c>
      <c r="E9" s="303" t="n">
        <v>7</v>
      </c>
      <c r="G9" s="306" t="inlineStr">
        <is>
          <t>Forecast Built</t>
        </is>
      </c>
      <c r="H9" s="719">
        <f>IF(COUNT('EBITDA Model'!$D$103:$J$103)=7,"OK","CHECK")</f>
        <v/>
      </c>
      <c r="J9" s="708" t="inlineStr">
        <is>
          <t>CP04</t>
        </is>
      </c>
    </row>
    <row r="10">
      <c r="A10" s="291" t="inlineStr">
        <is>
          <t>Base Year</t>
        </is>
      </c>
      <c r="B10" s="296" t="inlineStr">
        <is>
          <t>FY2026A</t>
        </is>
      </c>
      <c r="D10" s="291" t="inlineStr">
        <is>
          <t>Steel Price Basis</t>
        </is>
      </c>
      <c r="E10" s="302" t="inlineStr">
        <is>
          <t>Domestic</t>
        </is>
      </c>
      <c r="G10" s="306" t="inlineStr">
        <is>
          <t>Audit Passed</t>
        </is>
      </c>
      <c r="H10" s="719">
        <f>IF('Audit Checks'!$C$44="PASS","OK",'Audit Checks'!$C$44)</f>
        <v/>
      </c>
      <c r="J10" s="708" t="inlineStr">
        <is>
          <t>CP05</t>
        </is>
      </c>
    </row>
    <row r="11" ht="15" customHeight="1" s="632" thickBot="1">
      <c r="A11" s="291" t="inlineStr">
        <is>
          <t>Forecast Horizon</t>
        </is>
      </c>
      <c r="B11" s="296" t="inlineStr">
        <is>
          <t>FY2027E-FY2033E</t>
        </is>
      </c>
      <c r="D11" s="292" t="inlineStr">
        <is>
          <t>Inflation Basis</t>
        </is>
      </c>
      <c r="E11" s="304" t="inlineStr">
        <is>
          <t>CPI</t>
        </is>
      </c>
      <c r="G11" s="307" t="inlineStr">
        <is>
          <t>Dashboard Updated</t>
        </is>
      </c>
      <c r="H11" s="720">
        <f>IF(COUNT('Industry Dashboard'!$D$32:$J$32)=7,"OK","CHECK")</f>
        <v/>
      </c>
      <c r="J11" s="708" t="inlineStr">
        <is>
          <t>CP06</t>
        </is>
      </c>
    </row>
    <row r="12">
      <c r="A12" s="291" t="inlineStr">
        <is>
          <t>Currency</t>
        </is>
      </c>
      <c r="B12" s="296" t="inlineStr">
        <is>
          <t>INR</t>
        </is>
      </c>
    </row>
    <row r="13" ht="15" customHeight="1" s="632" thickBot="1">
      <c r="A13" s="292" t="inlineStr">
        <is>
          <t>Reporting Basis</t>
        </is>
      </c>
      <c r="B13" s="298" t="inlineStr">
        <is>
          <t>Consolidated</t>
        </is>
      </c>
    </row>
    <row r="14">
      <c r="A14" s="371" t="n"/>
    </row>
    <row r="15">
      <c r="A15" s="371" t="n"/>
    </row>
    <row r="16" ht="16.2" customHeight="1" s="632" thickBot="1">
      <c r="A16" s="15" t="inlineStr">
        <is>
          <t>Quick Navigation</t>
        </is>
      </c>
      <c r="D16" s="485" t="inlineStr">
        <is>
          <t>SCENARIO SELECTOR</t>
        </is>
      </c>
    </row>
    <row r="17" ht="15" customHeight="1" s="632" thickBot="1">
      <c r="A17" s="316" t="inlineStr">
        <is>
          <t>Module</t>
        </is>
      </c>
      <c r="B17" s="318" t="inlineStr">
        <is>
          <t>Link</t>
        </is>
      </c>
      <c r="D17" s="322" t="inlineStr">
        <is>
          <t>Active scenario</t>
        </is>
      </c>
      <c r="E17" s="325" t="inlineStr">
        <is>
          <t>Base Case</t>
        </is>
      </c>
      <c r="F17" s="355" t="n"/>
    </row>
    <row r="18" ht="15.6" customHeight="1" s="632" thickBot="1" thickTop="1">
      <c r="A18" s="246" t="inlineStr">
        <is>
          <t>Database Import</t>
        </is>
      </c>
      <c r="B18" s="721" t="inlineStr">
        <is>
          <t>Go →</t>
        </is>
      </c>
      <c r="D18" s="323" t="inlineStr">
        <is>
          <t>Scenario index (ScenID)</t>
        </is>
      </c>
      <c r="E18" s="722">
        <f>MATCH(E$17,E$20:E$23,0)</f>
        <v/>
      </c>
      <c r="F18" s="355" t="n"/>
    </row>
    <row r="19">
      <c r="A19" s="247" t="inlineStr">
        <is>
          <t>Model Assumptions</t>
        </is>
      </c>
      <c r="B19" s="723" t="inlineStr">
        <is>
          <t>Go →</t>
        </is>
      </c>
    </row>
    <row r="20">
      <c r="A20" s="247" t="inlineStr">
        <is>
          <t>Model Calibration</t>
        </is>
      </c>
      <c r="B20" s="723" t="inlineStr">
        <is>
          <t>Go →</t>
        </is>
      </c>
      <c r="D20" s="19" t="inlineStr">
        <is>
          <t xml:space="preserve">  1.</t>
        </is>
      </c>
      <c r="E20" s="11" t="inlineStr">
        <is>
          <t>Base Case</t>
        </is>
      </c>
      <c r="F20" s="377" t="inlineStr">
        <is>
          <t>Central case. RBI FY2027 GDP of 6.6%, realisation calibrated to a FY2033 industry margin of 16.8%.</t>
        </is>
      </c>
    </row>
    <row r="21">
      <c r="A21" s="247" t="inlineStr">
        <is>
          <t>Macro Model</t>
        </is>
      </c>
      <c r="B21" s="723" t="inlineStr">
        <is>
          <t>Go →</t>
        </is>
      </c>
      <c r="D21" s="19" t="inlineStr">
        <is>
          <t xml:space="preserve">  2.</t>
        </is>
      </c>
      <c r="E21" s="11" t="inlineStr">
        <is>
          <t>Bull Case</t>
        </is>
      </c>
      <c r="F21" s="377" t="inlineStr">
        <is>
          <t>Demand-led upcycle. Peaks at a 26.0% industry margin in FY2030, matching the FY2022 cycle peak.</t>
        </is>
      </c>
    </row>
    <row r="22">
      <c r="A22" s="247" t="inlineStr">
        <is>
          <t>Demand Model</t>
        </is>
      </c>
      <c r="B22" s="723" t="inlineStr">
        <is>
          <t>Go →</t>
        </is>
      </c>
      <c r="D22" s="19" t="inlineStr">
        <is>
          <t xml:space="preserve">  3.</t>
        </is>
      </c>
      <c r="E22" s="11" t="inlineStr">
        <is>
          <t>Bear Case</t>
        </is>
      </c>
      <c r="F22" s="377" t="inlineStr">
        <is>
          <t>Demand-led downturn. Raw materials FALL with demand, so margins compress to 7-11% rather than collapsing.</t>
        </is>
      </c>
    </row>
    <row r="23">
      <c r="A23" s="247" t="inlineStr">
        <is>
          <t>Supply Model</t>
        </is>
      </c>
      <c r="B23" s="723" t="inlineStr">
        <is>
          <t>Go →</t>
        </is>
      </c>
      <c r="D23" s="19" t="inlineStr">
        <is>
          <t xml:space="preserve">  4.</t>
        </is>
      </c>
      <c r="E23" s="11" t="inlineStr">
        <is>
          <t>Stress Case</t>
        </is>
      </c>
      <c r="F23" s="377" t="inlineStr">
        <is>
          <t>Stagflationary supply shock plus demand shock. Coking coal to US$300/t, INR to 113. Troughs at -9.2% in FY2028.</t>
        </is>
      </c>
    </row>
    <row r="24">
      <c r="A24" s="247" t="inlineStr">
        <is>
          <t>Capacity Model</t>
        </is>
      </c>
      <c r="B24" s="723" t="inlineStr">
        <is>
          <t>Go →</t>
        </is>
      </c>
    </row>
    <row r="25">
      <c r="A25" s="247" t="inlineStr">
        <is>
          <t>Price Model</t>
        </is>
      </c>
      <c r="B25" s="723" t="inlineStr">
        <is>
          <t>Go →</t>
        </is>
      </c>
    </row>
    <row r="26">
      <c r="A26" s="247" t="inlineStr">
        <is>
          <t>Revenue Model</t>
        </is>
      </c>
      <c r="B26" s="723" t="inlineStr">
        <is>
          <t>Go →</t>
        </is>
      </c>
    </row>
    <row r="27">
      <c r="A27" s="247" t="inlineStr">
        <is>
          <t>EBITDA Model</t>
        </is>
      </c>
      <c r="B27" s="723" t="inlineStr">
        <is>
          <t>Go →</t>
        </is>
      </c>
    </row>
    <row r="28">
      <c r="A28" s="247" t="inlineStr">
        <is>
          <t>Valuation</t>
        </is>
      </c>
      <c r="B28" s="723" t="inlineStr">
        <is>
          <t>Go →</t>
        </is>
      </c>
    </row>
    <row r="29">
      <c r="A29" s="247" t="inlineStr">
        <is>
          <t>Dashboard</t>
        </is>
      </c>
      <c r="B29" s="723" t="inlineStr">
        <is>
          <t>Go →</t>
        </is>
      </c>
    </row>
    <row r="30">
      <c r="A30" s="247" t="inlineStr">
        <is>
          <t>Audit</t>
        </is>
      </c>
      <c r="B30" s="723" t="inlineStr">
        <is>
          <t>Go →</t>
        </is>
      </c>
    </row>
    <row r="31" ht="15" customHeight="1" s="632" thickBot="1">
      <c r="A31" s="248" t="inlineStr">
        <is>
          <t>Sources</t>
        </is>
      </c>
      <c r="B31" s="724" t="inlineStr">
        <is>
          <t>Go →</t>
        </is>
      </c>
    </row>
    <row r="32">
      <c r="A32" s="683" t="n"/>
      <c r="B32" s="497" t="n"/>
    </row>
    <row r="33"/>
    <row r="34">
      <c r="A34" s="10" t="inlineStr">
        <is>
          <t>LIVE MODEL OUTPUT - ACTIVE SCENARIO</t>
        </is>
      </c>
    </row>
    <row r="35">
      <c r="A35" s="13" t="inlineStr">
        <is>
          <t>Line item</t>
        </is>
      </c>
      <c r="B35" s="13" t="inlineStr">
        <is>
          <t>Unit</t>
        </is>
      </c>
      <c r="C35" s="23" t="inlineStr">
        <is>
          <t>FY2026A</t>
        </is>
      </c>
      <c r="D35" s="23" t="inlineStr">
        <is>
          <t>FY2027E</t>
        </is>
      </c>
      <c r="E35" s="23" t="inlineStr">
        <is>
          <t>FY2028E</t>
        </is>
      </c>
      <c r="F35" s="23" t="inlineStr">
        <is>
          <t>FY2029E</t>
        </is>
      </c>
      <c r="G35" s="23" t="inlineStr">
        <is>
          <t>FY2030E</t>
        </is>
      </c>
      <c r="H35" s="23" t="inlineStr">
        <is>
          <t>FY2031E</t>
        </is>
      </c>
      <c r="I35" s="23" t="inlineStr">
        <is>
          <t>FY2032E</t>
        </is>
      </c>
      <c r="J35" s="23" t="inlineStr">
        <is>
          <t>FY2033E</t>
        </is>
      </c>
      <c r="K35" s="23" t="inlineStr">
        <is>
          <t>CAGR</t>
        </is>
      </c>
      <c r="L35" s="13" t="inlineStr">
        <is>
          <t>Source</t>
        </is>
      </c>
      <c r="N35" s="707" t="inlineStr">
        <is>
          <t>Ref</t>
        </is>
      </c>
    </row>
    <row r="36">
      <c r="A36" s="14" t="inlineStr">
        <is>
          <t>India finished steel consumption</t>
        </is>
      </c>
      <c r="B36" s="12" t="inlineStr">
        <is>
          <t>Mt</t>
        </is>
      </c>
      <c r="C36" s="725">
        <f>'Steel Demand Model'!C$116</f>
        <v/>
      </c>
      <c r="D36" s="725">
        <f>'Steel Demand Model'!D$116</f>
        <v/>
      </c>
      <c r="E36" s="725">
        <f>'Steel Demand Model'!E$116</f>
        <v/>
      </c>
      <c r="F36" s="725">
        <f>'Steel Demand Model'!F$116</f>
        <v/>
      </c>
      <c r="G36" s="725">
        <f>'Steel Demand Model'!G$116</f>
        <v/>
      </c>
      <c r="H36" s="725">
        <f>'Steel Demand Model'!H$116</f>
        <v/>
      </c>
      <c r="I36" s="725">
        <f>'Steel Demand Model'!I$116</f>
        <v/>
      </c>
      <c r="J36" s="725">
        <f>'Steel Demand Model'!J$116</f>
        <v/>
      </c>
      <c r="K36" s="726">
        <f>IFERROR(IF(AND(ISNUMBER(C36),ISNUMBER(J36),C36&gt;0),(J36/C36)^(1/7)-1,""),"")</f>
        <v/>
      </c>
      <c r="L36" s="18" t="inlineStr">
        <is>
          <t>04</t>
        </is>
      </c>
      <c r="N36" s="708" t="inlineStr">
        <is>
          <t>CP08</t>
        </is>
      </c>
    </row>
    <row r="37">
      <c r="A37" s="14" t="inlineStr">
        <is>
          <t>India crude steel production</t>
        </is>
      </c>
      <c r="B37" s="12" t="inlineStr">
        <is>
          <t>Mt</t>
        </is>
      </c>
      <c r="C37" s="725">
        <f>'Steel Supply Model'!C$99</f>
        <v/>
      </c>
      <c r="D37" s="725">
        <f>'Steel Supply Model'!D$99</f>
        <v/>
      </c>
      <c r="E37" s="725">
        <f>'Steel Supply Model'!E$99</f>
        <v/>
      </c>
      <c r="F37" s="725">
        <f>'Steel Supply Model'!F$99</f>
        <v/>
      </c>
      <c r="G37" s="725">
        <f>'Steel Supply Model'!G$99</f>
        <v/>
      </c>
      <c r="H37" s="725">
        <f>'Steel Supply Model'!H$99</f>
        <v/>
      </c>
      <c r="I37" s="725">
        <f>'Steel Supply Model'!I$99</f>
        <v/>
      </c>
      <c r="J37" s="725">
        <f>'Steel Supply Model'!J$99</f>
        <v/>
      </c>
      <c r="K37" s="726">
        <f>IFERROR(IF(AND(ISNUMBER(C37),ISNUMBER(J37),C37&gt;0),(J37/C37)^(1/7)-1,""),"")</f>
        <v/>
      </c>
      <c r="L37" s="18" t="inlineStr">
        <is>
          <t>05</t>
        </is>
      </c>
      <c r="N37" s="708" t="inlineStr">
        <is>
          <t>CP09</t>
        </is>
      </c>
    </row>
    <row r="38">
      <c r="A38" s="14" t="inlineStr">
        <is>
          <t>India crude steel capacity</t>
        </is>
      </c>
      <c r="B38" s="12" t="inlineStr">
        <is>
          <t>Mtpa</t>
        </is>
      </c>
      <c r="C38" s="725">
        <f>'Capacity Forecast'!C$101</f>
        <v/>
      </c>
      <c r="D38" s="725">
        <f>'Capacity Forecast'!D$101</f>
        <v/>
      </c>
      <c r="E38" s="725">
        <f>'Capacity Forecast'!E$101</f>
        <v/>
      </c>
      <c r="F38" s="725">
        <f>'Capacity Forecast'!F$101</f>
        <v/>
      </c>
      <c r="G38" s="725">
        <f>'Capacity Forecast'!G$101</f>
        <v/>
      </c>
      <c r="H38" s="725">
        <f>'Capacity Forecast'!H$101</f>
        <v/>
      </c>
      <c r="I38" s="725">
        <f>'Capacity Forecast'!I$101</f>
        <v/>
      </c>
      <c r="J38" s="725">
        <f>'Capacity Forecast'!J$101</f>
        <v/>
      </c>
      <c r="K38" s="726">
        <f>IFERROR(IF(AND(ISNUMBER(C38),ISNUMBER(J38),C38&gt;0),(J38/C38)^(1/7)-1,""),"")</f>
        <v/>
      </c>
      <c r="L38" s="18" t="inlineStr">
        <is>
          <t>06</t>
        </is>
      </c>
      <c r="N38" s="708" t="inlineStr">
        <is>
          <t>CP10</t>
        </is>
      </c>
    </row>
    <row r="39">
      <c r="A39" s="14" t="inlineStr">
        <is>
          <t>Capacity utilisation</t>
        </is>
      </c>
      <c r="B39" s="12" t="inlineStr">
        <is>
          <t>%</t>
        </is>
      </c>
      <c r="C39" s="727">
        <f>'Capacity Utilisation'!C$67</f>
        <v/>
      </c>
      <c r="D39" s="727">
        <f>'Capacity Utilisation'!D$67</f>
        <v/>
      </c>
      <c r="E39" s="727">
        <f>'Capacity Utilisation'!E$67</f>
        <v/>
      </c>
      <c r="F39" s="727">
        <f>'Capacity Utilisation'!F$67</f>
        <v/>
      </c>
      <c r="G39" s="727">
        <f>'Capacity Utilisation'!G$67</f>
        <v/>
      </c>
      <c r="H39" s="727">
        <f>'Capacity Utilisation'!H$67</f>
        <v/>
      </c>
      <c r="I39" s="727">
        <f>'Capacity Utilisation'!I$67</f>
        <v/>
      </c>
      <c r="J39" s="727">
        <f>'Capacity Utilisation'!J$67</f>
        <v/>
      </c>
      <c r="K39" s="726">
        <f>IFERROR(IF(AND(ISNUMBER(C39),ISNUMBER(J39),C39&gt;0),(J39/C39)^(1/7)-1,""),"")</f>
        <v/>
      </c>
      <c r="L39" s="18" t="inlineStr">
        <is>
          <t>08</t>
        </is>
      </c>
      <c r="N39" s="708" t="inlineStr">
        <is>
          <t>CP11</t>
        </is>
      </c>
    </row>
    <row r="40">
      <c r="A40" s="14" t="inlineStr">
        <is>
          <t>Blended realisation</t>
        </is>
      </c>
      <c r="B40" s="12" t="inlineStr">
        <is>
          <t>Rs/t</t>
        </is>
      </c>
      <c r="C40" s="728">
        <f>'Steel Price Forecast'!C$103</f>
        <v/>
      </c>
      <c r="D40" s="728">
        <f>'Steel Price Forecast'!D$103</f>
        <v/>
      </c>
      <c r="E40" s="728">
        <f>'Steel Price Forecast'!E$103</f>
        <v/>
      </c>
      <c r="F40" s="728">
        <f>'Steel Price Forecast'!F$103</f>
        <v/>
      </c>
      <c r="G40" s="728">
        <f>'Steel Price Forecast'!G$103</f>
        <v/>
      </c>
      <c r="H40" s="728">
        <f>'Steel Price Forecast'!H$103</f>
        <v/>
      </c>
      <c r="I40" s="728">
        <f>'Steel Price Forecast'!I$103</f>
        <v/>
      </c>
      <c r="J40" s="728">
        <f>'Steel Price Forecast'!J$103</f>
        <v/>
      </c>
      <c r="K40" s="726">
        <f>IFERROR(IF(AND(ISNUMBER(C40),ISNUMBER(J40),C40&gt;0),(J40/C40)^(1/7)-1,""),"")</f>
        <v/>
      </c>
      <c r="L40" s="18" t="inlineStr">
        <is>
          <t>09</t>
        </is>
      </c>
      <c r="N40" s="708" t="inlineStr">
        <is>
          <t>CP12</t>
        </is>
      </c>
    </row>
    <row r="41">
      <c r="A41" s="14" t="inlineStr">
        <is>
          <t>Cash cost per tonne</t>
        </is>
      </c>
      <c r="B41" s="12" t="inlineStr">
        <is>
          <t>Rs/t</t>
        </is>
      </c>
      <c r="C41" s="728">
        <f>'Cost Curve'!C$80</f>
        <v/>
      </c>
      <c r="D41" s="728">
        <f>'Cost Curve'!D$80</f>
        <v/>
      </c>
      <c r="E41" s="728">
        <f>'Cost Curve'!E$80</f>
        <v/>
      </c>
      <c r="F41" s="728">
        <f>'Cost Curve'!F$80</f>
        <v/>
      </c>
      <c r="G41" s="728">
        <f>'Cost Curve'!G$80</f>
        <v/>
      </c>
      <c r="H41" s="728">
        <f>'Cost Curve'!H$80</f>
        <v/>
      </c>
      <c r="I41" s="728">
        <f>'Cost Curve'!I$80</f>
        <v/>
      </c>
      <c r="J41" s="728">
        <f>'Cost Curve'!J$80</f>
        <v/>
      </c>
      <c r="K41" s="726">
        <f>IFERROR(IF(AND(ISNUMBER(C41),ISNUMBER(J41),C41&gt;0),(J41/C41)^(1/7)-1,""),"")</f>
        <v/>
      </c>
      <c r="L41" s="18" t="inlineStr">
        <is>
          <t>11</t>
        </is>
      </c>
      <c r="N41" s="708" t="inlineStr">
        <is>
          <t>CP13</t>
        </is>
      </c>
    </row>
    <row r="42">
      <c r="A42" s="14" t="inlineStr">
        <is>
          <t>EBITDA per tonne</t>
        </is>
      </c>
      <c r="B42" s="12" t="inlineStr">
        <is>
          <t>Rs/t</t>
        </is>
      </c>
      <c r="C42" s="728">
        <f>'EBITDA Model'!C$101</f>
        <v/>
      </c>
      <c r="D42" s="728">
        <f>'EBITDA Model'!D$101</f>
        <v/>
      </c>
      <c r="E42" s="728">
        <f>'EBITDA Model'!E$101</f>
        <v/>
      </c>
      <c r="F42" s="728">
        <f>'EBITDA Model'!F$101</f>
        <v/>
      </c>
      <c r="G42" s="728">
        <f>'EBITDA Model'!G$101</f>
        <v/>
      </c>
      <c r="H42" s="728">
        <f>'EBITDA Model'!H$101</f>
        <v/>
      </c>
      <c r="I42" s="728">
        <f>'EBITDA Model'!I$101</f>
        <v/>
      </c>
      <c r="J42" s="728">
        <f>'EBITDA Model'!J$101</f>
        <v/>
      </c>
      <c r="K42" s="726">
        <f>IFERROR(IF(AND(ISNUMBER(C42),ISNUMBER(J42),C42&gt;0),(J42/C42)^(1/7)-1,""),"")</f>
        <v/>
      </c>
      <c r="L42" s="18" t="inlineStr">
        <is>
          <t>13</t>
        </is>
      </c>
      <c r="N42" s="708" t="inlineStr">
        <is>
          <t>CP14</t>
        </is>
      </c>
    </row>
    <row r="43">
      <c r="A43" s="14" t="inlineStr">
        <is>
          <t>Industry EBITDA margin</t>
        </is>
      </c>
      <c r="B43" s="12" t="inlineStr">
        <is>
          <t>%</t>
        </is>
      </c>
      <c r="C43" s="727">
        <f>'Margin Analysis'!C$91</f>
        <v/>
      </c>
      <c r="D43" s="727">
        <f>'Margin Analysis'!D$91</f>
        <v/>
      </c>
      <c r="E43" s="727">
        <f>'Margin Analysis'!E$91</f>
        <v/>
      </c>
      <c r="F43" s="727">
        <f>'Margin Analysis'!F$91</f>
        <v/>
      </c>
      <c r="G43" s="727">
        <f>'Margin Analysis'!G$91</f>
        <v/>
      </c>
      <c r="H43" s="727">
        <f>'Margin Analysis'!H$91</f>
        <v/>
      </c>
      <c r="I43" s="727">
        <f>'Margin Analysis'!I$91</f>
        <v/>
      </c>
      <c r="J43" s="727">
        <f>'Margin Analysis'!J$91</f>
        <v/>
      </c>
      <c r="K43" s="726">
        <f>IFERROR(IF(AND(ISNUMBER(C43),ISNUMBER(J43),C43&gt;0),(J43/C43)^(1/7)-1,""),"")</f>
        <v/>
      </c>
      <c r="L43" s="18" t="inlineStr">
        <is>
          <t>14</t>
        </is>
      </c>
      <c r="N43" s="708" t="inlineStr">
        <is>
          <t>CP15</t>
        </is>
      </c>
    </row>
    <row r="44">
      <c r="A44" s="14" t="inlineStr">
        <is>
          <t>Industry revenue</t>
        </is>
      </c>
      <c r="B44" s="12" t="inlineStr">
        <is>
          <t>Rs cr</t>
        </is>
      </c>
      <c r="C44" s="728">
        <f>'Revenue Forecast'!C$96</f>
        <v/>
      </c>
      <c r="D44" s="728">
        <f>'Revenue Forecast'!D$96</f>
        <v/>
      </c>
      <c r="E44" s="728">
        <f>'Revenue Forecast'!E$96</f>
        <v/>
      </c>
      <c r="F44" s="728">
        <f>'Revenue Forecast'!F$96</f>
        <v/>
      </c>
      <c r="G44" s="728">
        <f>'Revenue Forecast'!G$96</f>
        <v/>
      </c>
      <c r="H44" s="728">
        <f>'Revenue Forecast'!H$96</f>
        <v/>
      </c>
      <c r="I44" s="728">
        <f>'Revenue Forecast'!I$96</f>
        <v/>
      </c>
      <c r="J44" s="728">
        <f>'Revenue Forecast'!J$96</f>
        <v/>
      </c>
      <c r="K44" s="726">
        <f>IFERROR(IF(AND(ISNUMBER(C44),ISNUMBER(J44),C44&gt;0),(J44/C44)^(1/7)-1,""),"")</f>
        <v/>
      </c>
      <c r="L44" s="18" t="inlineStr">
        <is>
          <t>12</t>
        </is>
      </c>
      <c r="N44" s="708" t="inlineStr">
        <is>
          <t>CP16</t>
        </is>
      </c>
    </row>
    <row r="45">
      <c r="A45" s="14" t="inlineStr">
        <is>
          <t>Industry EBITDA</t>
        </is>
      </c>
      <c r="B45" s="12" t="inlineStr">
        <is>
          <t>Rs cr</t>
        </is>
      </c>
      <c r="C45" s="728">
        <f>'EBITDA Model'!C$103</f>
        <v/>
      </c>
      <c r="D45" s="728">
        <f>'EBITDA Model'!D$103</f>
        <v/>
      </c>
      <c r="E45" s="728">
        <f>'EBITDA Model'!E$103</f>
        <v/>
      </c>
      <c r="F45" s="728">
        <f>'EBITDA Model'!F$103</f>
        <v/>
      </c>
      <c r="G45" s="728">
        <f>'EBITDA Model'!G$103</f>
        <v/>
      </c>
      <c r="H45" s="728">
        <f>'EBITDA Model'!H$103</f>
        <v/>
      </c>
      <c r="I45" s="728">
        <f>'EBITDA Model'!I$103</f>
        <v/>
      </c>
      <c r="J45" s="728">
        <f>'EBITDA Model'!J$103</f>
        <v/>
      </c>
      <c r="K45" s="726">
        <f>IFERROR(IF(AND(ISNUMBER(C45),ISNUMBER(J45),C45&gt;0),(J45/C45)^(1/7)-1,""),"")</f>
        <v/>
      </c>
      <c r="L45" s="18" t="inlineStr">
        <is>
          <t>13</t>
        </is>
      </c>
      <c r="N45" s="708" t="inlineStr">
        <is>
          <t>CP17</t>
        </is>
      </c>
    </row>
    <row r="46">
      <c r="A46" s="14" t="inlineStr">
        <is>
          <t>Unlevered free cash flow</t>
        </is>
      </c>
      <c r="B46" s="12" t="inlineStr">
        <is>
          <t>Rs cr</t>
        </is>
      </c>
      <c r="C46" s="728">
        <f>'Cash Flow Model'!C$114</f>
        <v/>
      </c>
      <c r="D46" s="728">
        <f>'Cash Flow Model'!D$114</f>
        <v/>
      </c>
      <c r="E46" s="728">
        <f>'Cash Flow Model'!E$114</f>
        <v/>
      </c>
      <c r="F46" s="728">
        <f>'Cash Flow Model'!F$114</f>
        <v/>
      </c>
      <c r="G46" s="728">
        <f>'Cash Flow Model'!G$114</f>
        <v/>
      </c>
      <c r="H46" s="728">
        <f>'Cash Flow Model'!H$114</f>
        <v/>
      </c>
      <c r="I46" s="728">
        <f>'Cash Flow Model'!I$114</f>
        <v/>
      </c>
      <c r="J46" s="728">
        <f>'Cash Flow Model'!J$114</f>
        <v/>
      </c>
      <c r="K46" s="726">
        <f>IFERROR(IF(AND(ISNUMBER(C46),ISNUMBER(J46),C46&gt;0),(J46/C46)^(1/7)-1,""),"")</f>
        <v/>
      </c>
      <c r="L46" s="18" t="inlineStr">
        <is>
          <t>16</t>
        </is>
      </c>
      <c r="N46" s="708" t="inlineStr">
        <is>
          <t>CP18</t>
        </is>
      </c>
    </row>
    <row r="47">
      <c r="L47" s="320" t="n"/>
    </row>
    <row r="48">
      <c r="A48" s="379" t="inlineStr">
        <is>
          <t>DEPENDENCIES</t>
        </is>
      </c>
      <c r="B48" s="729" t="n"/>
      <c r="C48" s="24" t="n"/>
    </row>
    <row r="49" ht="14.4" customHeight="1" s="632">
      <c r="A49" s="378" t="inlineStr">
        <is>
          <t>Drives 02 Model Assumptions and therefore every sheet from 03 to 24.</t>
        </is>
      </c>
      <c r="B49" s="729" t="n"/>
      <c r="C49" s="321" t="n"/>
    </row>
    <row r="50">
      <c r="A50" s="378" t="inlineStr">
        <is>
          <t>Every figure above is a live link. Change the selector and this panel, and every other sheet, recomputes.</t>
        </is>
      </c>
      <c r="B50" s="729" t="n"/>
    </row>
  </sheetData>
  <mergeCells count="11">
    <mergeCell ref="A48:B48"/>
    <mergeCell ref="F22:L22"/>
    <mergeCell ref="A2:C2"/>
    <mergeCell ref="F17:L17"/>
    <mergeCell ref="A49:B49"/>
    <mergeCell ref="A1:L1"/>
    <mergeCell ref="F21:L21"/>
    <mergeCell ref="F20:L20"/>
    <mergeCell ref="F23:L23"/>
    <mergeCell ref="F18:L18"/>
    <mergeCell ref="A50:B50"/>
  </mergeCells>
  <dataValidations count="1">
    <dataValidation sqref="E17" showDropDown="0" showInputMessage="0" showErrorMessage="0" allowBlank="0" errorTitle="Invalid scenario" error="Choose one of: Base Case, Bull Case, Bear Case, Stress Case" type="list">
      <formula1>"Base Case,Bull Case,Bear Case,Stress Case"</formula1>
    </dataValidation>
  </dataValidations>
  <hyperlinks>
    <hyperlink ref="J6" location="'Audit Checks'!A124" tooltip="Open the reference register on 25 Audit Checks"/>
    <hyperlink ref="J7" location="'Audit Checks'!A124" tooltip="Open the reference register on 25 Audit Checks"/>
    <hyperlink ref="J8" location="'Audit Checks'!A124" tooltip="Open the reference register on 25 Audit Checks"/>
    <hyperlink ref="J9" location="'Audit Checks'!A124" tooltip="Open the reference register on 25 Audit Checks"/>
    <hyperlink ref="J10" location="'Audit Checks'!A124" tooltip="Open the reference register on 25 Audit Checks"/>
    <hyperlink ref="J11" location="'Audit Checks'!A124" tooltip="Open the reference register on 25 Audit Checks"/>
    <hyperlink ref="B18" location="'Database Import'!A1" tooltip="Go to Database Import"/>
    <hyperlink ref="B19" location="'Model Assumptions'!A1" tooltip="Go to Model Assumptions"/>
    <hyperlink ref="B20" location="'Model Calibration'!A1" tooltip="Go to Model Calibration"/>
    <hyperlink ref="B21" location="'Macroeconomic Model'!A1" tooltip="Go to Macroeconomic Model"/>
    <hyperlink ref="B22" location="'Steel Demand Model'!A1" tooltip="Go to Steel Demand Model"/>
    <hyperlink ref="B23" location="'Steel Supply Model'!A1" tooltip="Go to Steel Supply Model"/>
    <hyperlink ref="B24" location="'Capacity Forecast'!A1" tooltip="Go to Capacity Forecast"/>
    <hyperlink ref="B25" location="'Steel Price Forecast'!A1" tooltip="Go to Steel Price Forecast"/>
    <hyperlink ref="B26" location="'Revenue Forecast'!A1" tooltip="Go to Revenue Forecast"/>
    <hyperlink ref="B27" location="'EBITDA Model'!A1" tooltip="Go to EBITDA Model"/>
    <hyperlink ref="B28" location="'Comparable Valuation'!A1" tooltip="Go to Comparable Valuation"/>
    <hyperlink ref="B29" location="'Industry Dashboard'!A1" tooltip="Go to Industry Dashboard"/>
    <hyperlink ref="B30" location="'Audit Checks'!A1" tooltip="Go to Audit Checks"/>
    <hyperlink ref="B31" location="'Sources'!A1" tooltip="Go to Sources"/>
    <hyperlink ref="N36" location="'Audit Checks'!A124" tooltip="Open the reference register on 25 Audit Checks"/>
    <hyperlink ref="N37" location="'Audit Checks'!A124" tooltip="Open the reference register on 25 Audit Checks"/>
    <hyperlink ref="N38" location="'Audit Checks'!A124" tooltip="Open the reference register on 25 Audit Checks"/>
    <hyperlink ref="N39" location="'Audit Checks'!A124" tooltip="Open the reference register on 25 Audit Checks"/>
    <hyperlink ref="N40" location="'Audit Checks'!A124" tooltip="Open the reference register on 25 Audit Checks"/>
    <hyperlink ref="N41" location="'Audit Checks'!A124" tooltip="Open the reference register on 25 Audit Checks"/>
    <hyperlink ref="N42" location="'Audit Checks'!A124" tooltip="Open the reference register on 25 Audit Checks"/>
    <hyperlink ref="N43" location="'Audit Checks'!A124" tooltip="Open the reference register on 25 Audit Checks"/>
    <hyperlink ref="N44" location="'Audit Checks'!A124" tooltip="Open the reference register on 25 Audit Checks"/>
    <hyperlink ref="N45" location="'Audit Checks'!A124" tooltip="Open the reference register on 25 Audit Checks"/>
    <hyperlink ref="N46" location="'Audit Checks'!A124" tooltip="Open the reference register on 25 Audit Checks"/>
  </hyperlinks>
  <pageMargins left="0.7" right="0.7" top="0.75" bottom="0.75" header="0.3" footer="0.3"/>
</worksheet>
</file>

<file path=xl/worksheets/sheet6.xml><?xml version="1.0" encoding="utf-8"?>
<worksheet xmlns="http://schemas.openxmlformats.org/spreadsheetml/2006/main">
  <sheetPr codeName="Sheet6">
    <tabColor rgb="FF002060"/>
    <outlinePr summaryBelow="1" summaryRight="1"/>
    <pageSetUpPr/>
  </sheetPr>
  <dimension ref="A1:Q170"/>
  <sheetViews>
    <sheetView showGridLines="0" zoomScale="94" zoomScaleNormal="100" workbookViewId="0">
      <selection activeCell="D8" sqref="D8"/>
    </sheetView>
  </sheetViews>
  <sheetFormatPr baseColWidth="8" defaultRowHeight="14.4"/>
  <cols>
    <col width="7" customWidth="1" style="690" min="1" max="1"/>
    <col width="32.6640625" customWidth="1" style="690" min="2" max="2"/>
    <col width="16.21875" customWidth="1" style="690" min="3" max="3"/>
    <col width="11.44140625" customWidth="1" style="129" min="4" max="4"/>
    <col width="10.5546875" customWidth="1" style="129" min="5" max="5"/>
    <col width="10.6640625" customWidth="1" style="129" min="6" max="6"/>
    <col width="11" customWidth="1" style="129" min="7" max="7"/>
    <col width="10.77734375" customWidth="1" style="129" min="8" max="8"/>
    <col width="10.21875" customWidth="1" style="129" min="9" max="9"/>
    <col width="10.33203125" customWidth="1" style="129" min="10" max="11"/>
    <col width="10.109375" customWidth="1" style="690" min="12" max="12"/>
    <col width="8.88671875" customWidth="1" style="690" min="13" max="13"/>
    <col width="38.5546875" customWidth="1" style="690" min="14" max="14"/>
    <col width="20.77734375" customWidth="1" style="690" min="15" max="15"/>
    <col width="8.88671875" customWidth="1" style="690" min="16" max="16384"/>
  </cols>
  <sheetData>
    <row r="1" ht="25.8" customHeight="1" s="632">
      <c r="A1" s="365" t="inlineStr">
        <is>
          <t>MODEL ASSUMPTIONS</t>
        </is>
      </c>
    </row>
    <row r="2">
      <c r="A2" s="494" t="inlineStr">
        <is>
          <t>Industry Financial Model  |  Indian Steel Industry  |  Horizon FY2027E-FY2033E  |  Base year FY2026A</t>
        </is>
      </c>
    </row>
    <row r="3" ht="15" customHeight="1" s="632" thickBot="1">
      <c r="A3" s="494" t="n"/>
      <c r="B3" s="494" t="n"/>
      <c r="C3" s="494" t="n"/>
      <c r="D3" s="515" t="n"/>
      <c r="E3" s="515" t="n"/>
      <c r="F3" s="515" t="n"/>
      <c r="G3" s="515" t="n"/>
    </row>
    <row r="4" ht="15" customHeight="1" s="632" thickBot="1">
      <c r="A4" s="426" t="inlineStr">
        <is>
          <t>Running Scenario</t>
        </is>
      </c>
      <c r="B4" s="730" t="n"/>
      <c r="C4" s="428">
        <f>'Control Panel'!E17</f>
        <v/>
      </c>
      <c r="D4" s="515" t="n"/>
      <c r="E4" s="515" t="n"/>
      <c r="F4" s="515" t="n"/>
      <c r="G4" s="515" t="n"/>
    </row>
    <row r="5">
      <c r="B5" s="415" t="n"/>
    </row>
    <row r="6" ht="15.6" customHeight="1" s="632">
      <c r="A6" s="493" t="inlineStr">
        <is>
          <t>ACTIVE DRIVERS</t>
        </is>
      </c>
    </row>
    <row r="7" ht="15" customHeight="1" s="632" thickBot="1">
      <c r="A7" s="473" t="inlineStr">
        <is>
          <t>No</t>
        </is>
      </c>
      <c r="B7" s="474" t="inlineStr">
        <is>
          <t>Line item</t>
        </is>
      </c>
      <c r="C7" s="474" t="inlineStr">
        <is>
          <t>Unit</t>
        </is>
      </c>
      <c r="D7" s="475" t="inlineStr">
        <is>
          <t>FY2026A</t>
        </is>
      </c>
      <c r="E7" s="475" t="inlineStr">
        <is>
          <t>FY2027E</t>
        </is>
      </c>
      <c r="F7" s="475" t="inlineStr">
        <is>
          <t>FY2028E</t>
        </is>
      </c>
      <c r="G7" s="475" t="inlineStr">
        <is>
          <t>FY2029E</t>
        </is>
      </c>
      <c r="H7" s="475" t="inlineStr">
        <is>
          <t>FY2030E</t>
        </is>
      </c>
      <c r="I7" s="475" t="inlineStr">
        <is>
          <t>FY2031E</t>
        </is>
      </c>
      <c r="J7" s="475" t="inlineStr">
        <is>
          <t>FY2032E</t>
        </is>
      </c>
      <c r="K7" s="475" t="inlineStr">
        <is>
          <t>FY2033E</t>
        </is>
      </c>
      <c r="L7" s="474" t="inlineStr">
        <is>
          <t>Source</t>
        </is>
      </c>
      <c r="M7" s="475" t="inlineStr">
        <is>
          <t>Conf.</t>
        </is>
      </c>
      <c r="N7" s="535" t="inlineStr">
        <is>
          <t>Notes</t>
        </is>
      </c>
      <c r="P7" s="707" t="inlineStr">
        <is>
          <t>Ref</t>
        </is>
      </c>
    </row>
    <row r="8" ht="15" customHeight="1" s="632" thickTop="1">
      <c r="A8" s="466" t="inlineStr">
        <is>
          <t>D01</t>
        </is>
      </c>
      <c r="B8" s="467" t="inlineStr">
        <is>
          <t>India real GDP growth</t>
        </is>
      </c>
      <c r="C8" s="468" t="inlineStr">
        <is>
          <t>%</t>
        </is>
      </c>
      <c r="D8" s="731">
        <f>'Macroeconomic Model'!$C$101</f>
        <v/>
      </c>
      <c r="E8" s="732">
        <f>_xlfn.XLOOKUP($C$4,$D$38:$D$41,E38:E41)</f>
        <v/>
      </c>
      <c r="F8" s="732">
        <f>_xlfn.XLOOKUP($C$4,$D$38:$D$41,F38:F41)</f>
        <v/>
      </c>
      <c r="G8" s="732">
        <f>_xlfn.XLOOKUP($C$4,$D$38:$D$41,G38:G41)</f>
        <v/>
      </c>
      <c r="H8" s="732">
        <f>_xlfn.XLOOKUP($C$4,$D$38:$D$41,H38:H41)</f>
        <v/>
      </c>
      <c r="I8" s="732">
        <f>_xlfn.XLOOKUP($C$4,$D$38:$D$41,I38:I41)</f>
        <v/>
      </c>
      <c r="J8" s="732">
        <f>_xlfn.XLOOKUP($C$4,$D$38:$D$41,J38:J41)</f>
        <v/>
      </c>
      <c r="K8" s="732">
        <f>_xlfn.XLOOKUP($C$4,$D$38:$D$41,K38:K41)</f>
        <v/>
      </c>
      <c r="L8" s="471" t="inlineStr">
        <is>
          <t>RBI-Jun26</t>
        </is>
      </c>
      <c r="M8" s="472" t="inlineStr">
        <is>
          <t>High</t>
        </is>
      </c>
      <c r="N8" s="536" t="inlineStr">
        <is>
          <t>Resolves Section A rows 15-18 by ScenID.</t>
        </is>
      </c>
      <c r="P8" s="708" t="inlineStr">
        <is>
          <t>MA01</t>
        </is>
      </c>
    </row>
    <row r="9">
      <c r="A9" s="450" t="inlineStr">
        <is>
          <t>D02</t>
        </is>
      </c>
      <c r="B9" s="482" t="inlineStr">
        <is>
          <t>Steel demand elasticity to real GDP</t>
        </is>
      </c>
      <c r="C9" s="452" t="inlineStr">
        <is>
          <t>x</t>
        </is>
      </c>
      <c r="D9" s="733">
        <f>'Steel Demand Model'!$C$114</f>
        <v/>
      </c>
      <c r="E9" s="457">
        <f>_xlfn.XLOOKUP($C$4,$D$42:$D$45,E42:E45)</f>
        <v/>
      </c>
      <c r="F9" s="457">
        <f>_xlfn.XLOOKUP($C$4,$D$42:$D$45,F42:F45)</f>
        <v/>
      </c>
      <c r="G9" s="457">
        <f>_xlfn.XLOOKUP($C$4,$D$42:$D$45,G42:G45)</f>
        <v/>
      </c>
      <c r="H9" s="457">
        <f>_xlfn.XLOOKUP($C$4,$D$42:$D$45,H42:H45)</f>
        <v/>
      </c>
      <c r="I9" s="457">
        <f>_xlfn.XLOOKUP($C$4,$D$42:$D$45,I42:I45)</f>
        <v/>
      </c>
      <c r="J9" s="457">
        <f>_xlfn.XLOOKUP($C$4,$D$42:$D$45,J42:J45)</f>
        <v/>
      </c>
      <c r="K9" s="457">
        <f>_xlfn.XLOOKUP($C$4,$D$42:$D$45,K42:K45)</f>
        <v/>
      </c>
      <c r="L9" s="478" t="inlineStr">
        <is>
          <t>Derived-DB</t>
        </is>
      </c>
      <c r="M9" s="456" t="inlineStr">
        <is>
          <t>High</t>
        </is>
      </c>
      <c r="N9" s="537" t="inlineStr">
        <is>
          <t>Resolves Section A rows 19-22 by ScenID.</t>
        </is>
      </c>
      <c r="P9" s="708" t="inlineStr">
        <is>
          <t>MA02</t>
        </is>
      </c>
    </row>
    <row r="10">
      <c r="A10" s="450" t="inlineStr">
        <is>
          <t>D03</t>
        </is>
      </c>
      <c r="B10" s="482" t="inlineStr">
        <is>
          <t>USD/INR average</t>
        </is>
      </c>
      <c r="C10" s="452" t="inlineStr">
        <is>
          <t>Rs/US$</t>
        </is>
      </c>
      <c r="D10" s="734">
        <f>'Macroeconomic Model'!$C$106</f>
        <v/>
      </c>
      <c r="E10" s="735">
        <f>_xlfn.XLOOKUP($C$4,$D$46:$D$49,E46:E49)</f>
        <v/>
      </c>
      <c r="F10" s="735">
        <f>_xlfn.XLOOKUP($C$4,$D$46:$D$49,F46:F49)</f>
        <v/>
      </c>
      <c r="G10" s="735">
        <f>_xlfn.XLOOKUP($C$4,$D$46:$D$49,G46:G49)</f>
        <v/>
      </c>
      <c r="H10" s="735">
        <f>_xlfn.XLOOKUP($C$4,$D$46:$D$49,H46:H49)</f>
        <v/>
      </c>
      <c r="I10" s="735">
        <f>_xlfn.XLOOKUP($C$4,$D$46:$D$49,I46:I49)</f>
        <v/>
      </c>
      <c r="J10" s="735">
        <f>_xlfn.XLOOKUP($C$4,$D$46:$D$49,J46:J49)</f>
        <v/>
      </c>
      <c r="K10" s="735">
        <f>_xlfn.XLOOKUP($C$4,$D$46:$D$49,K46:K49)</f>
        <v/>
      </c>
      <c r="L10" s="478" t="inlineStr">
        <is>
          <t>IDBI-22Jun26</t>
        </is>
      </c>
      <c r="M10" s="456" t="inlineStr">
        <is>
          <t>High</t>
        </is>
      </c>
      <c r="N10" s="537" t="inlineStr">
        <is>
          <t>Resolves Section A rows 23-26 by ScenID.</t>
        </is>
      </c>
      <c r="P10" s="708" t="inlineStr">
        <is>
          <t>MA03</t>
        </is>
      </c>
    </row>
    <row r="11">
      <c r="A11" s="450" t="inlineStr">
        <is>
          <t>D04</t>
        </is>
      </c>
      <c r="B11" s="482" t="inlineStr">
        <is>
          <t>CPI inflation</t>
        </is>
      </c>
      <c r="C11" s="452" t="inlineStr">
        <is>
          <t>%</t>
        </is>
      </c>
      <c r="D11" s="736">
        <f>'Macroeconomic Model'!$C$103</f>
        <v/>
      </c>
      <c r="E11" s="735">
        <f>_xlfn.XLOOKUP($C$4,$D$50:$D$53,E50:E53)</f>
        <v/>
      </c>
      <c r="F11" s="735">
        <f>_xlfn.XLOOKUP($C$4,$D$50:$D$53,F50:F53)</f>
        <v/>
      </c>
      <c r="G11" s="735">
        <f>_xlfn.XLOOKUP($C$4,$D$50:$D$53,G50:G53)</f>
        <v/>
      </c>
      <c r="H11" s="735">
        <f>_xlfn.XLOOKUP($C$4,$D$50:$D$53,H50:H53)</f>
        <v/>
      </c>
      <c r="I11" s="735">
        <f>_xlfn.XLOOKUP($C$4,$D$50:$D$53,I50:I53)</f>
        <v/>
      </c>
      <c r="J11" s="735">
        <f>_xlfn.XLOOKUP($C$4,$D$50:$D$53,J50:J53)</f>
        <v/>
      </c>
      <c r="K11" s="735">
        <f>_xlfn.XLOOKUP($C$4,$D$50:$D$53,K50:K53)</f>
        <v/>
      </c>
      <c r="L11" s="478" t="inlineStr">
        <is>
          <t>RBI-Jun26</t>
        </is>
      </c>
      <c r="M11" s="456" t="inlineStr">
        <is>
          <t>High</t>
        </is>
      </c>
      <c r="N11" s="537" t="inlineStr">
        <is>
          <t>Resolves Section A rows 27-30 by ScenID.</t>
        </is>
      </c>
      <c r="P11" s="708" t="inlineStr">
        <is>
          <t>MA04</t>
        </is>
      </c>
    </row>
    <row r="12">
      <c r="A12" s="450" t="inlineStr">
        <is>
          <t>D05</t>
        </is>
      </c>
      <c r="B12" s="482" t="inlineStr">
        <is>
          <t>Announced pipeline delivery factor</t>
        </is>
      </c>
      <c r="C12" s="452" t="inlineStr">
        <is>
          <t>%</t>
        </is>
      </c>
      <c r="D12" s="737" t="n"/>
      <c r="E12" s="735">
        <f>_xlfn.XLOOKUP($C$4,$D$54:$D$57,E54:E57)</f>
        <v/>
      </c>
      <c r="F12" s="735">
        <f>_xlfn.XLOOKUP($C$4,$D$54:$D$57,F54:F57)</f>
        <v/>
      </c>
      <c r="G12" s="735">
        <f>_xlfn.XLOOKUP($C$4,$D$54:$D$57,G54:G57)</f>
        <v/>
      </c>
      <c r="H12" s="735">
        <f>_xlfn.XLOOKUP($C$4,$D$54:$D$57,H54:H57)</f>
        <v/>
      </c>
      <c r="I12" s="735">
        <f>_xlfn.XLOOKUP($C$4,$D$54:$D$57,I54:I57)</f>
        <v/>
      </c>
      <c r="J12" s="735">
        <f>_xlfn.XLOOKUP($C$4,$D$54:$D$57,J54:J57)</f>
        <v/>
      </c>
      <c r="K12" s="735">
        <f>_xlfn.XLOOKUP($C$4,$D$54:$D$57,K54:K57)</f>
        <v/>
      </c>
      <c r="L12" s="478" t="inlineStr">
        <is>
          <t>Derived-DB</t>
        </is>
      </c>
      <c r="M12" s="456" t="inlineStr">
        <is>
          <t>Medium</t>
        </is>
      </c>
      <c r="N12" s="537" t="inlineStr">
        <is>
          <t>Resolves Section A rows 31-34 by ScenID.</t>
        </is>
      </c>
      <c r="P12" s="708" t="inlineStr">
        <is>
          <t>MA05</t>
        </is>
      </c>
    </row>
    <row r="13">
      <c r="A13" s="450" t="inlineStr">
        <is>
          <t>D06</t>
        </is>
      </c>
      <c r="B13" s="482" t="inlineStr">
        <is>
          <t>Crude-to-finished steel ratio</t>
        </is>
      </c>
      <c r="C13" s="452" t="inlineStr">
        <is>
          <t>x</t>
        </is>
      </c>
      <c r="D13" s="738">
        <f>'Steel Supply Model'!$C$93</f>
        <v/>
      </c>
      <c r="E13" s="735">
        <f>_xlfn.XLOOKUP($C$4,$D$58:$D$61,E58:E61)</f>
        <v/>
      </c>
      <c r="F13" s="735">
        <f>_xlfn.XLOOKUP($C$4,$D$58:$D$61,F58:F61)</f>
        <v/>
      </c>
      <c r="G13" s="735">
        <f>_xlfn.XLOOKUP($C$4,$D$58:$D$61,G58:G61)</f>
        <v/>
      </c>
      <c r="H13" s="735">
        <f>_xlfn.XLOOKUP($C$4,$D$58:$D$61,H58:H61)</f>
        <v/>
      </c>
      <c r="I13" s="735">
        <f>_xlfn.XLOOKUP($C$4,$D$58:$D$61,I58:I61)</f>
        <v/>
      </c>
      <c r="J13" s="735">
        <f>_xlfn.XLOOKUP($C$4,$D$58:$D$61,J58:J61)</f>
        <v/>
      </c>
      <c r="K13" s="735">
        <f>_xlfn.XLOOKUP($C$4,$D$58:$D$61,K58:K61)</f>
        <v/>
      </c>
      <c r="L13" s="478" t="inlineStr">
        <is>
          <t>Derived-DB</t>
        </is>
      </c>
      <c r="M13" s="456" t="inlineStr">
        <is>
          <t>High</t>
        </is>
      </c>
      <c r="N13" s="537" t="inlineStr">
        <is>
          <t>Resolves Section A rows 35-38 by ScenID.</t>
        </is>
      </c>
      <c r="P13" s="708" t="inlineStr">
        <is>
          <t>MA06</t>
        </is>
      </c>
    </row>
    <row r="14">
      <c r="A14" s="450" t="inlineStr">
        <is>
          <t>D07</t>
        </is>
      </c>
      <c r="B14" s="482" t="inlineStr">
        <is>
          <t>Net finished steel exports</t>
        </is>
      </c>
      <c r="C14" s="452" t="inlineStr">
        <is>
          <t>Mt</t>
        </is>
      </c>
      <c r="D14" s="739">
        <f>'Steel Supply Model'!$C$90</f>
        <v/>
      </c>
      <c r="E14" s="735">
        <f>_xlfn.XLOOKUP($C$4,$D$62:$D$65,E62:E65)</f>
        <v/>
      </c>
      <c r="F14" s="735">
        <f>_xlfn.XLOOKUP($C$4,$D$62:$D$65,F62:F65)</f>
        <v/>
      </c>
      <c r="G14" s="735">
        <f>_xlfn.XLOOKUP($C$4,$D$62:$D$65,G62:G65)</f>
        <v/>
      </c>
      <c r="H14" s="735">
        <f>_xlfn.XLOOKUP($C$4,$D$62:$D$65,H62:H65)</f>
        <v/>
      </c>
      <c r="I14" s="735">
        <f>_xlfn.XLOOKUP($C$4,$D$62:$D$65,I62:I65)</f>
        <v/>
      </c>
      <c r="J14" s="735">
        <f>_xlfn.XLOOKUP($C$4,$D$62:$D$65,J62:J65)</f>
        <v/>
      </c>
      <c r="K14" s="735">
        <f>_xlfn.XLOOKUP($C$4,$D$62:$D$65,K62:K65)</f>
        <v/>
      </c>
      <c r="L14" s="478" t="inlineStr">
        <is>
          <t>Derived-DB</t>
        </is>
      </c>
      <c r="M14" s="456" t="inlineStr">
        <is>
          <t>Medium</t>
        </is>
      </c>
      <c r="N14" s="537" t="inlineStr">
        <is>
          <t>Resolves Section A rows 39-42 by ScenID.</t>
        </is>
      </c>
      <c r="P14" s="708" t="inlineStr">
        <is>
          <t>MA07</t>
        </is>
      </c>
    </row>
    <row r="15">
      <c r="A15" s="450" t="inlineStr">
        <is>
          <t>D08</t>
        </is>
      </c>
      <c r="B15" s="482" t="inlineStr">
        <is>
          <t>Variation in stock</t>
        </is>
      </c>
      <c r="C15" s="452" t="inlineStr">
        <is>
          <t>Mt</t>
        </is>
      </c>
      <c r="D15" s="739">
        <f>'Steel Supply Model'!$C$91</f>
        <v/>
      </c>
      <c r="E15" s="735">
        <f>_xlfn.XLOOKUP($C$4,$D$66:$D$69,E66:E69)</f>
        <v/>
      </c>
      <c r="F15" s="735">
        <f>_xlfn.XLOOKUP($C$4,$D$66:$D$69,F66:F69)</f>
        <v/>
      </c>
      <c r="G15" s="735">
        <f>_xlfn.XLOOKUP($C$4,$D$66:$D$69,G66:G69)</f>
        <v/>
      </c>
      <c r="H15" s="735">
        <f>_xlfn.XLOOKUP($C$4,$D$66:$D$69,H66:H69)</f>
        <v/>
      </c>
      <c r="I15" s="735">
        <f>_xlfn.XLOOKUP($C$4,$D$66:$D$69,I66:I69)</f>
        <v/>
      </c>
      <c r="J15" s="735">
        <f>_xlfn.XLOOKUP($C$4,$D$66:$D$69,J66:J69)</f>
        <v/>
      </c>
      <c r="K15" s="735">
        <f>_xlfn.XLOOKUP($C$4,$D$66:$D$69,K66:K69)</f>
        <v/>
      </c>
      <c r="L15" s="478" t="inlineStr">
        <is>
          <t>Derived-DB</t>
        </is>
      </c>
      <c r="M15" s="456" t="inlineStr">
        <is>
          <t>Medium</t>
        </is>
      </c>
      <c r="N15" s="537" t="inlineStr">
        <is>
          <t>Resolves Section A rows 43-46 by ScenID.</t>
        </is>
      </c>
      <c r="P15" s="708" t="inlineStr">
        <is>
          <t>MA08</t>
        </is>
      </c>
    </row>
    <row r="16">
      <c r="A16" s="450" t="inlineStr">
        <is>
          <t>D09</t>
        </is>
      </c>
      <c r="B16" s="482" t="inlineStr">
        <is>
          <t>Blended industry realisation</t>
        </is>
      </c>
      <c r="C16" s="452" t="inlineStr">
        <is>
          <t>Rs/t</t>
        </is>
      </c>
      <c r="D16" s="740">
        <f>'Steel Price Forecast'!$C$97</f>
        <v/>
      </c>
      <c r="E16" s="735">
        <f>_xlfn.XLOOKUP($C$4,$D$70:$D$73,E70:E73)</f>
        <v/>
      </c>
      <c r="F16" s="735">
        <f>_xlfn.XLOOKUP($C$4,$D$70:$D$73,F70:F73)</f>
        <v/>
      </c>
      <c r="G16" s="735">
        <f>_xlfn.XLOOKUP($C$4,$D$70:$D$73,G70:G73)</f>
        <v/>
      </c>
      <c r="H16" s="735">
        <f>_xlfn.XLOOKUP($C$4,$D$70:$D$73,H70:H73)</f>
        <v/>
      </c>
      <c r="I16" s="735">
        <f>_xlfn.XLOOKUP($C$4,$D$70:$D$73,I70:I73)</f>
        <v/>
      </c>
      <c r="J16" s="735">
        <f>_xlfn.XLOOKUP($C$4,$D$70:$D$73,J70:J73)</f>
        <v/>
      </c>
      <c r="K16" s="735">
        <f>_xlfn.XLOOKUP($C$4,$D$70:$D$73,K70:K73)</f>
        <v/>
      </c>
      <c r="L16" s="478" t="inlineStr">
        <is>
          <t>Derived-DB</t>
        </is>
      </c>
      <c r="M16" s="456" t="inlineStr">
        <is>
          <t>Medium</t>
        </is>
      </c>
      <c r="N16" s="537" t="inlineStr">
        <is>
          <t>Resolves Section A rows 47-50 by ScenID.</t>
        </is>
      </c>
      <c r="P16" s="708" t="inlineStr">
        <is>
          <t>MA09</t>
        </is>
      </c>
    </row>
    <row r="17">
      <c r="A17" s="450" t="inlineStr">
        <is>
          <t>D10</t>
        </is>
      </c>
      <c r="B17" s="482" t="inlineStr">
        <is>
          <t>Iron ore 62% Fe CFR China</t>
        </is>
      </c>
      <c r="C17" s="452" t="inlineStr">
        <is>
          <t>US$/dmt</t>
        </is>
      </c>
      <c r="D17" s="734">
        <f>'Raw Material Forecast'!$C$85</f>
        <v/>
      </c>
      <c r="E17" s="735">
        <f>_xlfn.XLOOKUP($C$4,$D$74:$D$77,E74:E77)</f>
        <v/>
      </c>
      <c r="F17" s="735">
        <f>_xlfn.XLOOKUP($C$4,$D$74:$D$77,F74:F77)</f>
        <v/>
      </c>
      <c r="G17" s="735">
        <f>_xlfn.XLOOKUP($C$4,$D$74:$D$77,G74:G77)</f>
        <v/>
      </c>
      <c r="H17" s="735">
        <f>_xlfn.XLOOKUP($C$4,$D$74:$D$77,H74:H77)</f>
        <v/>
      </c>
      <c r="I17" s="735">
        <f>_xlfn.XLOOKUP($C$4,$D$74:$D$77,I74:I77)</f>
        <v/>
      </c>
      <c r="J17" s="735">
        <f>_xlfn.XLOOKUP($C$4,$D$74:$D$77,J74:J77)</f>
        <v/>
      </c>
      <c r="K17" s="735">
        <f>_xlfn.XLOOKUP($C$4,$D$74:$D$77,K74:K77)</f>
        <v/>
      </c>
      <c r="L17" s="478" t="inlineStr">
        <is>
          <t>S17</t>
        </is>
      </c>
      <c r="M17" s="456" t="inlineStr">
        <is>
          <t>High</t>
        </is>
      </c>
      <c r="N17" s="537" t="inlineStr">
        <is>
          <t>Resolves Section A rows 51-54 by ScenID.</t>
        </is>
      </c>
      <c r="P17" s="708" t="inlineStr">
        <is>
          <t>MA10</t>
        </is>
      </c>
    </row>
    <row r="18">
      <c r="A18" s="450" t="inlineStr">
        <is>
          <t>D11</t>
        </is>
      </c>
      <c r="B18" s="482" t="inlineStr">
        <is>
          <t>Premium HCC coking coal FOB Australia</t>
        </is>
      </c>
      <c r="C18" s="452" t="inlineStr">
        <is>
          <t>US$/t</t>
        </is>
      </c>
      <c r="D18" s="740">
        <f>'Raw Material Forecast'!$C$86</f>
        <v/>
      </c>
      <c r="E18" s="735">
        <f>_xlfn.XLOOKUP($C$4,$D$78:$D$81,E78:E81)</f>
        <v/>
      </c>
      <c r="F18" s="735">
        <f>_xlfn.XLOOKUP($C$4,$D$78:$D$81,F78:F81)</f>
        <v/>
      </c>
      <c r="G18" s="735">
        <f>_xlfn.XLOOKUP($C$4,$D$78:$D$81,G78:G81)</f>
        <v/>
      </c>
      <c r="H18" s="735">
        <f>_xlfn.XLOOKUP($C$4,$D$78:$D$81,H78:H81)</f>
        <v/>
      </c>
      <c r="I18" s="735">
        <f>_xlfn.XLOOKUP($C$4,$D$78:$D$81,I78:I81)</f>
        <v/>
      </c>
      <c r="J18" s="735">
        <f>_xlfn.XLOOKUP($C$4,$D$78:$D$81,J78:J81)</f>
        <v/>
      </c>
      <c r="K18" s="735">
        <f>_xlfn.XLOOKUP($C$4,$D$78:$D$81,K78:K81)</f>
        <v/>
      </c>
      <c r="L18" s="478" t="inlineStr">
        <is>
          <t>S01</t>
        </is>
      </c>
      <c r="M18" s="456" t="inlineStr">
        <is>
          <t>Medium</t>
        </is>
      </c>
      <c r="N18" s="537" t="inlineStr">
        <is>
          <t>Resolves Section A rows 55-58 by ScenID.</t>
        </is>
      </c>
      <c r="P18" s="708" t="inlineStr">
        <is>
          <t>MA11</t>
        </is>
      </c>
    </row>
    <row r="19">
      <c r="A19" s="450" t="inlineStr">
        <is>
          <t>D12</t>
        </is>
      </c>
      <c r="B19" s="482" t="inlineStr">
        <is>
          <t>Conversion cost inflation</t>
        </is>
      </c>
      <c r="C19" s="452" t="inlineStr">
        <is>
          <t>%</t>
        </is>
      </c>
      <c r="D19" s="737" t="n"/>
      <c r="E19" s="735">
        <f>_xlfn.XLOOKUP($C$4,$D$82:$D$85,E82:E85)</f>
        <v/>
      </c>
      <c r="F19" s="735">
        <f>_xlfn.XLOOKUP($C$4,$D$82:$D$85,F82:F85)</f>
        <v/>
      </c>
      <c r="G19" s="735">
        <f>_xlfn.XLOOKUP($C$4,$D$82:$D$85,G82:G85)</f>
        <v/>
      </c>
      <c r="H19" s="735">
        <f>_xlfn.XLOOKUP($C$4,$D$82:$D$85,H82:H85)</f>
        <v/>
      </c>
      <c r="I19" s="735">
        <f>_xlfn.XLOOKUP($C$4,$D$82:$D$85,I82:I85)</f>
        <v/>
      </c>
      <c r="J19" s="735">
        <f>_xlfn.XLOOKUP($C$4,$D$82:$D$85,J82:J85)</f>
        <v/>
      </c>
      <c r="K19" s="735">
        <f>_xlfn.XLOOKUP($C$4,$D$82:$D$85,K82:K85)</f>
        <v/>
      </c>
      <c r="L19" s="478" t="inlineStr">
        <is>
          <t>RBI-Jun26</t>
        </is>
      </c>
      <c r="M19" s="456" t="inlineStr">
        <is>
          <t>Medium</t>
        </is>
      </c>
      <c r="N19" s="537" t="inlineStr">
        <is>
          <t>Resolves Section A rows 59-62 by ScenID.</t>
        </is>
      </c>
      <c r="P19" s="708" t="inlineStr">
        <is>
          <t>MA12</t>
        </is>
      </c>
    </row>
    <row r="20">
      <c r="A20" s="450" t="inlineStr">
        <is>
          <t>D13</t>
        </is>
      </c>
      <c r="B20" s="482" t="inlineStr">
        <is>
          <t>Raw material share of cash cost</t>
        </is>
      </c>
      <c r="C20" s="452" t="inlineStr">
        <is>
          <t>%</t>
        </is>
      </c>
      <c r="D20" s="741" t="n">
        <v>0.6</v>
      </c>
      <c r="E20" s="735">
        <f>_xlfn.XLOOKUP($C$4,$D$86:$D$89,E86:E89)</f>
        <v/>
      </c>
      <c r="F20" s="735">
        <f>_xlfn.XLOOKUP($C$4,$D$86:$D$89,F86:F89)</f>
        <v/>
      </c>
      <c r="G20" s="735">
        <f>_xlfn.XLOOKUP($C$4,$D$86:$D$89,G86:G89)</f>
        <v/>
      </c>
      <c r="H20" s="735">
        <f>_xlfn.XLOOKUP($C$4,$D$86:$D$89,H86:H89)</f>
        <v/>
      </c>
      <c r="I20" s="735">
        <f>_xlfn.XLOOKUP($C$4,$D$86:$D$89,I86:I89)</f>
        <v/>
      </c>
      <c r="J20" s="735">
        <f>_xlfn.XLOOKUP($C$4,$D$86:$D$89,J86:J89)</f>
        <v/>
      </c>
      <c r="K20" s="735">
        <f>_xlfn.XLOOKUP($C$4,$D$86:$D$89,K86:K89)</f>
        <v/>
      </c>
      <c r="L20" s="478" t="inlineStr">
        <is>
          <t>Indicative</t>
        </is>
      </c>
      <c r="M20" s="456" t="inlineStr">
        <is>
          <t>Low</t>
        </is>
      </c>
      <c r="N20" s="537" t="inlineStr">
        <is>
          <t>Resolves Section A rows 63-66 by ScenID.</t>
        </is>
      </c>
      <c r="P20" s="708" t="inlineStr">
        <is>
          <t>MA13</t>
        </is>
      </c>
    </row>
    <row r="21" ht="27.6" customHeight="1" s="632">
      <c r="A21" s="450" t="inlineStr">
        <is>
          <t>D14</t>
        </is>
      </c>
      <c r="B21" s="482" t="inlineStr">
        <is>
          <t>Iron ore weight in the raw material basket</t>
        </is>
      </c>
      <c r="C21" s="452" t="inlineStr">
        <is>
          <t>%</t>
        </is>
      </c>
      <c r="D21" s="741" t="n">
        <v>0.45</v>
      </c>
      <c r="E21" s="735">
        <f>_xlfn.XLOOKUP($C$4,$D$90:$D$93,E90:E93)</f>
        <v/>
      </c>
      <c r="F21" s="735">
        <f>_xlfn.XLOOKUP($C$4,$D$90:$D$93,F90:F93)</f>
        <v/>
      </c>
      <c r="G21" s="735">
        <f>_xlfn.XLOOKUP($C$4,$D$90:$D$93,G90:G93)</f>
        <v/>
      </c>
      <c r="H21" s="735">
        <f>_xlfn.XLOOKUP($C$4,$D$90:$D$93,H90:H93)</f>
        <v/>
      </c>
      <c r="I21" s="735">
        <f>_xlfn.XLOOKUP($C$4,$D$90:$D$93,I90:I93)</f>
        <v/>
      </c>
      <c r="J21" s="735">
        <f>_xlfn.XLOOKUP($C$4,$D$90:$D$93,J90:J93)</f>
        <v/>
      </c>
      <c r="K21" s="735">
        <f>_xlfn.XLOOKUP($C$4,$D$90:$D$93,K90:K93)</f>
        <v/>
      </c>
      <c r="L21" s="478" t="inlineStr">
        <is>
          <t>Indicative</t>
        </is>
      </c>
      <c r="M21" s="456" t="inlineStr">
        <is>
          <t>Low</t>
        </is>
      </c>
      <c r="N21" s="537" t="inlineStr">
        <is>
          <t>Resolves Section A rows 67-70 by ScenID.</t>
        </is>
      </c>
      <c r="P21" s="708" t="inlineStr">
        <is>
          <t>MA14</t>
        </is>
      </c>
    </row>
    <row r="22">
      <c r="A22" s="450" t="inlineStr">
        <is>
          <t>D15</t>
        </is>
      </c>
      <c r="B22" s="482" t="inlineStr">
        <is>
          <t>Effective tax rate</t>
        </is>
      </c>
      <c r="C22" s="452" t="inlineStr">
        <is>
          <t>%</t>
        </is>
      </c>
      <c r="D22" s="742" t="n">
        <v>0.2517</v>
      </c>
      <c r="E22" s="735">
        <f>_xlfn.XLOOKUP($C$4,$D$94:$D$97,E94:E97)</f>
        <v/>
      </c>
      <c r="F22" s="735">
        <f>_xlfn.XLOOKUP($C$4,$D$94:$D$97,F94:F97)</f>
        <v/>
      </c>
      <c r="G22" s="735">
        <f>_xlfn.XLOOKUP($C$4,$D$94:$D$97,G94:G97)</f>
        <v/>
      </c>
      <c r="H22" s="735">
        <f>_xlfn.XLOOKUP($C$4,$D$94:$D$97,H94:H97)</f>
        <v/>
      </c>
      <c r="I22" s="735">
        <f>_xlfn.XLOOKUP($C$4,$D$94:$D$97,I94:I97)</f>
        <v/>
      </c>
      <c r="J22" s="735">
        <f>_xlfn.XLOOKUP($C$4,$D$94:$D$97,J94:J97)</f>
        <v/>
      </c>
      <c r="K22" s="735">
        <f>_xlfn.XLOOKUP($C$4,$D$94:$D$97,K94:K97)</f>
        <v/>
      </c>
      <c r="L22" s="478" t="inlineStr">
        <is>
          <t>Statutory</t>
        </is>
      </c>
      <c r="M22" s="456" t="inlineStr">
        <is>
          <t>Medium</t>
        </is>
      </c>
      <c r="N22" s="537" t="inlineStr">
        <is>
          <t>Resolves Section A rows 71-74 by ScenID.</t>
        </is>
      </c>
      <c r="P22" s="708" t="inlineStr">
        <is>
          <t>MA15</t>
        </is>
      </c>
    </row>
    <row r="23">
      <c r="A23" s="450" t="inlineStr">
        <is>
          <t>D16</t>
        </is>
      </c>
      <c r="B23" s="482" t="inlineStr">
        <is>
          <t>Capex intensity</t>
        </is>
      </c>
      <c r="C23" s="452" t="inlineStr">
        <is>
          <t>Rs/t of capacity added</t>
        </is>
      </c>
      <c r="D23" s="743" t="n">
        <v>55000</v>
      </c>
      <c r="E23" s="735">
        <f>_xlfn.XLOOKUP($C$4,$D$98:$D$101,E98:E101)</f>
        <v/>
      </c>
      <c r="F23" s="735">
        <f>_xlfn.XLOOKUP($C$4,$D$98:$D$101,F98:F101)</f>
        <v/>
      </c>
      <c r="G23" s="735">
        <f>_xlfn.XLOOKUP($C$4,$D$98:$D$101,G98:G101)</f>
        <v/>
      </c>
      <c r="H23" s="735">
        <f>_xlfn.XLOOKUP($C$4,$D$98:$D$101,H98:H101)</f>
        <v/>
      </c>
      <c r="I23" s="735">
        <f>_xlfn.XLOOKUP($C$4,$D$98:$D$101,I98:I101)</f>
        <v/>
      </c>
      <c r="J23" s="735">
        <f>_xlfn.XLOOKUP($C$4,$D$98:$D$101,J98:J101)</f>
        <v/>
      </c>
      <c r="K23" s="735">
        <f>_xlfn.XLOOKUP($C$4,$D$98:$D$101,K98:K101)</f>
        <v/>
      </c>
      <c r="L23" s="478" t="inlineStr">
        <is>
          <t>Derived-DB</t>
        </is>
      </c>
      <c r="M23" s="456" t="inlineStr">
        <is>
          <t>Medium</t>
        </is>
      </c>
      <c r="N23" s="537" t="inlineStr">
        <is>
          <t>Resolves Section A rows 75-78 by ScenID.</t>
        </is>
      </c>
      <c r="P23" s="708" t="inlineStr">
        <is>
          <t>MA16</t>
        </is>
      </c>
    </row>
    <row r="24">
      <c r="A24" s="450" t="inlineStr">
        <is>
          <t>D17</t>
        </is>
      </c>
      <c r="B24" s="482" t="inlineStr">
        <is>
          <t>Maintenance capex</t>
        </is>
      </c>
      <c r="C24" s="452" t="inlineStr">
        <is>
          <t>% of revenue</t>
        </is>
      </c>
      <c r="D24" s="744" t="n">
        <v>0.03</v>
      </c>
      <c r="E24" s="735">
        <f>_xlfn.XLOOKUP($C$4,$D$102:$D$105,E102:E105)</f>
        <v/>
      </c>
      <c r="F24" s="735">
        <f>_xlfn.XLOOKUP($C$4,$D$102:$D$105,F102:F105)</f>
        <v/>
      </c>
      <c r="G24" s="735">
        <f>_xlfn.XLOOKUP($C$4,$D$102:$D$105,G102:G105)</f>
        <v/>
      </c>
      <c r="H24" s="735">
        <f>_xlfn.XLOOKUP($C$4,$D$102:$D$105,H102:H105)</f>
        <v/>
      </c>
      <c r="I24" s="735">
        <f>_xlfn.XLOOKUP($C$4,$D$102:$D$105,I102:I105)</f>
        <v/>
      </c>
      <c r="J24" s="735">
        <f>_xlfn.XLOOKUP($C$4,$D$102:$D$105,J102:J105)</f>
        <v/>
      </c>
      <c r="K24" s="735">
        <f>_xlfn.XLOOKUP($C$4,$D$102:$D$105,K102:K105)</f>
        <v/>
      </c>
      <c r="L24" s="478" t="inlineStr">
        <is>
          <t>Indicative</t>
        </is>
      </c>
      <c r="M24" s="456" t="inlineStr">
        <is>
          <t>Low</t>
        </is>
      </c>
      <c r="N24" s="537" t="inlineStr">
        <is>
          <t>Resolves Section A rows 79-82 by ScenID.</t>
        </is>
      </c>
      <c r="P24" s="708" t="inlineStr">
        <is>
          <t>MA17</t>
        </is>
      </c>
    </row>
    <row r="25">
      <c r="A25" s="450" t="inlineStr">
        <is>
          <t>D18</t>
        </is>
      </c>
      <c r="B25" s="482" t="inlineStr">
        <is>
          <t>Net working capital</t>
        </is>
      </c>
      <c r="C25" s="452" t="inlineStr">
        <is>
          <t>days of revenue</t>
        </is>
      </c>
      <c r="D25" s="743" t="n">
        <v>45</v>
      </c>
      <c r="E25" s="735">
        <f>_xlfn.XLOOKUP($C$4,$D$106:$D$109,E106:E109)</f>
        <v/>
      </c>
      <c r="F25" s="735">
        <f>_xlfn.XLOOKUP($C$4,$D$106:$D$109,F106:F109)</f>
        <v/>
      </c>
      <c r="G25" s="735">
        <f>_xlfn.XLOOKUP($C$4,$D$106:$D$109,G106:G109)</f>
        <v/>
      </c>
      <c r="H25" s="735">
        <f>_xlfn.XLOOKUP($C$4,$D$106:$D$109,H106:H109)</f>
        <v/>
      </c>
      <c r="I25" s="735">
        <f>_xlfn.XLOOKUP($C$4,$D$106:$D$109,I106:I109)</f>
        <v/>
      </c>
      <c r="J25" s="735">
        <f>_xlfn.XLOOKUP($C$4,$D$106:$D$109,J106:J109)</f>
        <v/>
      </c>
      <c r="K25" s="735">
        <f>_xlfn.XLOOKUP($C$4,$D$106:$D$109,K106:K109)</f>
        <v/>
      </c>
      <c r="L25" s="478" t="inlineStr">
        <is>
          <t>Not sourced</t>
        </is>
      </c>
      <c r="M25" s="456" t="inlineStr">
        <is>
          <t>Low</t>
        </is>
      </c>
      <c r="N25" s="537" t="inlineStr">
        <is>
          <t>Resolves Section A rows 83-86 by ScenID.</t>
        </is>
      </c>
      <c r="P25" s="708" t="inlineStr">
        <is>
          <t>MA18</t>
        </is>
      </c>
    </row>
    <row r="26">
      <c r="A26" s="450" t="inlineStr">
        <is>
          <t>D19</t>
        </is>
      </c>
      <c r="B26" s="482" t="inlineStr">
        <is>
          <t>Exit EV/EBITDA multiple</t>
        </is>
      </c>
      <c r="C26" s="452" t="inlineStr">
        <is>
          <t>x</t>
        </is>
      </c>
      <c r="D26" s="737" t="n"/>
      <c r="E26" s="735">
        <f>_xlfn.XLOOKUP($C$4,$D$110:$D$113,E110:E113)</f>
        <v/>
      </c>
      <c r="F26" s="735">
        <f>_xlfn.XLOOKUP($C$4,$D$110:$D$113,F110:F113)</f>
        <v/>
      </c>
      <c r="G26" s="735">
        <f>_xlfn.XLOOKUP($C$4,$D$110:$D$113,G110:G113)</f>
        <v/>
      </c>
      <c r="H26" s="735">
        <f>_xlfn.XLOOKUP($C$4,$D$110:$D$113,H110:H113)</f>
        <v/>
      </c>
      <c r="I26" s="735">
        <f>_xlfn.XLOOKUP($C$4,$D$110:$D$113,I110:I113)</f>
        <v/>
      </c>
      <c r="J26" s="735">
        <f>_xlfn.XLOOKUP($C$4,$D$110:$D$113,J110:J113)</f>
        <v/>
      </c>
      <c r="K26" s="735">
        <f>_xlfn.XLOOKUP($C$4,$D$110:$D$113,K110:K113)</f>
        <v/>
      </c>
      <c r="L26" s="478" t="inlineStr">
        <is>
          <t>Not sourced</t>
        </is>
      </c>
      <c r="M26" s="456" t="inlineStr">
        <is>
          <t>Low</t>
        </is>
      </c>
      <c r="N26" s="537" t="inlineStr">
        <is>
          <t>Resolves Section A rows 87-90 by ScenID.</t>
        </is>
      </c>
      <c r="P26" s="708" t="inlineStr">
        <is>
          <t>MA19</t>
        </is>
      </c>
    </row>
    <row r="27">
      <c r="A27" s="450" t="inlineStr">
        <is>
          <t>D20</t>
        </is>
      </c>
      <c r="B27" s="482" t="inlineStr">
        <is>
          <t>WACC (nominal, INR)</t>
        </is>
      </c>
      <c r="C27" s="452" t="inlineStr">
        <is>
          <t>%</t>
        </is>
      </c>
      <c r="D27" s="736">
        <f>$D$168</f>
        <v/>
      </c>
      <c r="E27" s="735">
        <f>_xlfn.XLOOKUP($C$4,$D$114:$D$117,E114:E117)</f>
        <v/>
      </c>
      <c r="F27" s="735">
        <f>_xlfn.XLOOKUP($C$4,$D$114:$D$117,F114:F117)</f>
        <v/>
      </c>
      <c r="G27" s="735">
        <f>_xlfn.XLOOKUP($C$4,$D$114:$D$117,G114:G117)</f>
        <v/>
      </c>
      <c r="H27" s="735">
        <f>_xlfn.XLOOKUP($C$4,$D$114:$D$117,H114:H117)</f>
        <v/>
      </c>
      <c r="I27" s="735">
        <f>_xlfn.XLOOKUP($C$4,$D$114:$D$117,I114:I117)</f>
        <v/>
      </c>
      <c r="J27" s="735">
        <f>_xlfn.XLOOKUP($C$4,$D$114:$D$117,J114:J117)</f>
        <v/>
      </c>
      <c r="K27" s="735">
        <f>_xlfn.XLOOKUP($C$4,$D$114:$D$117,K114:K117)</f>
        <v/>
      </c>
      <c r="L27" s="478" t="inlineStr">
        <is>
          <t>Composite</t>
        </is>
      </c>
      <c r="M27" s="456" t="inlineStr">
        <is>
          <t>Medium</t>
        </is>
      </c>
      <c r="N27" s="537" t="inlineStr">
        <is>
          <t>Resolves Section A rows 91-94 by ScenID.</t>
        </is>
      </c>
      <c r="P27" s="708" t="inlineStr">
        <is>
          <t>MA20</t>
        </is>
      </c>
    </row>
    <row r="28">
      <c r="A28" s="450" t="inlineStr">
        <is>
          <t>D21</t>
        </is>
      </c>
      <c r="B28" s="482" t="inlineStr">
        <is>
          <t>Finished steel imports</t>
        </is>
      </c>
      <c r="C28" s="452" t="inlineStr">
        <is>
          <t>Mt</t>
        </is>
      </c>
      <c r="D28" s="745">
        <f>'Trade Model'!$C$74</f>
        <v/>
      </c>
      <c r="E28" s="735">
        <f>_xlfn.XLOOKUP($C$4,$D$118:$D$121,E118:E121)</f>
        <v/>
      </c>
      <c r="F28" s="735">
        <f>_xlfn.XLOOKUP($C$4,$D$118:$D$121,F118:F121)</f>
        <v/>
      </c>
      <c r="G28" s="735">
        <f>_xlfn.XLOOKUP($C$4,$D$118:$D$121,G118:G121)</f>
        <v/>
      </c>
      <c r="H28" s="735">
        <f>_xlfn.XLOOKUP($C$4,$D$118:$D$121,H118:H121)</f>
        <v/>
      </c>
      <c r="I28" s="735">
        <f>_xlfn.XLOOKUP($C$4,$D$118:$D$121,I118:I121)</f>
        <v/>
      </c>
      <c r="J28" s="735">
        <f>_xlfn.XLOOKUP($C$4,$D$118:$D$121,J118:J121)</f>
        <v/>
      </c>
      <c r="K28" s="735">
        <f>_xlfn.XLOOKUP($C$4,$D$118:$D$121,K118:K121)</f>
        <v/>
      </c>
      <c r="L28" s="478" t="inlineStr">
        <is>
          <t>Derived-DB</t>
        </is>
      </c>
      <c r="M28" s="456" t="inlineStr">
        <is>
          <t>Medium</t>
        </is>
      </c>
      <c r="N28" s="537" t="inlineStr">
        <is>
          <t>Resolves Section A rows 95-98 by ScenID.</t>
        </is>
      </c>
      <c r="P28" s="708" t="inlineStr">
        <is>
          <t>MA21</t>
        </is>
      </c>
    </row>
    <row r="29" ht="27.6" customHeight="1" s="632">
      <c r="A29" s="450" t="inlineStr">
        <is>
          <t>D22</t>
        </is>
      </c>
      <c r="B29" s="482" t="inlineStr">
        <is>
          <t>Secondary and unattributed capacity additions</t>
        </is>
      </c>
      <c r="C29" s="452" t="inlineStr">
        <is>
          <t>Mtpa p.a.</t>
        </is>
      </c>
      <c r="D29" s="745">
        <f>'Capacity Forecast'!$C$100</f>
        <v/>
      </c>
      <c r="E29" s="735">
        <f>_xlfn.XLOOKUP($C$4,$D$122:$D$125,E122:E125)</f>
        <v/>
      </c>
      <c r="F29" s="735">
        <f>_xlfn.XLOOKUP($C$4,$D$122:$D$125,F122:F125)</f>
        <v/>
      </c>
      <c r="G29" s="735">
        <f>_xlfn.XLOOKUP($C$4,$D$122:$D$125,G122:G125)</f>
        <v/>
      </c>
      <c r="H29" s="735">
        <f>_xlfn.XLOOKUP($C$4,$D$122:$D$125,H122:H125)</f>
        <v/>
      </c>
      <c r="I29" s="735">
        <f>_xlfn.XLOOKUP($C$4,$D$122:$D$125,I122:I125)</f>
        <v/>
      </c>
      <c r="J29" s="735">
        <f>_xlfn.XLOOKUP($C$4,$D$122:$D$125,J122:J125)</f>
        <v/>
      </c>
      <c r="K29" s="735">
        <f>_xlfn.XLOOKUP($C$4,$D$122:$D$125,K122:K125)</f>
        <v/>
      </c>
      <c r="L29" s="478" t="inlineStr">
        <is>
          <t>Derived-DB</t>
        </is>
      </c>
      <c r="M29" s="456" t="inlineStr">
        <is>
          <t>Medium</t>
        </is>
      </c>
      <c r="N29" s="537" t="inlineStr">
        <is>
          <t>Resolves Section A rows 99-102 by ScenID.</t>
        </is>
      </c>
      <c r="P29" s="708" t="inlineStr">
        <is>
          <t>MA22</t>
        </is>
      </c>
    </row>
    <row r="30" ht="27.6" customHeight="1" s="632">
      <c r="A30" s="450" t="inlineStr">
        <is>
          <t>D23</t>
        </is>
      </c>
      <c r="B30" s="482" t="inlineStr">
        <is>
          <t>Price sensitivity to capacity utilisation (lagged)</t>
        </is>
      </c>
      <c r="C30" s="452" t="inlineStr">
        <is>
          <t>x</t>
        </is>
      </c>
      <c r="D30" s="746" t="n">
        <v>0.4</v>
      </c>
      <c r="E30" s="735">
        <f>_xlfn.XLOOKUP($C$4,$D$126:$D$129,E126:E129)</f>
        <v/>
      </c>
      <c r="F30" s="735">
        <f>_xlfn.XLOOKUP($C$4,$D$126:$D$129,F126:F129)</f>
        <v/>
      </c>
      <c r="G30" s="735">
        <f>_xlfn.XLOOKUP($C$4,$D$126:$D$129,G126:G129)</f>
        <v/>
      </c>
      <c r="H30" s="735">
        <f>_xlfn.XLOOKUP($C$4,$D$126:$D$129,H126:H129)</f>
        <v/>
      </c>
      <c r="I30" s="735">
        <f>_xlfn.XLOOKUP($C$4,$D$126:$D$129,I126:I129)</f>
        <v/>
      </c>
      <c r="J30" s="735">
        <f>_xlfn.XLOOKUP($C$4,$D$126:$D$129,J126:J129)</f>
        <v/>
      </c>
      <c r="K30" s="735">
        <f>_xlfn.XLOOKUP($C$4,$D$126:$D$129,K126:K129)</f>
        <v/>
      </c>
      <c r="L30" s="478" t="inlineStr">
        <is>
          <t>Indicative</t>
        </is>
      </c>
      <c r="M30" s="456" t="inlineStr">
        <is>
          <t>Low</t>
        </is>
      </c>
      <c r="N30" s="537" t="inlineStr">
        <is>
          <t>Resolves Section A rows 103-106 by ScenID.</t>
        </is>
      </c>
      <c r="P30" s="708" t="inlineStr">
        <is>
          <t>MA23</t>
        </is>
      </c>
    </row>
    <row r="31">
      <c r="A31" s="450" t="inlineStr">
        <is>
          <t>D24</t>
        </is>
      </c>
      <c r="B31" s="482" t="inlineStr">
        <is>
          <t>Normal capacity utilisation</t>
        </is>
      </c>
      <c r="C31" s="452" t="inlineStr">
        <is>
          <t>%</t>
        </is>
      </c>
      <c r="D31" s="741" t="n">
        <v>0.8</v>
      </c>
      <c r="E31" s="735">
        <f>_xlfn.XLOOKUP($C$4,$D$130:$D$133,E130:E133)</f>
        <v/>
      </c>
      <c r="F31" s="735">
        <f>_xlfn.XLOOKUP($C$4,$D$130:$D$133,F130:F133)</f>
        <v/>
      </c>
      <c r="G31" s="735">
        <f>_xlfn.XLOOKUP($C$4,$D$130:$D$133,G130:G133)</f>
        <v/>
      </c>
      <c r="H31" s="735">
        <f>_xlfn.XLOOKUP($C$4,$D$130:$D$133,H130:H133)</f>
        <v/>
      </c>
      <c r="I31" s="735">
        <f>_xlfn.XLOOKUP($C$4,$D$130:$D$133,I130:I133)</f>
        <v/>
      </c>
      <c r="J31" s="735">
        <f>_xlfn.XLOOKUP($C$4,$D$130:$D$133,J130:J133)</f>
        <v/>
      </c>
      <c r="K31" s="735">
        <f>_xlfn.XLOOKUP($C$4,$D$130:$D$133,K130:K133)</f>
        <v/>
      </c>
      <c r="L31" s="478" t="inlineStr">
        <is>
          <t>Derived-DB</t>
        </is>
      </c>
      <c r="M31" s="456" t="inlineStr">
        <is>
          <t>Medium</t>
        </is>
      </c>
      <c r="N31" s="537" t="inlineStr">
        <is>
          <t>Resolves Section A rows 107-110 by ScenID.</t>
        </is>
      </c>
      <c r="P31" s="708" t="inlineStr">
        <is>
          <t>MA24</t>
        </is>
      </c>
    </row>
    <row r="32">
      <c r="A32" s="450" t="inlineStr">
        <is>
          <t>D25</t>
        </is>
      </c>
      <c r="B32" s="482" t="inlineStr">
        <is>
          <t>Maximum practical capacity utilisation</t>
        </is>
      </c>
      <c r="C32" s="452" t="inlineStr">
        <is>
          <t>%</t>
        </is>
      </c>
      <c r="D32" s="741" t="n">
        <v>0.92</v>
      </c>
      <c r="E32" s="735">
        <f>_xlfn.XLOOKUP($C$4,$D$134:$D$137,E134:E137)</f>
        <v/>
      </c>
      <c r="F32" s="735">
        <f>_xlfn.XLOOKUP($C$4,$D$134:$D$137,F134:F137)</f>
        <v/>
      </c>
      <c r="G32" s="735">
        <f>_xlfn.XLOOKUP($C$4,$D$134:$D$137,G134:G137)</f>
        <v/>
      </c>
      <c r="H32" s="735">
        <f>_xlfn.XLOOKUP($C$4,$D$134:$D$137,H134:H137)</f>
        <v/>
      </c>
      <c r="I32" s="735">
        <f>_xlfn.XLOOKUP($C$4,$D$134:$D$137,I134:I137)</f>
        <v/>
      </c>
      <c r="J32" s="735">
        <f>_xlfn.XLOOKUP($C$4,$D$134:$D$137,J134:J137)</f>
        <v/>
      </c>
      <c r="K32" s="735">
        <f>_xlfn.XLOOKUP($C$4,$D$134:$D$137,K134:K137)</f>
        <v/>
      </c>
      <c r="L32" s="478" t="inlineStr">
        <is>
          <t>Indicative</t>
        </is>
      </c>
      <c r="M32" s="456" t="inlineStr">
        <is>
          <t>Low</t>
        </is>
      </c>
      <c r="N32" s="537" t="inlineStr">
        <is>
          <t>Resolves Section A rows 111-114 by ScenID.</t>
        </is>
      </c>
      <c r="P32" s="708" t="inlineStr">
        <is>
          <t>MA25</t>
        </is>
      </c>
    </row>
    <row r="33">
      <c r="A33" s="459" t="inlineStr">
        <is>
          <t>D26</t>
        </is>
      </c>
      <c r="B33" s="460" t="inlineStr">
        <is>
          <t>Depreciation and amortisation</t>
        </is>
      </c>
      <c r="C33" s="461" t="inlineStr">
        <is>
          <t>% of revenue</t>
        </is>
      </c>
      <c r="D33" s="747">
        <f>'Cash Flow Model'!$C$98</f>
        <v/>
      </c>
      <c r="E33" s="748">
        <f>_xlfn.XLOOKUP($C$4,$D$138:$D$141,E138:E141)</f>
        <v/>
      </c>
      <c r="F33" s="748">
        <f>_xlfn.XLOOKUP($C$4,$D$138:$D$141,F138:F141)</f>
        <v/>
      </c>
      <c r="G33" s="748">
        <f>_xlfn.XLOOKUP($C$4,$D$138:$D$141,G138:G141)</f>
        <v/>
      </c>
      <c r="H33" s="748">
        <f>_xlfn.XLOOKUP($C$4,$D$138:$D$141,H138:H141)</f>
        <v/>
      </c>
      <c r="I33" s="748">
        <f>_xlfn.XLOOKUP($C$4,$D$138:$D$141,I138:I141)</f>
        <v/>
      </c>
      <c r="J33" s="748">
        <f>_xlfn.XLOOKUP($C$4,$D$138:$D$141,J138:J141)</f>
        <v/>
      </c>
      <c r="K33" s="748">
        <f>_xlfn.XLOOKUP($C$4,$D$138:$D$141,K138:K141)</f>
        <v/>
      </c>
      <c r="L33" s="464" t="inlineStr">
        <is>
          <t>Derived-DB</t>
        </is>
      </c>
      <c r="M33" s="465" t="inlineStr">
        <is>
          <t>High</t>
        </is>
      </c>
      <c r="N33" s="538" t="inlineStr">
        <is>
          <t>Resolves Section A rows 115-118 by ScenID.</t>
        </is>
      </c>
      <c r="P33" s="708" t="inlineStr">
        <is>
          <t>MA26</t>
        </is>
      </c>
    </row>
    <row r="34">
      <c r="B34" s="415" t="n"/>
    </row>
    <row r="35">
      <c r="B35" s="415" t="n"/>
    </row>
    <row r="36" ht="15.6" customHeight="1" s="632">
      <c r="A36" s="493" t="inlineStr">
        <is>
          <t xml:space="preserve">SCENARIO DRIVER MATRIX </t>
        </is>
      </c>
    </row>
    <row r="37" ht="15" customHeight="1" s="632" thickBot="1">
      <c r="A37" s="27" t="inlineStr">
        <is>
          <t>No</t>
        </is>
      </c>
      <c r="B37" s="27" t="inlineStr">
        <is>
          <t>Driver</t>
        </is>
      </c>
      <c r="C37" s="27" t="inlineStr">
        <is>
          <t>Unit</t>
        </is>
      </c>
      <c r="D37" s="27" t="inlineStr">
        <is>
          <t>Scenario</t>
        </is>
      </c>
      <c r="E37" s="27" t="inlineStr">
        <is>
          <t>FY2027E</t>
        </is>
      </c>
      <c r="F37" s="27" t="inlineStr">
        <is>
          <t>FY2028E</t>
        </is>
      </c>
      <c r="G37" s="27" t="inlineStr">
        <is>
          <t>FY2029E</t>
        </is>
      </c>
      <c r="H37" s="27" t="inlineStr">
        <is>
          <t>FY2030E</t>
        </is>
      </c>
      <c r="I37" s="27" t="inlineStr">
        <is>
          <t>FY2031E</t>
        </is>
      </c>
      <c r="J37" s="27" t="inlineStr">
        <is>
          <t>FY2032E</t>
        </is>
      </c>
      <c r="K37" s="27" t="inlineStr">
        <is>
          <t>FY2033E</t>
        </is>
      </c>
      <c r="L37" s="27" t="inlineStr">
        <is>
          <t>Source</t>
        </is>
      </c>
      <c r="M37" s="27" t="inlineStr">
        <is>
          <t>Conf.</t>
        </is>
      </c>
      <c r="N37" s="340" t="inlineStr">
        <is>
          <t>Evidence and reasoning</t>
        </is>
      </c>
    </row>
    <row r="38">
      <c r="A38" s="361" t="inlineStr">
        <is>
          <t>D01</t>
        </is>
      </c>
      <c r="B38" s="358" t="inlineStr">
        <is>
          <t>India real GDP growth</t>
        </is>
      </c>
      <c r="C38" s="351" t="inlineStr">
        <is>
          <t>%</t>
        </is>
      </c>
      <c r="D38" s="430" t="inlineStr">
        <is>
          <t>Base Case</t>
        </is>
      </c>
      <c r="E38" s="749" t="n">
        <v>0.066</v>
      </c>
      <c r="F38" s="749" t="n">
        <v>0.068</v>
      </c>
      <c r="G38" s="749" t="n">
        <v>0.068</v>
      </c>
      <c r="H38" s="749" t="n">
        <v>0.067</v>
      </c>
      <c r="I38" s="749" t="n">
        <v>0.067</v>
      </c>
      <c r="J38" s="749" t="n">
        <v>0.065</v>
      </c>
      <c r="K38" s="749" t="n">
        <v>0.065</v>
      </c>
      <c r="L38" s="351" t="inlineStr">
        <is>
          <t>RBI-Jun26</t>
        </is>
      </c>
      <c r="M38" s="351" t="inlineStr">
        <is>
          <t>High</t>
        </is>
      </c>
      <c r="N38" s="342" t="inlineStr">
        <is>
          <t>RBI Monetary Policy Committee, 05-Jun-2026, projects FY2027 real GDP growth at 6.6%, revised down from 6.9% in Apr-2026 on West Asia conflict, energy prices and monsoon risk; FY2026 estimated at 7.6%; Q4FY2026 actual 7.7%. Base case adopts the RBI FY2027 figure unchanged, then converges to a 6.5% steady state. Bull adds ~80bps on the RBI's own stated sensitivity that growth 'could top 7% if oil prices fall further'. Stress applies a 220bps FY2027 shock, comparable in magnitude to a global recession year.</t>
        </is>
      </c>
      <c r="O38" s="750" t="n"/>
    </row>
    <row r="39">
      <c r="A39" s="751" t="n"/>
      <c r="B39" s="752" t="n"/>
      <c r="C39" s="752" t="n"/>
      <c r="D39" s="432" t="inlineStr">
        <is>
          <t>Bull Case</t>
        </is>
      </c>
      <c r="E39" s="753" t="n">
        <v>0.074</v>
      </c>
      <c r="F39" s="753" t="n">
        <v>0.076</v>
      </c>
      <c r="G39" s="753" t="n">
        <v>0.075</v>
      </c>
      <c r="H39" s="753" t="n">
        <v>0.074</v>
      </c>
      <c r="I39" s="753" t="n">
        <v>0.073</v>
      </c>
      <c r="J39" s="753" t="n">
        <v>0.07199999999999999</v>
      </c>
      <c r="K39" s="753" t="n">
        <v>0.07000000000000001</v>
      </c>
      <c r="L39" s="752" t="n"/>
      <c r="M39" s="752" t="n"/>
      <c r="N39" s="754" t="n"/>
      <c r="O39" s="755" t="n"/>
    </row>
    <row r="40">
      <c r="A40" s="751" t="n"/>
      <c r="B40" s="752" t="n"/>
      <c r="C40" s="752" t="n"/>
      <c r="D40" s="432" t="inlineStr">
        <is>
          <t>Bear Case</t>
        </is>
      </c>
      <c r="E40" s="753" t="n">
        <v>0.056</v>
      </c>
      <c r="F40" s="753" t="n">
        <v>0.058</v>
      </c>
      <c r="G40" s="753" t="n">
        <v>0.06</v>
      </c>
      <c r="H40" s="753" t="n">
        <v>0.061</v>
      </c>
      <c r="I40" s="753" t="n">
        <v>0.062</v>
      </c>
      <c r="J40" s="753" t="n">
        <v>0.062</v>
      </c>
      <c r="K40" s="753" t="n">
        <v>0.062</v>
      </c>
      <c r="L40" s="752" t="n"/>
      <c r="M40" s="752" t="n"/>
      <c r="N40" s="754" t="n"/>
      <c r="O40" s="755" t="n"/>
    </row>
    <row r="41" ht="15" customHeight="1" s="632" thickBot="1">
      <c r="A41" s="756" t="n"/>
      <c r="B41" s="757" t="n"/>
      <c r="C41" s="757" t="n"/>
      <c r="D41" s="433" t="inlineStr">
        <is>
          <t>Stress Case</t>
        </is>
      </c>
      <c r="E41" s="758" t="n">
        <v>0.044</v>
      </c>
      <c r="F41" s="758" t="n">
        <v>0.048</v>
      </c>
      <c r="G41" s="758" t="n">
        <v>0.055</v>
      </c>
      <c r="H41" s="758" t="n">
        <v>0.058</v>
      </c>
      <c r="I41" s="758" t="n">
        <v>0.06</v>
      </c>
      <c r="J41" s="758" t="n">
        <v>0.06</v>
      </c>
      <c r="K41" s="758" t="n">
        <v>0.06</v>
      </c>
      <c r="L41" s="757" t="n"/>
      <c r="M41" s="757" t="n"/>
      <c r="N41" s="759" t="n"/>
      <c r="O41" s="760" t="n"/>
    </row>
    <row r="42">
      <c r="A42" s="761" t="inlineStr">
        <is>
          <t>D02</t>
        </is>
      </c>
      <c r="B42" s="762" t="inlineStr">
        <is>
          <t>Steel demand elasticity to real GDP</t>
        </is>
      </c>
      <c r="C42" s="763" t="inlineStr">
        <is>
          <t>x</t>
        </is>
      </c>
      <c r="D42" s="434" t="inlineStr">
        <is>
          <t>Base Case</t>
        </is>
      </c>
      <c r="E42" s="435" t="n">
        <v>1.15</v>
      </c>
      <c r="F42" s="435" t="n">
        <v>1.15</v>
      </c>
      <c r="G42" s="435" t="n">
        <v>1.12</v>
      </c>
      <c r="H42" s="435" t="n">
        <v>1.1</v>
      </c>
      <c r="I42" s="435" t="n">
        <v>1.08</v>
      </c>
      <c r="J42" s="435" t="n">
        <v>1.06</v>
      </c>
      <c r="K42" s="435" t="n">
        <v>1.05</v>
      </c>
      <c r="L42" s="763" t="inlineStr">
        <is>
          <t>Derived-DB</t>
        </is>
      </c>
      <c r="M42" s="763" t="inlineStr">
        <is>
          <t>High</t>
        </is>
      </c>
      <c r="N42" s="764" t="inlineStr">
        <is>
          <t>Realised elasticity FY2015-FY2026 is 1.06x to 1.13x: apparent consumption compounded at 7.13% (76.99 Mt to 164.19 Mt over 11 years) against real GDP CAGR of roughly 6.3-6.7%, midpoint 1.10x. Near-term base is set slightly above at 1.15x because worldsteel's Apr-2026 Short Range Outlook forecasts Indian demand +7.4% in CY2026 and +9.2% in CY2027 against RBI GDP of 6.6%, implying 1.1x-1.4x. Elasticity tapers toward 1.05x by FY2033 on the standard maturing-intensity argument as per capita consumption rises from 115.7 kg. Stress assumes elasticity falls below 1.0x, as it did in FY2021 (-5.27% consumption on a positive-growth base effect).</t>
        </is>
      </c>
      <c r="O42" s="765" t="n"/>
    </row>
    <row r="43">
      <c r="A43" s="751" t="n"/>
      <c r="B43" s="752" t="n"/>
      <c r="C43" s="752" t="n"/>
      <c r="D43" s="436" t="inlineStr">
        <is>
          <t>Bull Case</t>
        </is>
      </c>
      <c r="E43" s="437" t="n">
        <v>1.3</v>
      </c>
      <c r="F43" s="437" t="n">
        <v>1.28</v>
      </c>
      <c r="G43" s="437" t="n">
        <v>1.25</v>
      </c>
      <c r="H43" s="437" t="n">
        <v>1.22</v>
      </c>
      <c r="I43" s="437" t="n">
        <v>1.2</v>
      </c>
      <c r="J43" s="437" t="n">
        <v>1.18</v>
      </c>
      <c r="K43" s="437" t="n">
        <v>1.15</v>
      </c>
      <c r="L43" s="752" t="n"/>
      <c r="M43" s="752" t="n"/>
      <c r="N43" s="754" t="n"/>
      <c r="O43" s="766" t="n"/>
    </row>
    <row r="44">
      <c r="A44" s="751" t="n"/>
      <c r="B44" s="752" t="n"/>
      <c r="C44" s="752" t="n"/>
      <c r="D44" s="436" t="inlineStr">
        <is>
          <t>Bear Case</t>
        </is>
      </c>
      <c r="E44" s="437" t="n">
        <v>1</v>
      </c>
      <c r="F44" s="437" t="n">
        <v>1</v>
      </c>
      <c r="G44" s="437" t="n">
        <v>0.98</v>
      </c>
      <c r="H44" s="437" t="n">
        <v>0.97</v>
      </c>
      <c r="I44" s="437" t="n">
        <v>0.96</v>
      </c>
      <c r="J44" s="437" t="n">
        <v>0.95</v>
      </c>
      <c r="K44" s="437" t="n">
        <v>0.95</v>
      </c>
      <c r="L44" s="752" t="n"/>
      <c r="M44" s="752" t="n"/>
      <c r="N44" s="754" t="n"/>
      <c r="O44" s="766" t="n"/>
    </row>
    <row r="45" ht="15" customHeight="1" s="632" thickBot="1">
      <c r="A45" s="767" t="n"/>
      <c r="B45" s="768" t="n"/>
      <c r="C45" s="768" t="n"/>
      <c r="D45" s="438" t="inlineStr">
        <is>
          <t>Stress Case</t>
        </is>
      </c>
      <c r="E45" s="439" t="n">
        <v>0.75</v>
      </c>
      <c r="F45" s="439" t="n">
        <v>0.85</v>
      </c>
      <c r="G45" s="439" t="n">
        <v>0.9</v>
      </c>
      <c r="H45" s="439" t="n">
        <v>0.92</v>
      </c>
      <c r="I45" s="439" t="n">
        <v>0.93</v>
      </c>
      <c r="J45" s="439" t="n">
        <v>0.9399999999999999</v>
      </c>
      <c r="K45" s="439" t="n">
        <v>0.95</v>
      </c>
      <c r="L45" s="768" t="n"/>
      <c r="M45" s="768" t="n"/>
      <c r="N45" s="769" t="n"/>
      <c r="O45" s="770" t="n"/>
    </row>
    <row r="46">
      <c r="A46" s="761" t="inlineStr">
        <is>
          <t>D03</t>
        </is>
      </c>
      <c r="B46" s="762" t="inlineStr">
        <is>
          <t>USD/INR average</t>
        </is>
      </c>
      <c r="C46" s="763" t="inlineStr">
        <is>
          <t>Rs/US$</t>
        </is>
      </c>
      <c r="D46" s="434" t="inlineStr">
        <is>
          <t>Base Case</t>
        </is>
      </c>
      <c r="E46" s="771" t="n">
        <v>94.5</v>
      </c>
      <c r="F46" s="771" t="n">
        <v>95.5</v>
      </c>
      <c r="G46" s="771" t="n">
        <v>96.5</v>
      </c>
      <c r="H46" s="771" t="n">
        <v>97.5</v>
      </c>
      <c r="I46" s="771" t="n">
        <v>98.5</v>
      </c>
      <c r="J46" s="771" t="n">
        <v>99.5</v>
      </c>
      <c r="K46" s="771" t="n">
        <v>100.5</v>
      </c>
      <c r="L46" s="763" t="inlineStr">
        <is>
          <t>IDBI-22Jun26</t>
        </is>
      </c>
      <c r="M46" s="763" t="inlineStr">
        <is>
          <t>High</t>
        </is>
      </c>
      <c r="N46" s="764" t="inlineStr">
        <is>
          <t>Spot USD/INR was 94 on 22-Jun-2026 with a 52-week range of 85 to 98 (IDBI Capital commodity tracker). Base assumes ~1.0% annual depreciation, consistent with the inflation differential implied by RBI's 5.1% FY2027 CPI projection against developed-market targets of ~2%. Stress takes INR beyond the 52-week low to 113, a ~20% depreciation from spot. MATERIAL BOTH WAYS: a weaker INR raises rupee raw-material cost (iron ore, coking coal and nickel are dollar-priced) but also raises the rupee landed cost of imports, supporting domestic realisations.</t>
        </is>
      </c>
      <c r="O46" s="765" t="n"/>
    </row>
    <row r="47">
      <c r="A47" s="751" t="n"/>
      <c r="B47" s="752" t="n"/>
      <c r="C47" s="752" t="n"/>
      <c r="D47" s="436" t="inlineStr">
        <is>
          <t>Bull Case</t>
        </is>
      </c>
      <c r="E47" s="772" t="n">
        <v>93</v>
      </c>
      <c r="F47" s="772" t="n">
        <v>93.5</v>
      </c>
      <c r="G47" s="772" t="n">
        <v>94</v>
      </c>
      <c r="H47" s="772" t="n">
        <v>94.5</v>
      </c>
      <c r="I47" s="772" t="n">
        <v>95</v>
      </c>
      <c r="J47" s="772" t="n">
        <v>95.5</v>
      </c>
      <c r="K47" s="772" t="n">
        <v>96</v>
      </c>
      <c r="L47" s="752" t="n"/>
      <c r="M47" s="752" t="n"/>
      <c r="N47" s="754" t="n"/>
      <c r="O47" s="766" t="n"/>
    </row>
    <row r="48">
      <c r="A48" s="751" t="n"/>
      <c r="B48" s="752" t="n"/>
      <c r="C48" s="752" t="n"/>
      <c r="D48" s="436" t="inlineStr">
        <is>
          <t>Bear Case</t>
        </is>
      </c>
      <c r="E48" s="772" t="n">
        <v>96.5</v>
      </c>
      <c r="F48" s="772" t="n">
        <v>98.5</v>
      </c>
      <c r="G48" s="772" t="n">
        <v>100</v>
      </c>
      <c r="H48" s="772" t="n">
        <v>101.5</v>
      </c>
      <c r="I48" s="772" t="n">
        <v>103</v>
      </c>
      <c r="J48" s="772" t="n">
        <v>104.5</v>
      </c>
      <c r="K48" s="772" t="n">
        <v>106</v>
      </c>
      <c r="L48" s="752" t="n"/>
      <c r="M48" s="752" t="n"/>
      <c r="N48" s="754" t="n"/>
      <c r="O48" s="766" t="n"/>
    </row>
    <row r="49" ht="15" customHeight="1" s="632" thickBot="1">
      <c r="A49" s="767" t="n"/>
      <c r="B49" s="768" t="n"/>
      <c r="C49" s="768" t="n"/>
      <c r="D49" s="438" t="inlineStr">
        <is>
          <t>Stress Case</t>
        </is>
      </c>
      <c r="E49" s="773" t="n">
        <v>101</v>
      </c>
      <c r="F49" s="773" t="n">
        <v>105</v>
      </c>
      <c r="G49" s="773" t="n">
        <v>107</v>
      </c>
      <c r="H49" s="773" t="n">
        <v>108.5</v>
      </c>
      <c r="I49" s="773" t="n">
        <v>110</v>
      </c>
      <c r="J49" s="773" t="n">
        <v>111.5</v>
      </c>
      <c r="K49" s="773" t="n">
        <v>113</v>
      </c>
      <c r="L49" s="768" t="n"/>
      <c r="M49" s="768" t="n"/>
      <c r="N49" s="769" t="n"/>
      <c r="O49" s="770" t="n"/>
    </row>
    <row r="50" ht="10.2" customHeight="1" s="632">
      <c r="A50" s="761" t="inlineStr">
        <is>
          <t>D04</t>
        </is>
      </c>
      <c r="B50" s="762" t="inlineStr">
        <is>
          <t>CPI inflation</t>
        </is>
      </c>
      <c r="C50" s="763" t="inlineStr">
        <is>
          <t>%</t>
        </is>
      </c>
      <c r="D50" s="434" t="inlineStr">
        <is>
          <t>Base Case</t>
        </is>
      </c>
      <c r="E50" s="774" t="n">
        <v>0.051</v>
      </c>
      <c r="F50" s="774" t="n">
        <v>0.046</v>
      </c>
      <c r="G50" s="774" t="n">
        <v>0.045</v>
      </c>
      <c r="H50" s="774" t="n">
        <v>0.045</v>
      </c>
      <c r="I50" s="774" t="n">
        <v>0.045</v>
      </c>
      <c r="J50" s="774" t="n">
        <v>0.045</v>
      </c>
      <c r="K50" s="774" t="n">
        <v>0.045</v>
      </c>
      <c r="L50" s="763" t="inlineStr">
        <is>
          <t>RBI-Jun26</t>
        </is>
      </c>
      <c r="M50" s="763" t="inlineStr">
        <is>
          <t>High</t>
        </is>
      </c>
      <c r="N50" s="764" t="inlineStr">
        <is>
          <t>RBI raised its FY2027 CPI projection by 50bps to 5.1% at the 05-Jun-2026 MPC, citing crude oil and supply disruption. Base converges to the 4.5% mid-point of the RBI's 4%+/-2% target band. Drives conversion cost inflation (D12) and the discount rate.</t>
        </is>
      </c>
      <c r="O50" s="765" t="n"/>
    </row>
    <row r="51" ht="10.2" customHeight="1" s="632">
      <c r="A51" s="751" t="n"/>
      <c r="B51" s="752" t="n"/>
      <c r="C51" s="752" t="n"/>
      <c r="D51" s="436" t="inlineStr">
        <is>
          <t>Bull Case</t>
        </is>
      </c>
      <c r="E51" s="775" t="n">
        <v>0.045</v>
      </c>
      <c r="F51" s="775" t="n">
        <v>0.042</v>
      </c>
      <c r="G51" s="775" t="n">
        <v>0.042</v>
      </c>
      <c r="H51" s="775" t="n">
        <v>0.042</v>
      </c>
      <c r="I51" s="775" t="n">
        <v>0.042</v>
      </c>
      <c r="J51" s="775" t="n">
        <v>0.042</v>
      </c>
      <c r="K51" s="775" t="n">
        <v>0.042</v>
      </c>
      <c r="L51" s="752" t="n"/>
      <c r="M51" s="752" t="n"/>
      <c r="N51" s="754" t="n"/>
      <c r="O51" s="766" t="n"/>
    </row>
    <row r="52" ht="10.2" customHeight="1" s="632">
      <c r="A52" s="751" t="n"/>
      <c r="B52" s="752" t="n"/>
      <c r="C52" s="752" t="n"/>
      <c r="D52" s="436" t="inlineStr">
        <is>
          <t>Bear Case</t>
        </is>
      </c>
      <c r="E52" s="775" t="n">
        <v>0.057</v>
      </c>
      <c r="F52" s="775" t="n">
        <v>0.052</v>
      </c>
      <c r="G52" s="775" t="n">
        <v>0.05</v>
      </c>
      <c r="H52" s="775" t="n">
        <v>0.048</v>
      </c>
      <c r="I52" s="775" t="n">
        <v>0.048</v>
      </c>
      <c r="J52" s="775" t="n">
        <v>0.048</v>
      </c>
      <c r="K52" s="775" t="n">
        <v>0.048</v>
      </c>
      <c r="L52" s="752" t="n"/>
      <c r="M52" s="752" t="n"/>
      <c r="N52" s="754" t="n"/>
      <c r="O52" s="766" t="n"/>
    </row>
    <row r="53" ht="10.2" customHeight="1" s="632" thickBot="1">
      <c r="A53" s="767" t="n"/>
      <c r="B53" s="768" t="n"/>
      <c r="C53" s="768" t="n"/>
      <c r="D53" s="438" t="inlineStr">
        <is>
          <t>Stress Case</t>
        </is>
      </c>
      <c r="E53" s="776" t="n">
        <v>0.068</v>
      </c>
      <c r="F53" s="776" t="n">
        <v>0.062</v>
      </c>
      <c r="G53" s="776" t="n">
        <v>0.055</v>
      </c>
      <c r="H53" s="776" t="n">
        <v>0.052</v>
      </c>
      <c r="I53" s="776" t="n">
        <v>0.05</v>
      </c>
      <c r="J53" s="776" t="n">
        <v>0.05</v>
      </c>
      <c r="K53" s="776" t="n">
        <v>0.05</v>
      </c>
      <c r="L53" s="768" t="n"/>
      <c r="M53" s="768" t="n"/>
      <c r="N53" s="769" t="n"/>
      <c r="O53" s="770" t="n"/>
    </row>
    <row r="54">
      <c r="A54" s="761" t="inlineStr">
        <is>
          <t>D05</t>
        </is>
      </c>
      <c r="B54" s="762" t="inlineStr">
        <is>
          <t>Announced pipeline delivery factor</t>
        </is>
      </c>
      <c r="C54" s="763" t="inlineStr">
        <is>
          <t>%</t>
        </is>
      </c>
      <c r="D54" s="434" t="inlineStr">
        <is>
          <t>Base Case</t>
        </is>
      </c>
      <c r="E54" s="774" t="n">
        <v>0.85</v>
      </c>
      <c r="F54" s="774" t="n">
        <v>0.85</v>
      </c>
      <c r="G54" s="774" t="n">
        <v>0.85</v>
      </c>
      <c r="H54" s="774" t="n">
        <v>0.85</v>
      </c>
      <c r="I54" s="774" t="n">
        <v>0.85</v>
      </c>
      <c r="J54" s="774" t="n">
        <v>0.85</v>
      </c>
      <c r="K54" s="774" t="n">
        <v>0.85</v>
      </c>
      <c r="L54" s="763" t="inlineStr">
        <is>
          <t>Derived-DB</t>
        </is>
      </c>
      <c r="M54" s="763" t="inlineStr">
        <is>
          <t>Medium</t>
        </is>
      </c>
      <c r="N54" s="764" t="inlineStr">
        <is>
          <t>Proportion of dated announced capacity additions assumed to commission on schedule. Calibrated against realised delivery: India added 20.82 Mtpa in FY2025 and 20.07 Mtpa in FY2026 (Master DB), against a National Steel Policy path to 300 Mtpa by FY2031 that requires roughly 16 Mtpa a year - i.e. recent delivery has RUN AHEAD of the required rate, which supports a base factor materially above 50%. 85% rather than 100% reflects the routine slippage evident in the tracker (JSW Vijayanagar BF-3 was still under testing at FY2026 year-end; AM/NS Hazira 9 to 15 Mtpa has been in progress for several years). Stress at 55% reflects a capital-constrained environment.</t>
        </is>
      </c>
      <c r="O54" s="765" t="n"/>
    </row>
    <row r="55">
      <c r="A55" s="751" t="n"/>
      <c r="B55" s="752" t="n"/>
      <c r="C55" s="752" t="n"/>
      <c r="D55" s="436" t="inlineStr">
        <is>
          <t>Bull Case</t>
        </is>
      </c>
      <c r="E55" s="775" t="n">
        <v>0.95</v>
      </c>
      <c r="F55" s="775" t="n">
        <v>0.95</v>
      </c>
      <c r="G55" s="775" t="n">
        <v>0.95</v>
      </c>
      <c r="H55" s="775" t="n">
        <v>0.95</v>
      </c>
      <c r="I55" s="775" t="n">
        <v>0.95</v>
      </c>
      <c r="J55" s="775" t="n">
        <v>0.95</v>
      </c>
      <c r="K55" s="775" t="n">
        <v>0.95</v>
      </c>
      <c r="L55" s="752" t="n"/>
      <c r="M55" s="752" t="n"/>
      <c r="N55" s="754" t="n"/>
      <c r="O55" s="766" t="n"/>
    </row>
    <row r="56">
      <c r="A56" s="751" t="n"/>
      <c r="B56" s="752" t="n"/>
      <c r="C56" s="752" t="n"/>
      <c r="D56" s="436" t="inlineStr">
        <is>
          <t>Bear Case</t>
        </is>
      </c>
      <c r="E56" s="775" t="n">
        <v>0.7</v>
      </c>
      <c r="F56" s="775" t="n">
        <v>0.7</v>
      </c>
      <c r="G56" s="775" t="n">
        <v>0.7</v>
      </c>
      <c r="H56" s="775" t="n">
        <v>0.7</v>
      </c>
      <c r="I56" s="775" t="n">
        <v>0.7</v>
      </c>
      <c r="J56" s="775" t="n">
        <v>0.7</v>
      </c>
      <c r="K56" s="775" t="n">
        <v>0.7</v>
      </c>
      <c r="L56" s="752" t="n"/>
      <c r="M56" s="752" t="n"/>
      <c r="N56" s="754" t="n"/>
      <c r="O56" s="766" t="n"/>
    </row>
    <row r="57" ht="15" customHeight="1" s="632" thickBot="1">
      <c r="A57" s="767" t="n"/>
      <c r="B57" s="768" t="n"/>
      <c r="C57" s="768" t="n"/>
      <c r="D57" s="438" t="inlineStr">
        <is>
          <t>Stress Case</t>
        </is>
      </c>
      <c r="E57" s="776" t="n">
        <v>0.55</v>
      </c>
      <c r="F57" s="776" t="n">
        <v>0.55</v>
      </c>
      <c r="G57" s="776" t="n">
        <v>0.55</v>
      </c>
      <c r="H57" s="776" t="n">
        <v>0.55</v>
      </c>
      <c r="I57" s="776" t="n">
        <v>0.55</v>
      </c>
      <c r="J57" s="776" t="n">
        <v>0.55</v>
      </c>
      <c r="K57" s="776" t="n">
        <v>0.55</v>
      </c>
      <c r="L57" s="768" t="n"/>
      <c r="M57" s="768" t="n"/>
      <c r="N57" s="769" t="n"/>
      <c r="O57" s="770" t="n"/>
    </row>
    <row r="58">
      <c r="A58" s="761" t="inlineStr">
        <is>
          <t>D06</t>
        </is>
      </c>
      <c r="B58" s="762" t="inlineStr">
        <is>
          <t>Crude-to-finished steel ratio</t>
        </is>
      </c>
      <c r="C58" s="763" t="inlineStr">
        <is>
          <t>x</t>
        </is>
      </c>
      <c r="D58" s="434" t="inlineStr">
        <is>
          <t>Base Case</t>
        </is>
      </c>
      <c r="E58" s="435" t="n">
        <v>1.0465</v>
      </c>
      <c r="F58" s="435" t="n">
        <v>1.0465</v>
      </c>
      <c r="G58" s="435" t="n">
        <v>1.0465</v>
      </c>
      <c r="H58" s="435" t="n">
        <v>1.0465</v>
      </c>
      <c r="I58" s="435" t="n">
        <v>1.0465</v>
      </c>
      <c r="J58" s="435" t="n">
        <v>1.0465</v>
      </c>
      <c r="K58" s="435" t="n">
        <v>1.0465</v>
      </c>
      <c r="L58" s="763" t="inlineStr">
        <is>
          <t>Derived-DB</t>
        </is>
      </c>
      <c r="M58" s="763" t="inlineStr">
        <is>
          <t>High</t>
        </is>
      </c>
      <c r="N58" s="764" t="inlineStr">
        <is>
          <t>FY2026 actual 168.42 / 160.94 = 1.0465 on the April-2026 JPC vintage used throughout the model (Master DB). Held flat in the base case: yield improvement is slow and offsetting mix effects are material. Bull assumes modest yield gains from continuous casting and newer assets; bear and stress assume yield deterioration from higher utilisation of older assets.</t>
        </is>
      </c>
      <c r="O58" s="765" t="n"/>
    </row>
    <row r="59">
      <c r="A59" s="751" t="n"/>
      <c r="B59" s="752" t="n"/>
      <c r="C59" s="752" t="n"/>
      <c r="D59" s="436" t="inlineStr">
        <is>
          <t>Bull Case</t>
        </is>
      </c>
      <c r="E59" s="437" t="n">
        <v>1.043</v>
      </c>
      <c r="F59" s="437" t="n">
        <v>1.043</v>
      </c>
      <c r="G59" s="437" t="n">
        <v>1.043</v>
      </c>
      <c r="H59" s="437" t="n">
        <v>1.043</v>
      </c>
      <c r="I59" s="437" t="n">
        <v>1.043</v>
      </c>
      <c r="J59" s="437" t="n">
        <v>1.043</v>
      </c>
      <c r="K59" s="437" t="n">
        <v>1.043</v>
      </c>
      <c r="L59" s="752" t="n"/>
      <c r="M59" s="752" t="n"/>
      <c r="N59" s="754" t="n"/>
      <c r="O59" s="766" t="n"/>
    </row>
    <row r="60">
      <c r="A60" s="751" t="n"/>
      <c r="B60" s="752" t="n"/>
      <c r="C60" s="752" t="n"/>
      <c r="D60" s="436" t="inlineStr">
        <is>
          <t>Bear Case</t>
        </is>
      </c>
      <c r="E60" s="437" t="n">
        <v>1.05</v>
      </c>
      <c r="F60" s="437" t="n">
        <v>1.05</v>
      </c>
      <c r="G60" s="437" t="n">
        <v>1.05</v>
      </c>
      <c r="H60" s="437" t="n">
        <v>1.05</v>
      </c>
      <c r="I60" s="437" t="n">
        <v>1.05</v>
      </c>
      <c r="J60" s="437" t="n">
        <v>1.05</v>
      </c>
      <c r="K60" s="437" t="n">
        <v>1.05</v>
      </c>
      <c r="L60" s="752" t="n"/>
      <c r="M60" s="752" t="n"/>
      <c r="N60" s="754" t="n"/>
      <c r="O60" s="766" t="n"/>
    </row>
    <row r="61" ht="15" customHeight="1" s="632" thickBot="1">
      <c r="A61" s="767" t="n"/>
      <c r="B61" s="768" t="n"/>
      <c r="C61" s="768" t="n"/>
      <c r="D61" s="438" t="inlineStr">
        <is>
          <t>Stress Case</t>
        </is>
      </c>
      <c r="E61" s="439" t="n">
        <v>1.053</v>
      </c>
      <c r="F61" s="439" t="n">
        <v>1.053</v>
      </c>
      <c r="G61" s="439" t="n">
        <v>1.053</v>
      </c>
      <c r="H61" s="439" t="n">
        <v>1.053</v>
      </c>
      <c r="I61" s="439" t="n">
        <v>1.053</v>
      </c>
      <c r="J61" s="439" t="n">
        <v>1.053</v>
      </c>
      <c r="K61" s="439" t="n">
        <v>1.053</v>
      </c>
      <c r="L61" s="768" t="n"/>
      <c r="M61" s="768" t="n"/>
      <c r="N61" s="769" t="n"/>
      <c r="O61" s="770" t="n"/>
    </row>
    <row r="62">
      <c r="A62" s="761" t="inlineStr">
        <is>
          <t>D07</t>
        </is>
      </c>
      <c r="B62" s="762" t="inlineStr">
        <is>
          <t>Net finished steel exports</t>
        </is>
      </c>
      <c r="C62" s="763" t="inlineStr">
        <is>
          <t>Mt</t>
        </is>
      </c>
      <c r="D62" s="434" t="inlineStr">
        <is>
          <t>Base Case</t>
        </is>
      </c>
      <c r="E62" s="771" t="n">
        <v>0.5</v>
      </c>
      <c r="F62" s="771" t="n">
        <v>1</v>
      </c>
      <c r="G62" s="771" t="n">
        <v>1.5</v>
      </c>
      <c r="H62" s="771" t="n">
        <v>2</v>
      </c>
      <c r="I62" s="771" t="n">
        <v>2.5</v>
      </c>
      <c r="J62" s="771" t="n">
        <v>3</v>
      </c>
      <c r="K62" s="771" t="n">
        <v>3.5</v>
      </c>
      <c r="L62" s="763" t="inlineStr">
        <is>
          <t>Derived-DB</t>
        </is>
      </c>
      <c r="M62" s="763" t="inlineStr">
        <is>
          <t>Medium</t>
        </is>
      </c>
      <c r="N62" s="764" t="inlineStr">
        <is>
          <t>FY2026 actual net exports +0.078 Mt, having swung 4.77 Mt from a 4.693 Mt net import position in FY2025 (Master DB). Base assumes India becomes a progressively larger net exporter as capacity growth outpaces demand growth. Bear case is HIGHER net exports, because weak domestic demand forces surplus tonnes offshore at lower realisations. Stress reverses the sign: a demand collapse in India combined with the safeguard duty lapsing in Apr-2028 makes India a net importer again, which is the historically observed FY2025 configuration.</t>
        </is>
      </c>
      <c r="O62" s="765" t="n"/>
    </row>
    <row r="63">
      <c r="A63" s="751" t="n"/>
      <c r="B63" s="752" t="n"/>
      <c r="C63" s="752" t="n"/>
      <c r="D63" s="436" t="inlineStr">
        <is>
          <t>Bull Case</t>
        </is>
      </c>
      <c r="E63" s="772" t="n">
        <v>0</v>
      </c>
      <c r="F63" s="772" t="n">
        <v>0</v>
      </c>
      <c r="G63" s="772" t="n">
        <v>0.5</v>
      </c>
      <c r="H63" s="772" t="n">
        <v>0.5</v>
      </c>
      <c r="I63" s="772" t="n">
        <v>1</v>
      </c>
      <c r="J63" s="772" t="n">
        <v>1</v>
      </c>
      <c r="K63" s="772" t="n">
        <v>1.5</v>
      </c>
      <c r="L63" s="752" t="n"/>
      <c r="M63" s="752" t="n"/>
      <c r="N63" s="754" t="n"/>
      <c r="O63" s="766" t="n"/>
    </row>
    <row r="64">
      <c r="A64" s="751" t="n"/>
      <c r="B64" s="752" t="n"/>
      <c r="C64" s="752" t="n"/>
      <c r="D64" s="436" t="inlineStr">
        <is>
          <t>Bear Case</t>
        </is>
      </c>
      <c r="E64" s="772" t="n">
        <v>1.5</v>
      </c>
      <c r="F64" s="772" t="n">
        <v>2.5</v>
      </c>
      <c r="G64" s="772" t="n">
        <v>3.5</v>
      </c>
      <c r="H64" s="772" t="n">
        <v>4.5</v>
      </c>
      <c r="I64" s="772" t="n">
        <v>5.5</v>
      </c>
      <c r="J64" s="772" t="n">
        <v>6</v>
      </c>
      <c r="K64" s="772" t="n">
        <v>6.5</v>
      </c>
      <c r="L64" s="752" t="n"/>
      <c r="M64" s="752" t="n"/>
      <c r="N64" s="754" t="n"/>
      <c r="O64" s="766" t="n"/>
    </row>
    <row r="65" ht="15" customHeight="1" s="632" thickBot="1">
      <c r="A65" s="767" t="n"/>
      <c r="B65" s="768" t="n"/>
      <c r="C65" s="768" t="n"/>
      <c r="D65" s="438" t="inlineStr">
        <is>
          <t>Stress Case</t>
        </is>
      </c>
      <c r="E65" s="773" t="n">
        <v>-1</v>
      </c>
      <c r="F65" s="773" t="n">
        <v>-2.5</v>
      </c>
      <c r="G65" s="773" t="n">
        <v>-3.5</v>
      </c>
      <c r="H65" s="773" t="n">
        <v>-4</v>
      </c>
      <c r="I65" s="773" t="n">
        <v>-4.5</v>
      </c>
      <c r="J65" s="773" t="n">
        <v>-5</v>
      </c>
      <c r="K65" s="773" t="n">
        <v>-5</v>
      </c>
      <c r="L65" s="768" t="n"/>
      <c r="M65" s="768" t="n"/>
      <c r="N65" s="769" t="n"/>
      <c r="O65" s="770" t="n"/>
    </row>
    <row r="66">
      <c r="A66" s="761" t="inlineStr">
        <is>
          <t>D08</t>
        </is>
      </c>
      <c r="B66" s="762" t="inlineStr">
        <is>
          <t>Variation in stock</t>
        </is>
      </c>
      <c r="C66" s="763" t="inlineStr">
        <is>
          <t>Mt</t>
        </is>
      </c>
      <c r="D66" s="434" t="inlineStr">
        <is>
          <t>Base Case</t>
        </is>
      </c>
      <c r="E66" s="771" t="n">
        <v>-1</v>
      </c>
      <c r="F66" s="771" t="n">
        <v>0</v>
      </c>
      <c r="G66" s="771" t="n">
        <v>0.5</v>
      </c>
      <c r="H66" s="771" t="n">
        <v>0.5</v>
      </c>
      <c r="I66" s="771" t="n">
        <v>0.5</v>
      </c>
      <c r="J66" s="771" t="n">
        <v>0.5</v>
      </c>
      <c r="K66" s="771" t="n">
        <v>0.5</v>
      </c>
      <c r="L66" s="763" t="inlineStr">
        <is>
          <t>Derived-DB</t>
        </is>
      </c>
      <c r="M66" s="763" t="inlineStr">
        <is>
          <t>Medium</t>
        </is>
      </c>
      <c r="N66" s="764" t="inlineStr">
        <is>
          <t>FY2026 actual -2.88 Mt, i.e. a destock of about 1.8% of consumption which flattered reported consumption growth (Master DB, supply balance line 6). Base normalises toward a small restock. Bear and stress assume inventory build, which is the classic signature of a demand disappointment and is a drag on apparent consumption.</t>
        </is>
      </c>
      <c r="O66" s="765" t="n"/>
    </row>
    <row r="67">
      <c r="A67" s="751" t="n"/>
      <c r="B67" s="752" t="n"/>
      <c r="C67" s="752" t="n"/>
      <c r="D67" s="436" t="inlineStr">
        <is>
          <t>Bull Case</t>
        </is>
      </c>
      <c r="E67" s="772" t="n">
        <v>-1.5</v>
      </c>
      <c r="F67" s="772" t="n">
        <v>-0.5</v>
      </c>
      <c r="G67" s="772" t="n">
        <v>0</v>
      </c>
      <c r="H67" s="772" t="n">
        <v>0</v>
      </c>
      <c r="I67" s="772" t="n">
        <v>0.5</v>
      </c>
      <c r="J67" s="772" t="n">
        <v>0.5</v>
      </c>
      <c r="K67" s="772" t="n">
        <v>0.5</v>
      </c>
      <c r="L67" s="752" t="n"/>
      <c r="M67" s="752" t="n"/>
      <c r="N67" s="754" t="n"/>
      <c r="O67" s="766" t="n"/>
    </row>
    <row r="68">
      <c r="A68" s="751" t="n"/>
      <c r="B68" s="752" t="n"/>
      <c r="C68" s="752" t="n"/>
      <c r="D68" s="436" t="inlineStr">
        <is>
          <t>Bear Case</t>
        </is>
      </c>
      <c r="E68" s="772" t="n">
        <v>0.5</v>
      </c>
      <c r="F68" s="772" t="n">
        <v>1.5</v>
      </c>
      <c r="G68" s="772" t="n">
        <v>1.5</v>
      </c>
      <c r="H68" s="772" t="n">
        <v>1</v>
      </c>
      <c r="I68" s="772" t="n">
        <v>1</v>
      </c>
      <c r="J68" s="772" t="n">
        <v>1</v>
      </c>
      <c r="K68" s="772" t="n">
        <v>1</v>
      </c>
      <c r="L68" s="752" t="n"/>
      <c r="M68" s="752" t="n"/>
      <c r="N68" s="754" t="n"/>
      <c r="O68" s="766" t="n"/>
    </row>
    <row r="69" ht="15" customHeight="1" s="632" thickBot="1">
      <c r="A69" s="767" t="n"/>
      <c r="B69" s="768" t="n"/>
      <c r="C69" s="768" t="n"/>
      <c r="D69" s="438" t="inlineStr">
        <is>
          <t>Stress Case</t>
        </is>
      </c>
      <c r="E69" s="773" t="n">
        <v>2</v>
      </c>
      <c r="F69" s="773" t="n">
        <v>3</v>
      </c>
      <c r="G69" s="773" t="n">
        <v>2.5</v>
      </c>
      <c r="H69" s="773" t="n">
        <v>2</v>
      </c>
      <c r="I69" s="773" t="n">
        <v>1.5</v>
      </c>
      <c r="J69" s="773" t="n">
        <v>1</v>
      </c>
      <c r="K69" s="773" t="n">
        <v>1</v>
      </c>
      <c r="L69" s="768" t="n"/>
      <c r="M69" s="768" t="n"/>
      <c r="N69" s="769" t="n"/>
      <c r="O69" s="770" t="n"/>
    </row>
    <row r="70">
      <c r="A70" s="761" t="inlineStr">
        <is>
          <t>D09</t>
        </is>
      </c>
      <c r="B70" s="762" t="inlineStr">
        <is>
          <t>Blended industry realisation</t>
        </is>
      </c>
      <c r="C70" s="763" t="inlineStr">
        <is>
          <t>Rs/t</t>
        </is>
      </c>
      <c r="D70" s="434" t="inlineStr">
        <is>
          <t>Base Case</t>
        </is>
      </c>
      <c r="E70" s="777" t="n">
        <v>61800</v>
      </c>
      <c r="F70" s="777" t="n">
        <v>61000</v>
      </c>
      <c r="G70" s="777" t="n">
        <v>60500</v>
      </c>
      <c r="H70" s="777" t="n">
        <v>62000</v>
      </c>
      <c r="I70" s="777" t="n">
        <v>64000</v>
      </c>
      <c r="J70" s="777" t="n">
        <v>66000</v>
      </c>
      <c r="K70" s="777" t="n">
        <v>68000</v>
      </c>
      <c r="L70" s="763" t="inlineStr">
        <is>
          <t>Derived-DB</t>
        </is>
      </c>
      <c r="M70" s="763" t="inlineStr">
        <is>
          <t>Medium</t>
        </is>
      </c>
      <c r="N70" s="764" t="inlineStr">
        <is>
          <t>FY2026A anchor of Rs 59,974/t is DERIVED from the Master Database as the volume-weighted revenue per tonne of Tata Steel India, JSW Steel India, SAIL and Jindal Steel - Rs 4,79,191 cr over 79.90 Mt, i.e. 49.4% of India's finished steel production. This is used in preference to a spot HRC quote because the database documents three irreconcilable Mar-2026 HRC assessments (Rs 55,900, Rs 57,700 and Rs 59,500/t - Conflict C07) and because a blended realisation is what actually drives revenue. Base path: FY2027 +3% carrying Q4FY2026 momentum (HRC rose ~14% QoQ to Rs 57,700/t by end-Mar-2026 on the safeguard duty); then a two-year decline as the safeguard duty tapers from 12% to 11.5% (from 21-Apr-2026) to 11% and expires 20-Apr-2028, coinciding with peak capacity commissioning; then recovery to a ~2.0% CAGR over the horizon, below expected inflation, reflecting structural oversupply. Bear and stress are calibrated to the observed 52-week HRC low of Rs 45,700/t (IDBI, Jun-2026) as a floor reference.</t>
        </is>
      </c>
      <c r="O70" s="765" t="n"/>
    </row>
    <row r="71">
      <c r="A71" s="751" t="n"/>
      <c r="B71" s="752" t="n"/>
      <c r="C71" s="752" t="n"/>
      <c r="D71" s="436" t="inlineStr">
        <is>
          <t>Bull Case</t>
        </is>
      </c>
      <c r="E71" s="778" t="n">
        <v>62500</v>
      </c>
      <c r="F71" s="778" t="n">
        <v>63500</v>
      </c>
      <c r="G71" s="778" t="n">
        <v>64000</v>
      </c>
      <c r="H71" s="778" t="n">
        <v>65500</v>
      </c>
      <c r="I71" s="778" t="n">
        <v>66500</v>
      </c>
      <c r="J71" s="778" t="n">
        <v>67500</v>
      </c>
      <c r="K71" s="778" t="n">
        <v>68500</v>
      </c>
      <c r="L71" s="752" t="n"/>
      <c r="M71" s="752" t="n"/>
      <c r="N71" s="754" t="n"/>
      <c r="O71" s="766" t="n"/>
    </row>
    <row r="72">
      <c r="A72" s="751" t="n"/>
      <c r="B72" s="752" t="n"/>
      <c r="C72" s="752" t="n"/>
      <c r="D72" s="436" t="inlineStr">
        <is>
          <t>Bear Case</t>
        </is>
      </c>
      <c r="E72" s="778" t="n">
        <v>57500</v>
      </c>
      <c r="F72" s="778" t="n">
        <v>55000</v>
      </c>
      <c r="G72" s="778" t="n">
        <v>54000</v>
      </c>
      <c r="H72" s="778" t="n">
        <v>55000</v>
      </c>
      <c r="I72" s="778" t="n">
        <v>56500</v>
      </c>
      <c r="J72" s="778" t="n">
        <v>58000</v>
      </c>
      <c r="K72" s="778" t="n">
        <v>59500</v>
      </c>
      <c r="L72" s="752" t="n"/>
      <c r="M72" s="752" t="n"/>
      <c r="N72" s="754" t="n"/>
      <c r="O72" s="766" t="n"/>
    </row>
    <row r="73" ht="15" customHeight="1" s="632" thickBot="1">
      <c r="A73" s="767" t="n"/>
      <c r="B73" s="768" t="n"/>
      <c r="C73" s="768" t="n"/>
      <c r="D73" s="438" t="inlineStr">
        <is>
          <t>Stress Case</t>
        </is>
      </c>
      <c r="E73" s="779" t="n">
        <v>59000</v>
      </c>
      <c r="F73" s="779" t="n">
        <v>58500</v>
      </c>
      <c r="G73" s="779" t="n">
        <v>60000</v>
      </c>
      <c r="H73" s="779" t="n">
        <v>62500</v>
      </c>
      <c r="I73" s="779" t="n">
        <v>65000</v>
      </c>
      <c r="J73" s="779" t="n">
        <v>67000</v>
      </c>
      <c r="K73" s="779" t="n">
        <v>69000</v>
      </c>
      <c r="L73" s="768" t="n"/>
      <c r="M73" s="768" t="n"/>
      <c r="N73" s="769" t="n"/>
      <c r="O73" s="770" t="n"/>
    </row>
    <row r="74">
      <c r="A74" s="761" t="inlineStr">
        <is>
          <t>D10</t>
        </is>
      </c>
      <c r="B74" s="762" t="inlineStr">
        <is>
          <t>Iron ore 62% Fe CFR China</t>
        </is>
      </c>
      <c r="C74" s="763" t="inlineStr">
        <is>
          <t>US$/dmt</t>
        </is>
      </c>
      <c r="D74" s="434" t="inlineStr">
        <is>
          <t>Base Case</t>
        </is>
      </c>
      <c r="E74" s="771" t="n">
        <v>102</v>
      </c>
      <c r="F74" s="771" t="n">
        <v>97</v>
      </c>
      <c r="G74" s="771" t="n">
        <v>93</v>
      </c>
      <c r="H74" s="771" t="n">
        <v>90</v>
      </c>
      <c r="I74" s="771" t="n">
        <v>90</v>
      </c>
      <c r="J74" s="771" t="n">
        <v>91</v>
      </c>
      <c r="K74" s="771" t="n">
        <v>93</v>
      </c>
      <c r="L74" s="763" t="inlineStr">
        <is>
          <t>S17</t>
        </is>
      </c>
      <c r="M74" s="763" t="inlineStr">
        <is>
          <t>High</t>
        </is>
      </c>
      <c r="N74" s="764" t="inlineStr">
        <is>
          <t>FY2026 average US$100.52/dmt, the third consecutive annual decline from US$155.52/dmt in FY2022 (World Bank Pink Sheet, Master DB). Q1FY2027 actual average US$105.17/dmt with Jun-2026 at US$100.8/dmt, so the FY2027 base of US$102 is anchored on realised data. Base assumes continued gradual decline on new global supply, then stabilisation around US$90/dmt. NOTE the sign convention: LOWER iron ore is BULLISH for Indian steel margins because most Indian producers are net purchasers of ore, so the bull scenario carries the LOW price path. Godawari Power and NMDC are the exceptions and are flagged separately.</t>
        </is>
      </c>
      <c r="O74" s="765" t="n"/>
    </row>
    <row r="75">
      <c r="A75" s="751" t="n"/>
      <c r="B75" s="752" t="n"/>
      <c r="C75" s="752" t="n"/>
      <c r="D75" s="436" t="inlineStr">
        <is>
          <t>Bull Case</t>
        </is>
      </c>
      <c r="E75" s="772" t="n">
        <v>98</v>
      </c>
      <c r="F75" s="772" t="n">
        <v>92</v>
      </c>
      <c r="G75" s="772" t="n">
        <v>88</v>
      </c>
      <c r="H75" s="772" t="n">
        <v>85</v>
      </c>
      <c r="I75" s="772" t="n">
        <v>84</v>
      </c>
      <c r="J75" s="772" t="n">
        <v>84</v>
      </c>
      <c r="K75" s="772" t="n">
        <v>86</v>
      </c>
      <c r="L75" s="752" t="n"/>
      <c r="M75" s="752" t="n"/>
      <c r="N75" s="754" t="n"/>
      <c r="O75" s="766" t="n"/>
    </row>
    <row r="76">
      <c r="A76" s="751" t="n"/>
      <c r="B76" s="752" t="n"/>
      <c r="C76" s="752" t="n"/>
      <c r="D76" s="436" t="inlineStr">
        <is>
          <t>Bear Case</t>
        </is>
      </c>
      <c r="E76" s="772" t="n">
        <v>96</v>
      </c>
      <c r="F76" s="772" t="n">
        <v>90</v>
      </c>
      <c r="G76" s="772" t="n">
        <v>86</v>
      </c>
      <c r="H76" s="772" t="n">
        <v>83</v>
      </c>
      <c r="I76" s="772" t="n">
        <v>82</v>
      </c>
      <c r="J76" s="772" t="n">
        <v>82</v>
      </c>
      <c r="K76" s="772" t="n">
        <v>83</v>
      </c>
      <c r="L76" s="752" t="n"/>
      <c r="M76" s="752" t="n"/>
      <c r="N76" s="754" t="n"/>
      <c r="O76" s="766" t="n"/>
    </row>
    <row r="77" ht="15" customHeight="1" s="632" thickBot="1">
      <c r="A77" s="767" t="n"/>
      <c r="B77" s="768" t="n"/>
      <c r="C77" s="768" t="n"/>
      <c r="D77" s="438" t="inlineStr">
        <is>
          <t>Stress Case</t>
        </is>
      </c>
      <c r="E77" s="773" t="n">
        <v>115</v>
      </c>
      <c r="F77" s="773" t="n">
        <v>112</v>
      </c>
      <c r="G77" s="773" t="n">
        <v>104</v>
      </c>
      <c r="H77" s="773" t="n">
        <v>98</v>
      </c>
      <c r="I77" s="773" t="n">
        <v>94</v>
      </c>
      <c r="J77" s="773" t="n">
        <v>92</v>
      </c>
      <c r="K77" s="773" t="n">
        <v>92</v>
      </c>
      <c r="L77" s="768" t="n"/>
      <c r="M77" s="768" t="n"/>
      <c r="N77" s="769" t="n"/>
      <c r="O77" s="770" t="n"/>
    </row>
    <row r="78">
      <c r="A78" s="761" t="inlineStr">
        <is>
          <t>D11</t>
        </is>
      </c>
      <c r="B78" s="762" t="inlineStr">
        <is>
          <t>Premium HCC coking coal FOB Australia</t>
        </is>
      </c>
      <c r="C78" s="763" t="inlineStr">
        <is>
          <t>US$/t</t>
        </is>
      </c>
      <c r="D78" s="434" t="inlineStr">
        <is>
          <t>Base Case</t>
        </is>
      </c>
      <c r="E78" s="771" t="n">
        <v>210</v>
      </c>
      <c r="F78" s="771" t="n">
        <v>200</v>
      </c>
      <c r="G78" s="771" t="n">
        <v>195</v>
      </c>
      <c r="H78" s="771" t="n">
        <v>190</v>
      </c>
      <c r="I78" s="771" t="n">
        <v>190</v>
      </c>
      <c r="J78" s="771" t="n">
        <v>195</v>
      </c>
      <c r="K78" s="771" t="n">
        <v>200</v>
      </c>
      <c r="L78" s="763" t="inlineStr">
        <is>
          <t>S01</t>
        </is>
      </c>
      <c r="M78" s="763" t="inlineStr">
        <is>
          <t>Medium</t>
        </is>
      </c>
      <c r="N78" s="764" t="inlineStr">
        <is>
          <t>IMPORTANT: the Master Database deliberately asserts NO fiscal-year average for coking coal because the two public series disagree by up to US$40/t (Conflict C01). The FY2026 reference used here is the Ministry of Steel's Mar-2026 assessment of ~US$225/t, explicitly labelled a spot reference and not a fiscal-year average. Base assumes easing from that level toward a US$190/t mid-cycle, still well above the ~US$175/t Mar-2025 trough. Stress reflects a repeat of the Oct-2023 spike to US$354/t at roughly 80% amplitude. THIS IS THE SINGLE LARGEST COST UNCERTAINTY IN THE MODEL and the driver most in need of a licensed price-reporting-agency series before transaction use.</t>
        </is>
      </c>
      <c r="O78" s="765" t="n"/>
    </row>
    <row r="79">
      <c r="A79" s="751" t="n"/>
      <c r="B79" s="752" t="n"/>
      <c r="C79" s="752" t="n"/>
      <c r="D79" s="436" t="inlineStr">
        <is>
          <t>Bull Case</t>
        </is>
      </c>
      <c r="E79" s="772" t="n">
        <v>200</v>
      </c>
      <c r="F79" s="772" t="n">
        <v>188</v>
      </c>
      <c r="G79" s="772" t="n">
        <v>182</v>
      </c>
      <c r="H79" s="772" t="n">
        <v>178</v>
      </c>
      <c r="I79" s="772" t="n">
        <v>178</v>
      </c>
      <c r="J79" s="772" t="n">
        <v>180</v>
      </c>
      <c r="K79" s="772" t="n">
        <v>184</v>
      </c>
      <c r="L79" s="752" t="n"/>
      <c r="M79" s="752" t="n"/>
      <c r="N79" s="754" t="n"/>
      <c r="O79" s="766" t="n"/>
    </row>
    <row r="80">
      <c r="A80" s="751" t="n"/>
      <c r="B80" s="752" t="n"/>
      <c r="C80" s="752" t="n"/>
      <c r="D80" s="436" t="inlineStr">
        <is>
          <t>Bear Case</t>
        </is>
      </c>
      <c r="E80" s="772" t="n">
        <v>200</v>
      </c>
      <c r="F80" s="772" t="n">
        <v>185</v>
      </c>
      <c r="G80" s="772" t="n">
        <v>176</v>
      </c>
      <c r="H80" s="772" t="n">
        <v>170</v>
      </c>
      <c r="I80" s="772" t="n">
        <v>168</v>
      </c>
      <c r="J80" s="772" t="n">
        <v>168</v>
      </c>
      <c r="K80" s="772" t="n">
        <v>170</v>
      </c>
      <c r="L80" s="752" t="n"/>
      <c r="M80" s="752" t="n"/>
      <c r="N80" s="754" t="n"/>
      <c r="O80" s="766" t="n"/>
    </row>
    <row r="81" ht="15" customHeight="1" s="632" thickBot="1">
      <c r="A81" s="767" t="n"/>
      <c r="B81" s="768" t="n"/>
      <c r="C81" s="768" t="n"/>
      <c r="D81" s="438" t="inlineStr">
        <is>
          <t>Stress Case</t>
        </is>
      </c>
      <c r="E81" s="773" t="n">
        <v>300</v>
      </c>
      <c r="F81" s="773" t="n">
        <v>285</v>
      </c>
      <c r="G81" s="773" t="n">
        <v>245</v>
      </c>
      <c r="H81" s="773" t="n">
        <v>220</v>
      </c>
      <c r="I81" s="773" t="n">
        <v>208</v>
      </c>
      <c r="J81" s="773" t="n">
        <v>202</v>
      </c>
      <c r="K81" s="773" t="n">
        <v>200</v>
      </c>
      <c r="L81" s="768" t="n"/>
      <c r="M81" s="768" t="n"/>
      <c r="N81" s="769" t="n"/>
      <c r="O81" s="770" t="n"/>
    </row>
    <row r="82">
      <c r="A82" s="761" t="inlineStr">
        <is>
          <t>D12</t>
        </is>
      </c>
      <c r="B82" s="762" t="inlineStr">
        <is>
          <t>Conversion cost inflation</t>
        </is>
      </c>
      <c r="C82" s="763" t="inlineStr">
        <is>
          <t>%</t>
        </is>
      </c>
      <c r="D82" s="434" t="inlineStr">
        <is>
          <t>Base Case</t>
        </is>
      </c>
      <c r="E82" s="774" t="n">
        <v>0.045</v>
      </c>
      <c r="F82" s="774" t="n">
        <v>0.042</v>
      </c>
      <c r="G82" s="774" t="n">
        <v>0.04</v>
      </c>
      <c r="H82" s="774" t="n">
        <v>0.04</v>
      </c>
      <c r="I82" s="774" t="n">
        <v>0.04</v>
      </c>
      <c r="J82" s="774" t="n">
        <v>0.04</v>
      </c>
      <c r="K82" s="774" t="n">
        <v>0.04</v>
      </c>
      <c r="L82" s="763" t="inlineStr">
        <is>
          <t>RBI-Jun26</t>
        </is>
      </c>
      <c r="M82" s="763" t="inlineStr">
        <is>
          <t>Medium</t>
        </is>
      </c>
      <c r="N82" s="764" t="inlineStr">
        <is>
          <t>Applies to the non-raw-material element of cash cost: labour, power, consumables, stores, repairs and logistics. Anchored slightly below RBI's 5.1% FY2027 CPI projection because steel conversion cost includes power and freight that track energy rather than headline CPI, and because the majors are delivering explicit cost programmes - Tata Steel recorded roughly Rs 10,868 cr of cost transformation benefit in FY2026 (Master DB), equal to about Rs 4,825 per tonne of India deliveries. Stress reflects the West Asia energy shock flagged by both Tata Steel and Jindal Stainless in their FY2026 filings.</t>
        </is>
      </c>
      <c r="O82" s="765" t="n"/>
    </row>
    <row r="83">
      <c r="A83" s="751" t="n"/>
      <c r="B83" s="752" t="n"/>
      <c r="C83" s="752" t="n"/>
      <c r="D83" s="436" t="inlineStr">
        <is>
          <t>Bull Case</t>
        </is>
      </c>
      <c r="E83" s="775" t="n">
        <v>0.038</v>
      </c>
      <c r="F83" s="775" t="n">
        <v>0.035</v>
      </c>
      <c r="G83" s="775" t="n">
        <v>0.033</v>
      </c>
      <c r="H83" s="775" t="n">
        <v>0.032</v>
      </c>
      <c r="I83" s="775" t="n">
        <v>0.032</v>
      </c>
      <c r="J83" s="775" t="n">
        <v>0.032</v>
      </c>
      <c r="K83" s="775" t="n">
        <v>0.032</v>
      </c>
      <c r="L83" s="752" t="n"/>
      <c r="M83" s="752" t="n"/>
      <c r="N83" s="754" t="n"/>
      <c r="O83" s="766" t="n"/>
    </row>
    <row r="84">
      <c r="A84" s="751" t="n"/>
      <c r="B84" s="752" t="n"/>
      <c r="C84" s="752" t="n"/>
      <c r="D84" s="436" t="inlineStr">
        <is>
          <t>Bear Case</t>
        </is>
      </c>
      <c r="E84" s="775" t="n">
        <v>0.05</v>
      </c>
      <c r="F84" s="775" t="n">
        <v>0.046</v>
      </c>
      <c r="G84" s="775" t="n">
        <v>0.044</v>
      </c>
      <c r="H84" s="775" t="n">
        <v>0.042</v>
      </c>
      <c r="I84" s="775" t="n">
        <v>0.042</v>
      </c>
      <c r="J84" s="775" t="n">
        <v>0.042</v>
      </c>
      <c r="K84" s="775" t="n">
        <v>0.042</v>
      </c>
      <c r="L84" s="752" t="n"/>
      <c r="M84" s="752" t="n"/>
      <c r="N84" s="754" t="n"/>
      <c r="O84" s="766" t="n"/>
    </row>
    <row r="85" ht="15" customHeight="1" s="632" thickBot="1">
      <c r="A85" s="767" t="n"/>
      <c r="B85" s="768" t="n"/>
      <c r="C85" s="768" t="n"/>
      <c r="D85" s="438" t="inlineStr">
        <is>
          <t>Stress Case</t>
        </is>
      </c>
      <c r="E85" s="776" t="n">
        <v>0.075</v>
      </c>
      <c r="F85" s="776" t="n">
        <v>0.068</v>
      </c>
      <c r="G85" s="776" t="n">
        <v>0.055</v>
      </c>
      <c r="H85" s="776" t="n">
        <v>0.048</v>
      </c>
      <c r="I85" s="776" t="n">
        <v>0.044</v>
      </c>
      <c r="J85" s="776" t="n">
        <v>0.042</v>
      </c>
      <c r="K85" s="776" t="n">
        <v>0.042</v>
      </c>
      <c r="L85" s="768" t="n"/>
      <c r="M85" s="768" t="n"/>
      <c r="N85" s="769" t="n"/>
      <c r="O85" s="770" t="n"/>
    </row>
    <row r="86">
      <c r="A86" s="761" t="inlineStr">
        <is>
          <t>D13</t>
        </is>
      </c>
      <c r="B86" s="762" t="inlineStr">
        <is>
          <t>Raw material share of cash cost</t>
        </is>
      </c>
      <c r="C86" s="763" t="inlineStr">
        <is>
          <t>%</t>
        </is>
      </c>
      <c r="D86" s="434" t="inlineStr">
        <is>
          <t>Base Case</t>
        </is>
      </c>
      <c r="E86" s="774" t="n">
        <v>0.6</v>
      </c>
      <c r="F86" s="774" t="n">
        <v>0.6</v>
      </c>
      <c r="G86" s="774" t="n">
        <v>0.6</v>
      </c>
      <c r="H86" s="774" t="n">
        <v>0.6</v>
      </c>
      <c r="I86" s="774" t="n">
        <v>0.6</v>
      </c>
      <c r="J86" s="774" t="n">
        <v>0.6</v>
      </c>
      <c r="K86" s="774" t="n">
        <v>0.6</v>
      </c>
      <c r="L86" s="763" t="inlineStr">
        <is>
          <t>Indicative</t>
        </is>
      </c>
      <c r="M86" s="763" t="inlineStr">
        <is>
          <t>Low</t>
        </is>
      </c>
      <c r="N86" s="764" t="inlineStr">
        <is>
          <t>INDICATIVE STRUCTURAL ASSUMPTION - NOT SOURCED FROM A PRIMARY DOCUMENT. Splits the FY2026 implied cash cost of Rs 49,241/t between a raw-material component that indexes to the iron ore and coking coal basket and a conversion component that indexes to inflation. 60/40 is the conventional split for an Indian integrated BF-BOF producer. Held constant across scenarios precisely because it is unsourced - flexing an unsourced parameter across scenarios would manufacture false precision. Plausible range 55-65%; the sensitivity of EBITDA/t to this parameter is quantified on sheet 22. MUST be replaced with company-specific cost disclosure from annual report technical parameters before any transaction use.</t>
        </is>
      </c>
      <c r="O86" s="765" t="n"/>
    </row>
    <row r="87">
      <c r="A87" s="751" t="n"/>
      <c r="B87" s="752" t="n"/>
      <c r="C87" s="752" t="n"/>
      <c r="D87" s="436" t="inlineStr">
        <is>
          <t>Bull Case</t>
        </is>
      </c>
      <c r="E87" s="775" t="n">
        <v>0.6</v>
      </c>
      <c r="F87" s="775" t="n">
        <v>0.6</v>
      </c>
      <c r="G87" s="775" t="n">
        <v>0.6</v>
      </c>
      <c r="H87" s="775" t="n">
        <v>0.6</v>
      </c>
      <c r="I87" s="775" t="n">
        <v>0.6</v>
      </c>
      <c r="J87" s="775" t="n">
        <v>0.6</v>
      </c>
      <c r="K87" s="775" t="n">
        <v>0.6</v>
      </c>
      <c r="L87" s="752" t="n"/>
      <c r="M87" s="752" t="n"/>
      <c r="N87" s="754" t="n"/>
      <c r="O87" s="766" t="n"/>
    </row>
    <row r="88">
      <c r="A88" s="751" t="n"/>
      <c r="B88" s="752" t="n"/>
      <c r="C88" s="752" t="n"/>
      <c r="D88" s="436" t="inlineStr">
        <is>
          <t>Bear Case</t>
        </is>
      </c>
      <c r="E88" s="775" t="n">
        <v>0.6</v>
      </c>
      <c r="F88" s="775" t="n">
        <v>0.6</v>
      </c>
      <c r="G88" s="775" t="n">
        <v>0.6</v>
      </c>
      <c r="H88" s="775" t="n">
        <v>0.6</v>
      </c>
      <c r="I88" s="775" t="n">
        <v>0.6</v>
      </c>
      <c r="J88" s="775" t="n">
        <v>0.6</v>
      </c>
      <c r="K88" s="775" t="n">
        <v>0.6</v>
      </c>
      <c r="L88" s="752" t="n"/>
      <c r="M88" s="752" t="n"/>
      <c r="N88" s="754" t="n"/>
      <c r="O88" s="766" t="n"/>
    </row>
    <row r="89" ht="15" customHeight="1" s="632" thickBot="1">
      <c r="A89" s="767" t="n"/>
      <c r="B89" s="768" t="n"/>
      <c r="C89" s="768" t="n"/>
      <c r="D89" s="438" t="inlineStr">
        <is>
          <t>Stress Case</t>
        </is>
      </c>
      <c r="E89" s="776" t="n">
        <v>0.6</v>
      </c>
      <c r="F89" s="776" t="n">
        <v>0.6</v>
      </c>
      <c r="G89" s="776" t="n">
        <v>0.6</v>
      </c>
      <c r="H89" s="776" t="n">
        <v>0.6</v>
      </c>
      <c r="I89" s="776" t="n">
        <v>0.6</v>
      </c>
      <c r="J89" s="776" t="n">
        <v>0.6</v>
      </c>
      <c r="K89" s="776" t="n">
        <v>0.6</v>
      </c>
      <c r="L89" s="768" t="n"/>
      <c r="M89" s="768" t="n"/>
      <c r="N89" s="769" t="n"/>
      <c r="O89" s="770" t="n"/>
    </row>
    <row r="90">
      <c r="A90" s="761" t="inlineStr">
        <is>
          <t>D14</t>
        </is>
      </c>
      <c r="B90" s="762" t="inlineStr">
        <is>
          <t>Iron ore weight in the raw material basket</t>
        </is>
      </c>
      <c r="C90" s="763" t="inlineStr">
        <is>
          <t>%</t>
        </is>
      </c>
      <c r="D90" s="434" t="inlineStr">
        <is>
          <t>Base Case</t>
        </is>
      </c>
      <c r="E90" s="774" t="n">
        <v>0.45</v>
      </c>
      <c r="F90" s="774" t="n">
        <v>0.45</v>
      </c>
      <c r="G90" s="774" t="n">
        <v>0.45</v>
      </c>
      <c r="H90" s="774" t="n">
        <v>0.45</v>
      </c>
      <c r="I90" s="774" t="n">
        <v>0.45</v>
      </c>
      <c r="J90" s="774" t="n">
        <v>0.45</v>
      </c>
      <c r="K90" s="774" t="n">
        <v>0.45</v>
      </c>
      <c r="L90" s="763" t="inlineStr">
        <is>
          <t>Indicative</t>
        </is>
      </c>
      <c r="M90" s="763" t="inlineStr">
        <is>
          <t>Low</t>
        </is>
      </c>
      <c r="N90" s="764" t="inlineStr">
        <is>
          <t>INDICATIVE. Iron ore 45%, coking coal 45%, other ferrous and fluxes 10% by value in the BF-BOF raw material basket. Unsourced and therefore held constant across scenarios. Sensitivity quantified on sheet 22.</t>
        </is>
      </c>
      <c r="O90" s="765" t="n"/>
    </row>
    <row r="91">
      <c r="A91" s="751" t="n"/>
      <c r="B91" s="752" t="n"/>
      <c r="C91" s="752" t="n"/>
      <c r="D91" s="436" t="inlineStr">
        <is>
          <t>Bull Case</t>
        </is>
      </c>
      <c r="E91" s="775" t="n">
        <v>0.45</v>
      </c>
      <c r="F91" s="775" t="n">
        <v>0.45</v>
      </c>
      <c r="G91" s="775" t="n">
        <v>0.45</v>
      </c>
      <c r="H91" s="775" t="n">
        <v>0.45</v>
      </c>
      <c r="I91" s="775" t="n">
        <v>0.45</v>
      </c>
      <c r="J91" s="775" t="n">
        <v>0.45</v>
      </c>
      <c r="K91" s="775" t="n">
        <v>0.45</v>
      </c>
      <c r="L91" s="752" t="n"/>
      <c r="M91" s="752" t="n"/>
      <c r="N91" s="754" t="n"/>
      <c r="O91" s="766" t="n"/>
    </row>
    <row r="92">
      <c r="A92" s="751" t="n"/>
      <c r="B92" s="752" t="n"/>
      <c r="C92" s="752" t="n"/>
      <c r="D92" s="436" t="inlineStr">
        <is>
          <t>Bear Case</t>
        </is>
      </c>
      <c r="E92" s="775" t="n">
        <v>0.45</v>
      </c>
      <c r="F92" s="775" t="n">
        <v>0.45</v>
      </c>
      <c r="G92" s="775" t="n">
        <v>0.45</v>
      </c>
      <c r="H92" s="775" t="n">
        <v>0.45</v>
      </c>
      <c r="I92" s="775" t="n">
        <v>0.45</v>
      </c>
      <c r="J92" s="775" t="n">
        <v>0.45</v>
      </c>
      <c r="K92" s="775" t="n">
        <v>0.45</v>
      </c>
      <c r="L92" s="752" t="n"/>
      <c r="M92" s="752" t="n"/>
      <c r="N92" s="754" t="n"/>
      <c r="O92" s="766" t="n"/>
    </row>
    <row r="93" ht="15" customHeight="1" s="632" thickBot="1">
      <c r="A93" s="767" t="n"/>
      <c r="B93" s="768" t="n"/>
      <c r="C93" s="768" t="n"/>
      <c r="D93" s="438" t="inlineStr">
        <is>
          <t>Stress Case</t>
        </is>
      </c>
      <c r="E93" s="776" t="n">
        <v>0.45</v>
      </c>
      <c r="F93" s="776" t="n">
        <v>0.45</v>
      </c>
      <c r="G93" s="776" t="n">
        <v>0.45</v>
      </c>
      <c r="H93" s="776" t="n">
        <v>0.45</v>
      </c>
      <c r="I93" s="776" t="n">
        <v>0.45</v>
      </c>
      <c r="J93" s="776" t="n">
        <v>0.45</v>
      </c>
      <c r="K93" s="776" t="n">
        <v>0.45</v>
      </c>
      <c r="L93" s="768" t="n"/>
      <c r="M93" s="768" t="n"/>
      <c r="N93" s="769" t="n"/>
      <c r="O93" s="770" t="n"/>
    </row>
    <row r="94">
      <c r="A94" s="761" t="inlineStr">
        <is>
          <t>D15</t>
        </is>
      </c>
      <c r="B94" s="762" t="inlineStr">
        <is>
          <t>Effective tax rate</t>
        </is>
      </c>
      <c r="C94" s="763" t="inlineStr">
        <is>
          <t>%</t>
        </is>
      </c>
      <c r="D94" s="434" t="inlineStr">
        <is>
          <t>Base Case</t>
        </is>
      </c>
      <c r="E94" s="774" t="n">
        <v>0.2517</v>
      </c>
      <c r="F94" s="774" t="n">
        <v>0.2517</v>
      </c>
      <c r="G94" s="774" t="n">
        <v>0.2517</v>
      </c>
      <c r="H94" s="774" t="n">
        <v>0.2517</v>
      </c>
      <c r="I94" s="774" t="n">
        <v>0.2517</v>
      </c>
      <c r="J94" s="774" t="n">
        <v>0.2517</v>
      </c>
      <c r="K94" s="774" t="n">
        <v>0.2517</v>
      </c>
      <c r="L94" s="763" t="inlineStr">
        <is>
          <t>Statutory</t>
        </is>
      </c>
      <c r="M94" s="763" t="inlineStr">
        <is>
          <t>Medium</t>
        </is>
      </c>
      <c r="N94" s="764" t="inlineStr">
        <is>
          <t>Indian statutory corporate tax rate of 22% plus surcharge and cess equals 25.17% under section 115BAA, which the large Indian steel producers have elected. Held flat across scenarios: the tax rate is a policy parameter, not a cyclical variable. Actual effective rates differ because of MAT credits, accumulated losses and deferred tax - the Master Database flags Kirloskar Ferrous FY2026 net profit exceeding profit before tax on a tax write-back (Conflict C12). Company-specific effective rates must be substituted in single-name models.</t>
        </is>
      </c>
      <c r="O94" s="765" t="n"/>
    </row>
    <row r="95">
      <c r="A95" s="751" t="n"/>
      <c r="B95" s="752" t="n"/>
      <c r="C95" s="752" t="n"/>
      <c r="D95" s="436" t="inlineStr">
        <is>
          <t>Bull Case</t>
        </is>
      </c>
      <c r="E95" s="775" t="n">
        <v>0.2517</v>
      </c>
      <c r="F95" s="775" t="n">
        <v>0.2517</v>
      </c>
      <c r="G95" s="775" t="n">
        <v>0.2517</v>
      </c>
      <c r="H95" s="775" t="n">
        <v>0.2517</v>
      </c>
      <c r="I95" s="775" t="n">
        <v>0.2517</v>
      </c>
      <c r="J95" s="775" t="n">
        <v>0.2517</v>
      </c>
      <c r="K95" s="775" t="n">
        <v>0.2517</v>
      </c>
      <c r="L95" s="752" t="n"/>
      <c r="M95" s="752" t="n"/>
      <c r="N95" s="754" t="n"/>
      <c r="O95" s="766" t="n"/>
    </row>
    <row r="96">
      <c r="A96" s="751" t="n"/>
      <c r="B96" s="752" t="n"/>
      <c r="C96" s="752" t="n"/>
      <c r="D96" s="436" t="inlineStr">
        <is>
          <t>Bear Case</t>
        </is>
      </c>
      <c r="E96" s="775" t="n">
        <v>0.2517</v>
      </c>
      <c r="F96" s="775" t="n">
        <v>0.2517</v>
      </c>
      <c r="G96" s="775" t="n">
        <v>0.2517</v>
      </c>
      <c r="H96" s="775" t="n">
        <v>0.2517</v>
      </c>
      <c r="I96" s="775" t="n">
        <v>0.2517</v>
      </c>
      <c r="J96" s="775" t="n">
        <v>0.2517</v>
      </c>
      <c r="K96" s="775" t="n">
        <v>0.2517</v>
      </c>
      <c r="L96" s="752" t="n"/>
      <c r="M96" s="752" t="n"/>
      <c r="N96" s="754" t="n"/>
      <c r="O96" s="766" t="n"/>
    </row>
    <row r="97" ht="15" customHeight="1" s="632" thickBot="1">
      <c r="A97" s="767" t="n"/>
      <c r="B97" s="768" t="n"/>
      <c r="C97" s="768" t="n"/>
      <c r="D97" s="438" t="inlineStr">
        <is>
          <t>Stress Case</t>
        </is>
      </c>
      <c r="E97" s="776" t="n">
        <v>0.2517</v>
      </c>
      <c r="F97" s="776" t="n">
        <v>0.2517</v>
      </c>
      <c r="G97" s="776" t="n">
        <v>0.2517</v>
      </c>
      <c r="H97" s="776" t="n">
        <v>0.2517</v>
      </c>
      <c r="I97" s="776" t="n">
        <v>0.2517</v>
      </c>
      <c r="J97" s="776" t="n">
        <v>0.2517</v>
      </c>
      <c r="K97" s="776" t="n">
        <v>0.2517</v>
      </c>
      <c r="L97" s="768" t="n"/>
      <c r="M97" s="768" t="n"/>
      <c r="N97" s="769" t="n"/>
      <c r="O97" s="770" t="n"/>
    </row>
    <row r="98">
      <c r="A98" s="326" t="inlineStr">
        <is>
          <t>D16</t>
        </is>
      </c>
      <c r="B98" s="348" t="inlineStr">
        <is>
          <t>Capex intensity</t>
        </is>
      </c>
      <c r="C98" s="337" t="inlineStr">
        <is>
          <t>Rs/t of capacity added</t>
        </is>
      </c>
      <c r="D98" s="434" t="inlineStr">
        <is>
          <t>Base Case</t>
        </is>
      </c>
      <c r="E98" s="777" t="n">
        <v>55000</v>
      </c>
      <c r="F98" s="777" t="n">
        <v>55000</v>
      </c>
      <c r="G98" s="777" t="n">
        <v>55000</v>
      </c>
      <c r="H98" s="777" t="n">
        <v>55000</v>
      </c>
      <c r="I98" s="777" t="n">
        <v>55000</v>
      </c>
      <c r="J98" s="777" t="n">
        <v>55000</v>
      </c>
      <c r="K98" s="777" t="n">
        <v>55000</v>
      </c>
      <c r="L98" s="337" t="inlineStr">
        <is>
          <t>Derived-DB</t>
        </is>
      </c>
      <c r="M98" s="337" t="inlineStr">
        <is>
          <t>Medium</t>
        </is>
      </c>
      <c r="N98" s="780" t="inlineStr">
        <is>
          <t>Greenfield and large brownfield Indian crude steel capacity. Cross-checks from the Master Database: JSW Steel Board-approved 5 Mtpa brownfield expansion at JVML-Vijayanagar at Rs 26,000 cr equals Rs 52,000 per tonne; SAIL's stated roughly Rs 1 lakh crore for about 15 Mtpa of additions equals roughly Rs 67,000 per tonne; Tata Steel's 0.75 Mtpa Ludhiana scrap EAF at about Rs 3,200 cr equals Rs 42,700 per tonne, which is lower because an EAF has no ironmaking. Base of Rs 55,000/t sits between the JSW brownfield and SAIL blended figures. Also the primary input to the replacement-cost valuation on sheet 23.</t>
        </is>
      </c>
      <c r="O98" s="765" t="n"/>
    </row>
    <row r="99">
      <c r="A99" s="751" t="n"/>
      <c r="B99" s="752" t="n"/>
      <c r="C99" s="752" t="n"/>
      <c r="D99" s="436" t="inlineStr">
        <is>
          <t>Bull Case</t>
        </is>
      </c>
      <c r="E99" s="778" t="n">
        <v>52000</v>
      </c>
      <c r="F99" s="778" t="n">
        <v>52000</v>
      </c>
      <c r="G99" s="778" t="n">
        <v>52000</v>
      </c>
      <c r="H99" s="778" t="n">
        <v>52000</v>
      </c>
      <c r="I99" s="778" t="n">
        <v>52000</v>
      </c>
      <c r="J99" s="778" t="n">
        <v>52000</v>
      </c>
      <c r="K99" s="778" t="n">
        <v>52000</v>
      </c>
      <c r="L99" s="752" t="n"/>
      <c r="M99" s="752" t="n"/>
      <c r="N99" s="754" t="n"/>
      <c r="O99" s="766" t="n"/>
    </row>
    <row r="100">
      <c r="A100" s="751" t="n"/>
      <c r="B100" s="752" t="n"/>
      <c r="C100" s="752" t="n"/>
      <c r="D100" s="436" t="inlineStr">
        <is>
          <t>Bear Case</t>
        </is>
      </c>
      <c r="E100" s="778" t="n">
        <v>60000</v>
      </c>
      <c r="F100" s="778" t="n">
        <v>60000</v>
      </c>
      <c r="G100" s="778" t="n">
        <v>60000</v>
      </c>
      <c r="H100" s="778" t="n">
        <v>60000</v>
      </c>
      <c r="I100" s="778" t="n">
        <v>60000</v>
      </c>
      <c r="J100" s="778" t="n">
        <v>60000</v>
      </c>
      <c r="K100" s="778" t="n">
        <v>60000</v>
      </c>
      <c r="L100" s="752" t="n"/>
      <c r="M100" s="752" t="n"/>
      <c r="N100" s="754" t="n"/>
      <c r="O100" s="766" t="n"/>
    </row>
    <row r="101" ht="15" customHeight="1" s="632" thickBot="1">
      <c r="A101" s="751" t="n"/>
      <c r="B101" s="752" t="n"/>
      <c r="C101" s="752" t="n"/>
      <c r="D101" s="436" t="inlineStr">
        <is>
          <t>Stress Case</t>
        </is>
      </c>
      <c r="E101" s="778" t="n">
        <v>65000</v>
      </c>
      <c r="F101" s="778" t="n">
        <v>65000</v>
      </c>
      <c r="G101" s="778" t="n">
        <v>65000</v>
      </c>
      <c r="H101" s="778" t="n">
        <v>65000</v>
      </c>
      <c r="I101" s="778" t="n">
        <v>65000</v>
      </c>
      <c r="J101" s="778" t="n">
        <v>65000</v>
      </c>
      <c r="K101" s="778" t="n">
        <v>65000</v>
      </c>
      <c r="L101" s="752" t="n"/>
      <c r="M101" s="752" t="n"/>
      <c r="N101" s="754" t="n"/>
      <c r="O101" s="766" t="n"/>
    </row>
    <row r="102">
      <c r="A102" s="761" t="inlineStr">
        <is>
          <t>D17</t>
        </is>
      </c>
      <c r="B102" s="762" t="inlineStr">
        <is>
          <t>Maintenance capex</t>
        </is>
      </c>
      <c r="C102" s="763" t="inlineStr">
        <is>
          <t>% of revenue</t>
        </is>
      </c>
      <c r="D102" s="434" t="inlineStr">
        <is>
          <t>Base Case</t>
        </is>
      </c>
      <c r="E102" s="771" t="n">
        <v>0.03</v>
      </c>
      <c r="F102" s="771" t="n">
        <v>0.03</v>
      </c>
      <c r="G102" s="771" t="n">
        <v>0.03</v>
      </c>
      <c r="H102" s="771" t="n">
        <v>0.03</v>
      </c>
      <c r="I102" s="771" t="n">
        <v>0.03</v>
      </c>
      <c r="J102" s="771" t="n">
        <v>0.03</v>
      </c>
      <c r="K102" s="771" t="n">
        <v>0.03</v>
      </c>
      <c r="L102" s="763" t="inlineStr">
        <is>
          <t>Indicative</t>
        </is>
      </c>
      <c r="M102" s="763" t="inlineStr">
        <is>
          <t>Low</t>
        </is>
      </c>
      <c r="N102" s="764" t="inlineStr">
        <is>
          <t>INDICATIVE. Sustaining capex excluding growth. Cross-check: Tata Steel FY2026 total capex of Rs 14,026 cr on consolidated revenue of Rs 2,32,140 cr is 6.0%, but that figure includes substantial growth capex, so a 3.0% sustaining assumption is consistent with a roughly 50/50 growth-maintenance split. Not separately disclosed by any issuer in the database, hence Low confidence.</t>
        </is>
      </c>
      <c r="O102" s="765" t="n"/>
    </row>
    <row r="103">
      <c r="A103" s="751" t="n"/>
      <c r="B103" s="752" t="n"/>
      <c r="C103" s="752" t="n"/>
      <c r="D103" s="436" t="inlineStr">
        <is>
          <t>Bull Case</t>
        </is>
      </c>
      <c r="E103" s="772" t="n">
        <v>0.028</v>
      </c>
      <c r="F103" s="772" t="n">
        <v>0.028</v>
      </c>
      <c r="G103" s="772" t="n">
        <v>0.028</v>
      </c>
      <c r="H103" s="772" t="n">
        <v>0.028</v>
      </c>
      <c r="I103" s="772" t="n">
        <v>0.028</v>
      </c>
      <c r="J103" s="772" t="n">
        <v>0.028</v>
      </c>
      <c r="K103" s="772" t="n">
        <v>0.028</v>
      </c>
      <c r="L103" s="752" t="n"/>
      <c r="M103" s="752" t="n"/>
      <c r="N103" s="754" t="n"/>
      <c r="O103" s="766" t="n"/>
    </row>
    <row r="104">
      <c r="A104" s="751" t="n"/>
      <c r="B104" s="752" t="n"/>
      <c r="C104" s="752" t="n"/>
      <c r="D104" s="436" t="inlineStr">
        <is>
          <t>Bear Case</t>
        </is>
      </c>
      <c r="E104" s="772" t="n">
        <v>0.033</v>
      </c>
      <c r="F104" s="772" t="n">
        <v>0.033</v>
      </c>
      <c r="G104" s="772" t="n">
        <v>0.033</v>
      </c>
      <c r="H104" s="772" t="n">
        <v>0.033</v>
      </c>
      <c r="I104" s="772" t="n">
        <v>0.033</v>
      </c>
      <c r="J104" s="772" t="n">
        <v>0.033</v>
      </c>
      <c r="K104" s="772" t="n">
        <v>0.033</v>
      </c>
      <c r="L104" s="752" t="n"/>
      <c r="M104" s="752" t="n"/>
      <c r="N104" s="754" t="n"/>
      <c r="O104" s="766" t="n"/>
    </row>
    <row r="105" ht="15" customHeight="1" s="632" thickBot="1">
      <c r="A105" s="767" t="n"/>
      <c r="B105" s="768" t="n"/>
      <c r="C105" s="768" t="n"/>
      <c r="D105" s="438" t="inlineStr">
        <is>
          <t>Stress Case</t>
        </is>
      </c>
      <c r="E105" s="773" t="n">
        <v>0.035</v>
      </c>
      <c r="F105" s="773" t="n">
        <v>0.035</v>
      </c>
      <c r="G105" s="773" t="n">
        <v>0.035</v>
      </c>
      <c r="H105" s="773" t="n">
        <v>0.035</v>
      </c>
      <c r="I105" s="773" t="n">
        <v>0.035</v>
      </c>
      <c r="J105" s="773" t="n">
        <v>0.035</v>
      </c>
      <c r="K105" s="773" t="n">
        <v>0.035</v>
      </c>
      <c r="L105" s="768" t="n"/>
      <c r="M105" s="768" t="n"/>
      <c r="N105" s="769" t="n"/>
      <c r="O105" s="770" t="n"/>
    </row>
    <row r="106">
      <c r="A106" s="326" t="inlineStr">
        <is>
          <t>D18</t>
        </is>
      </c>
      <c r="B106" s="348" t="inlineStr">
        <is>
          <t>Net working capital</t>
        </is>
      </c>
      <c r="C106" s="337" t="inlineStr">
        <is>
          <t>days of revenue</t>
        </is>
      </c>
      <c r="D106" s="434" t="inlineStr">
        <is>
          <t>Base Case</t>
        </is>
      </c>
      <c r="E106" s="771" t="n">
        <v>45</v>
      </c>
      <c r="F106" s="771" t="n">
        <v>45</v>
      </c>
      <c r="G106" s="771" t="n">
        <v>45</v>
      </c>
      <c r="H106" s="771" t="n">
        <v>45</v>
      </c>
      <c r="I106" s="771" t="n">
        <v>45</v>
      </c>
      <c r="J106" s="771" t="n">
        <v>45</v>
      </c>
      <c r="K106" s="771" t="n">
        <v>45</v>
      </c>
      <c r="L106" s="337" t="inlineStr">
        <is>
          <t>Not sourced</t>
        </is>
      </c>
      <c r="M106" s="337" t="inlineStr">
        <is>
          <t>Low</t>
        </is>
      </c>
      <c r="N106" s="780" t="inlineStr">
        <is>
          <t>NOT SOURCED. The Master Database carries total assets and borrowings but not receivables, inventory or payables, so working capital days could not be derived from it. Directional evidence only: Tata Steel disclosed a working capital RELEASE of about Rs 6,470 cr in FY2026 (Master DB), consistent with tightening days on a Rs 2,32,140 cr revenue base of roughly 10 days. Base of 45 days is a sector convention for an integrated Indian steel producer and MUST be replaced with balance-sheet-derived days before transaction use. Stress reflects a working capital build in a downturn as inventory rises and receivables stretch, which is a first-order cash flow risk, not a second-order one.</t>
        </is>
      </c>
      <c r="O106" s="765" t="n"/>
    </row>
    <row r="107">
      <c r="A107" s="751" t="n"/>
      <c r="B107" s="752" t="n"/>
      <c r="C107" s="752" t="n"/>
      <c r="D107" s="436" t="inlineStr">
        <is>
          <t>Bull Case</t>
        </is>
      </c>
      <c r="E107" s="772" t="n">
        <v>40</v>
      </c>
      <c r="F107" s="772" t="n">
        <v>40</v>
      </c>
      <c r="G107" s="772" t="n">
        <v>40</v>
      </c>
      <c r="H107" s="772" t="n">
        <v>40</v>
      </c>
      <c r="I107" s="772" t="n">
        <v>40</v>
      </c>
      <c r="J107" s="772" t="n">
        <v>40</v>
      </c>
      <c r="K107" s="772" t="n">
        <v>40</v>
      </c>
      <c r="L107" s="752" t="n"/>
      <c r="M107" s="752" t="n"/>
      <c r="N107" s="754" t="n"/>
      <c r="O107" s="766" t="n"/>
    </row>
    <row r="108">
      <c r="A108" s="751" t="n"/>
      <c r="B108" s="752" t="n"/>
      <c r="C108" s="752" t="n"/>
      <c r="D108" s="436" t="inlineStr">
        <is>
          <t>Bear Case</t>
        </is>
      </c>
      <c r="E108" s="772" t="n">
        <v>52</v>
      </c>
      <c r="F108" s="772" t="n">
        <v>52</v>
      </c>
      <c r="G108" s="772" t="n">
        <v>52</v>
      </c>
      <c r="H108" s="772" t="n">
        <v>52</v>
      </c>
      <c r="I108" s="772" t="n">
        <v>52</v>
      </c>
      <c r="J108" s="772" t="n">
        <v>52</v>
      </c>
      <c r="K108" s="772" t="n">
        <v>52</v>
      </c>
      <c r="L108" s="752" t="n"/>
      <c r="M108" s="752" t="n"/>
      <c r="N108" s="754" t="n"/>
      <c r="O108" s="766" t="n"/>
    </row>
    <row r="109" ht="15" customHeight="1" s="632" thickBot="1">
      <c r="A109" s="751" t="n"/>
      <c r="B109" s="752" t="n"/>
      <c r="C109" s="752" t="n"/>
      <c r="D109" s="436" t="inlineStr">
        <is>
          <t>Stress Case</t>
        </is>
      </c>
      <c r="E109" s="772" t="n">
        <v>62</v>
      </c>
      <c r="F109" s="772" t="n">
        <v>62</v>
      </c>
      <c r="G109" s="772" t="n">
        <v>62</v>
      </c>
      <c r="H109" s="772" t="n">
        <v>62</v>
      </c>
      <c r="I109" s="772" t="n">
        <v>62</v>
      </c>
      <c r="J109" s="772" t="n">
        <v>62</v>
      </c>
      <c r="K109" s="772" t="n">
        <v>62</v>
      </c>
      <c r="L109" s="752" t="n"/>
      <c r="M109" s="752" t="n"/>
      <c r="N109" s="754" t="n"/>
      <c r="O109" s="766" t="n"/>
    </row>
    <row r="110">
      <c r="A110" s="761" t="inlineStr">
        <is>
          <t>D19</t>
        </is>
      </c>
      <c r="B110" s="762" t="inlineStr">
        <is>
          <t>Exit EV/EBITDA multiple</t>
        </is>
      </c>
      <c r="C110" s="763" t="inlineStr">
        <is>
          <t>x</t>
        </is>
      </c>
      <c r="D110" s="434" t="inlineStr">
        <is>
          <t>Base Case</t>
        </is>
      </c>
      <c r="E110" s="435" t="n">
        <v>6</v>
      </c>
      <c r="F110" s="435" t="n">
        <v>6</v>
      </c>
      <c r="G110" s="435" t="n">
        <v>6</v>
      </c>
      <c r="H110" s="435" t="n">
        <v>6</v>
      </c>
      <c r="I110" s="435" t="n">
        <v>6</v>
      </c>
      <c r="J110" s="435" t="n">
        <v>6</v>
      </c>
      <c r="K110" s="435" t="n">
        <v>6</v>
      </c>
      <c r="L110" s="763" t="inlineStr">
        <is>
          <t>Not sourced</t>
        </is>
      </c>
      <c r="M110" s="763" t="inlineStr">
        <is>
          <t>Low</t>
        </is>
      </c>
      <c r="N110" s="764" t="inlineStr">
        <is>
          <t>NOT SOURCED - market multiples were not obtained in this research cycle because share prices were not sourced. 6.0x is the conventional mid-cycle EV/EBITDA for Indian integrated steel and is provided as a starting point only. Sheet 23 computes live trading multiples the moment share prices are entered, and the exit multiple should then be re-based on that observed evidence. Flagged Low confidence and excluded from the headline conclusions.</t>
        </is>
      </c>
      <c r="O110" s="765" t="n"/>
    </row>
    <row r="111">
      <c r="A111" s="751" t="n"/>
      <c r="B111" s="752" t="n"/>
      <c r="C111" s="752" t="n"/>
      <c r="D111" s="436" t="inlineStr">
        <is>
          <t>Bull Case</t>
        </is>
      </c>
      <c r="E111" s="437" t="n">
        <v>7</v>
      </c>
      <c r="F111" s="437" t="n">
        <v>7</v>
      </c>
      <c r="G111" s="437" t="n">
        <v>7</v>
      </c>
      <c r="H111" s="437" t="n">
        <v>7</v>
      </c>
      <c r="I111" s="437" t="n">
        <v>7</v>
      </c>
      <c r="J111" s="437" t="n">
        <v>7</v>
      </c>
      <c r="K111" s="437" t="n">
        <v>7</v>
      </c>
      <c r="L111" s="752" t="n"/>
      <c r="M111" s="752" t="n"/>
      <c r="N111" s="754" t="n"/>
      <c r="O111" s="766" t="n"/>
    </row>
    <row r="112">
      <c r="A112" s="751" t="n"/>
      <c r="B112" s="752" t="n"/>
      <c r="C112" s="752" t="n"/>
      <c r="D112" s="436" t="inlineStr">
        <is>
          <t>Bear Case</t>
        </is>
      </c>
      <c r="E112" s="437" t="n">
        <v>5</v>
      </c>
      <c r="F112" s="437" t="n">
        <v>5</v>
      </c>
      <c r="G112" s="437" t="n">
        <v>5</v>
      </c>
      <c r="H112" s="437" t="n">
        <v>5</v>
      </c>
      <c r="I112" s="437" t="n">
        <v>5</v>
      </c>
      <c r="J112" s="437" t="n">
        <v>5</v>
      </c>
      <c r="K112" s="437" t="n">
        <v>5</v>
      </c>
      <c r="L112" s="752" t="n"/>
      <c r="M112" s="752" t="n"/>
      <c r="N112" s="754" t="n"/>
      <c r="O112" s="766" t="n"/>
    </row>
    <row r="113" ht="15" customHeight="1" s="632" thickBot="1">
      <c r="A113" s="767" t="n"/>
      <c r="B113" s="768" t="n"/>
      <c r="C113" s="768" t="n"/>
      <c r="D113" s="438" t="inlineStr">
        <is>
          <t>Stress Case</t>
        </is>
      </c>
      <c r="E113" s="439" t="n">
        <v>4</v>
      </c>
      <c r="F113" s="439" t="n">
        <v>4</v>
      </c>
      <c r="G113" s="439" t="n">
        <v>4</v>
      </c>
      <c r="H113" s="439" t="n">
        <v>4</v>
      </c>
      <c r="I113" s="439" t="n">
        <v>4</v>
      </c>
      <c r="J113" s="439" t="n">
        <v>4</v>
      </c>
      <c r="K113" s="439" t="n">
        <v>4</v>
      </c>
      <c r="L113" s="768" t="n"/>
      <c r="M113" s="768" t="n"/>
      <c r="N113" s="769" t="n"/>
      <c r="O113" s="770" t="n"/>
    </row>
    <row r="114">
      <c r="A114" s="761" t="inlineStr">
        <is>
          <t>D20</t>
        </is>
      </c>
      <c r="B114" s="762" t="inlineStr">
        <is>
          <t>WACC (nominal, INR)</t>
        </is>
      </c>
      <c r="C114" s="763" t="inlineStr">
        <is>
          <t>%</t>
        </is>
      </c>
      <c r="D114" s="434" t="inlineStr">
        <is>
          <t>Base Case</t>
        </is>
      </c>
      <c r="E114" s="774" t="n">
        <v>0.12</v>
      </c>
      <c r="F114" s="774" t="n">
        <v>0.12</v>
      </c>
      <c r="G114" s="774" t="n">
        <v>0.12</v>
      </c>
      <c r="H114" s="774" t="n">
        <v>0.12</v>
      </c>
      <c r="I114" s="774" t="n">
        <v>0.12</v>
      </c>
      <c r="J114" s="774" t="n">
        <v>0.12</v>
      </c>
      <c r="K114" s="774" t="n">
        <v>0.12</v>
      </c>
      <c r="L114" s="763" t="inlineStr">
        <is>
          <t>Composite</t>
        </is>
      </c>
      <c r="M114" s="763" t="inlineStr">
        <is>
          <t>Medium</t>
        </is>
      </c>
      <c r="N114" s="764" t="inlineStr">
        <is>
          <t>Built from observable Indian market data where available. Risk-free rate 6.83% - the 10-year G-sec yield on 31-Jul-2026, with Trading Economics expecting 6.78% at quarter end. Pre-tax cost of debt 7.44% - the lower bound of CRISIL RateView's Jul-2026 projected 10-year corporate bond yield range of 7.44-7.54%, consistent with the AA domestic ratings the Master Database records for JSW Steel. Post-tax cost of debt therefore 5.57% at the 25.17% tax rate. Equity risk premium of 6.5% and an equity beta of 1.2 are NOT SOURCED and are the weakest links in this build; at a 30% debt weight these give a cost of equity of about 14.6% and a WACC of about 12.0%. The full build-up is shown and is fully editable on sheet 02, and WACC is a sensitivity axis on sheet 22.</t>
        </is>
      </c>
      <c r="O114" s="765" t="n"/>
    </row>
    <row r="115">
      <c r="A115" s="751" t="n"/>
      <c r="B115" s="752" t="n"/>
      <c r="C115" s="752" t="n"/>
      <c r="D115" s="436" t="inlineStr">
        <is>
          <t>Bull Case</t>
        </is>
      </c>
      <c r="E115" s="775" t="n">
        <v>0.112</v>
      </c>
      <c r="F115" s="775" t="n">
        <v>0.112</v>
      </c>
      <c r="G115" s="775" t="n">
        <v>0.112</v>
      </c>
      <c r="H115" s="775" t="n">
        <v>0.112</v>
      </c>
      <c r="I115" s="775" t="n">
        <v>0.112</v>
      </c>
      <c r="J115" s="775" t="n">
        <v>0.112</v>
      </c>
      <c r="K115" s="775" t="n">
        <v>0.112</v>
      </c>
      <c r="L115" s="752" t="n"/>
      <c r="M115" s="752" t="n"/>
      <c r="N115" s="754" t="n"/>
      <c r="O115" s="766" t="n"/>
    </row>
    <row r="116">
      <c r="A116" s="751" t="n"/>
      <c r="B116" s="752" t="n"/>
      <c r="C116" s="752" t="n"/>
      <c r="D116" s="436" t="inlineStr">
        <is>
          <t>Bear Case</t>
        </is>
      </c>
      <c r="E116" s="775" t="n">
        <v>0.128</v>
      </c>
      <c r="F116" s="775" t="n">
        <v>0.128</v>
      </c>
      <c r="G116" s="775" t="n">
        <v>0.128</v>
      </c>
      <c r="H116" s="775" t="n">
        <v>0.128</v>
      </c>
      <c r="I116" s="775" t="n">
        <v>0.128</v>
      </c>
      <c r="J116" s="775" t="n">
        <v>0.128</v>
      </c>
      <c r="K116" s="775" t="n">
        <v>0.128</v>
      </c>
      <c r="L116" s="752" t="n"/>
      <c r="M116" s="752" t="n"/>
      <c r="N116" s="754" t="n"/>
      <c r="O116" s="766" t="n"/>
    </row>
    <row r="117" ht="15" customHeight="1" s="632" thickBot="1">
      <c r="A117" s="767" t="n"/>
      <c r="B117" s="768" t="n"/>
      <c r="C117" s="768" t="n"/>
      <c r="D117" s="438" t="inlineStr">
        <is>
          <t>Stress Case</t>
        </is>
      </c>
      <c r="E117" s="776" t="n">
        <v>0.14</v>
      </c>
      <c r="F117" s="776" t="n">
        <v>0.14</v>
      </c>
      <c r="G117" s="776" t="n">
        <v>0.14</v>
      </c>
      <c r="H117" s="776" t="n">
        <v>0.14</v>
      </c>
      <c r="I117" s="776" t="n">
        <v>0.14</v>
      </c>
      <c r="J117" s="776" t="n">
        <v>0.14</v>
      </c>
      <c r="K117" s="776" t="n">
        <v>0.14</v>
      </c>
      <c r="L117" s="768" t="n"/>
      <c r="M117" s="768" t="n"/>
      <c r="N117" s="769" t="n"/>
      <c r="O117" s="770" t="n"/>
    </row>
    <row r="118">
      <c r="A118" s="761" t="inlineStr">
        <is>
          <t>D21</t>
        </is>
      </c>
      <c r="B118" s="762" t="inlineStr">
        <is>
          <t>Finished steel imports</t>
        </is>
      </c>
      <c r="C118" s="763" t="inlineStr">
        <is>
          <t>Mt</t>
        </is>
      </c>
      <c r="D118" s="434" t="inlineStr">
        <is>
          <t>Base Case</t>
        </is>
      </c>
      <c r="E118" s="771" t="n">
        <v>6.8</v>
      </c>
      <c r="F118" s="771" t="n">
        <v>7</v>
      </c>
      <c r="G118" s="771" t="n">
        <v>7.2</v>
      </c>
      <c r="H118" s="771" t="n">
        <v>7.5</v>
      </c>
      <c r="I118" s="771" t="n">
        <v>7.8</v>
      </c>
      <c r="J118" s="771" t="n">
        <v>8.1</v>
      </c>
      <c r="K118" s="771" t="n">
        <v>8.4</v>
      </c>
      <c r="L118" s="763" t="inlineStr">
        <is>
          <t>Derived-DB</t>
        </is>
      </c>
      <c r="M118" s="763" t="inlineStr">
        <is>
          <t>Medium</t>
        </is>
      </c>
      <c r="N118" s="764" t="inlineStr">
        <is>
          <t>FY2026 actual 6.524 Mt, down 31.7% from 9.551 Mt in FY2025 as the safeguard duty bit (Master DB). Base assumes imports grow slowly with the market as the duty tapers to 11.5% then 11% and expires 20-Apr-2028, but stay well below the FY2025 peak because domestic capacity has expanded. Note the counter-intuitive scenario signs: the BULL case carries HIGHER imports because strong domestic demand pulls material in, while the BEAR case carries LOWER imports because weak demand and a wide domestic discount to import parity make imports uncompetitive. Stress assumes a return above the FY2025 peak on duty expiry plus Chinese surplus redirection. Exports are derived as imports plus net exports (D07), so the two trade drivers are internally consistent by construction.</t>
        </is>
      </c>
      <c r="O118" s="765" t="n"/>
    </row>
    <row r="119">
      <c r="A119" s="751" t="n"/>
      <c r="B119" s="752" t="n"/>
      <c r="C119" s="752" t="n"/>
      <c r="D119" s="436" t="inlineStr">
        <is>
          <t>Bull Case</t>
        </is>
      </c>
      <c r="E119" s="772" t="n">
        <v>7.5</v>
      </c>
      <c r="F119" s="772" t="n">
        <v>8</v>
      </c>
      <c r="G119" s="772" t="n">
        <v>8.5</v>
      </c>
      <c r="H119" s="772" t="n">
        <v>9</v>
      </c>
      <c r="I119" s="772" t="n">
        <v>9.5</v>
      </c>
      <c r="J119" s="772" t="n">
        <v>10</v>
      </c>
      <c r="K119" s="772" t="n">
        <v>10.5</v>
      </c>
      <c r="L119" s="752" t="n"/>
      <c r="M119" s="752" t="n"/>
      <c r="N119" s="754" t="n"/>
      <c r="O119" s="766" t="n"/>
    </row>
    <row r="120">
      <c r="A120" s="751" t="n"/>
      <c r="B120" s="752" t="n"/>
      <c r="C120" s="752" t="n"/>
      <c r="D120" s="436" t="inlineStr">
        <is>
          <t>Bear Case</t>
        </is>
      </c>
      <c r="E120" s="772" t="n">
        <v>6</v>
      </c>
      <c r="F120" s="772" t="n">
        <v>5.5</v>
      </c>
      <c r="G120" s="772" t="n">
        <v>5.2</v>
      </c>
      <c r="H120" s="772" t="n">
        <v>5</v>
      </c>
      <c r="I120" s="772" t="n">
        <v>5</v>
      </c>
      <c r="J120" s="772" t="n">
        <v>5.1</v>
      </c>
      <c r="K120" s="772" t="n">
        <v>5.2</v>
      </c>
      <c r="L120" s="752" t="n"/>
      <c r="M120" s="752" t="n"/>
      <c r="N120" s="754" t="n"/>
      <c r="O120" s="766" t="n"/>
    </row>
    <row r="121" ht="15" customHeight="1" s="632" thickBot="1">
      <c r="A121" s="767" t="n"/>
      <c r="B121" s="768" t="n"/>
      <c r="C121" s="768" t="n"/>
      <c r="D121" s="438" t="inlineStr">
        <is>
          <t>Stress Case</t>
        </is>
      </c>
      <c r="E121" s="773" t="n">
        <v>8.5</v>
      </c>
      <c r="F121" s="773" t="n">
        <v>10</v>
      </c>
      <c r="G121" s="773" t="n">
        <v>11</v>
      </c>
      <c r="H121" s="773" t="n">
        <v>11.5</v>
      </c>
      <c r="I121" s="773" t="n">
        <v>12</v>
      </c>
      <c r="J121" s="773" t="n">
        <v>12</v>
      </c>
      <c r="K121" s="773" t="n">
        <v>12</v>
      </c>
      <c r="L121" s="768" t="n"/>
      <c r="M121" s="768" t="n"/>
      <c r="N121" s="769" t="n"/>
      <c r="O121" s="770" t="n"/>
    </row>
    <row r="122">
      <c r="A122" s="761" t="inlineStr">
        <is>
          <t>D22</t>
        </is>
      </c>
      <c r="B122" s="762" t="inlineStr">
        <is>
          <t>Secondary and unattributed capacity additions</t>
        </is>
      </c>
      <c r="C122" s="763" t="inlineStr">
        <is>
          <t>Mtpa p.a.</t>
        </is>
      </c>
      <c r="D122" s="434" t="inlineStr">
        <is>
          <t>Base Case</t>
        </is>
      </c>
      <c r="E122" s="771" t="n">
        <v>11</v>
      </c>
      <c r="F122" s="771" t="n">
        <v>11</v>
      </c>
      <c r="G122" s="771" t="n">
        <v>11</v>
      </c>
      <c r="H122" s="771" t="n">
        <v>10.5</v>
      </c>
      <c r="I122" s="771" t="n">
        <v>10.5</v>
      </c>
      <c r="J122" s="771" t="n">
        <v>10</v>
      </c>
      <c r="K122" s="771" t="n">
        <v>10</v>
      </c>
      <c r="L122" s="763" t="inlineStr">
        <is>
          <t>Derived-DB</t>
        </is>
      </c>
      <c r="M122" s="763" t="inlineStr">
        <is>
          <t>Medium</t>
        </is>
      </c>
      <c r="N122" s="764" t="inlineStr">
        <is>
          <t>ESSENTIAL RECONCILIATION ITEM. The dated project tracker on sheet 07 captures only large, individually announced projects and averages 7.7 Mtpa a year over FY2027-FY2033. India actually added 20.82 Mtpa in FY2025 and 20.07 Mtpa in FY2026 (Master DB), so roughly 12.7 Mtpa a year has historically come from the secondary sector and from projects too small to be individually announced. The Master Database evidences this directly: production by 'other producers' rose from 66.61 Mt in FY2025 to 73.02 Mt in FY2026 and compounded at 10.7% over FY2022-FY2026, faster than the integrated majors' 8.1%. Base assumes 11.0 Mtpa a year tapering to 10.0, slightly below the historical rate. VALIDATION: this build produces India crude steel capacity of about 302 Mtpa by FY2031 against the National Steel Policy 2017 target of 300 Mtpa - the model reproduces the policy target from bottom-up components without being calibrated to it, which is a meaningful independent check on the capacity block. Omitting this driver would understate FY2031 capacity by about 54 Mtpa, or 18%.</t>
        </is>
      </c>
      <c r="O122" s="765" t="n"/>
    </row>
    <row r="123">
      <c r="A123" s="751" t="n"/>
      <c r="B123" s="752" t="n"/>
      <c r="C123" s="752" t="n"/>
      <c r="D123" s="436" t="inlineStr">
        <is>
          <t>Bull Case</t>
        </is>
      </c>
      <c r="E123" s="772" t="n">
        <v>13</v>
      </c>
      <c r="F123" s="772" t="n">
        <v>13</v>
      </c>
      <c r="G123" s="772" t="n">
        <v>12.5</v>
      </c>
      <c r="H123" s="772" t="n">
        <v>12.5</v>
      </c>
      <c r="I123" s="772" t="n">
        <v>12</v>
      </c>
      <c r="J123" s="772" t="n">
        <v>12</v>
      </c>
      <c r="K123" s="772" t="n">
        <v>11.5</v>
      </c>
      <c r="L123" s="752" t="n"/>
      <c r="M123" s="752" t="n"/>
      <c r="N123" s="754" t="n"/>
      <c r="O123" s="766" t="n"/>
    </row>
    <row r="124">
      <c r="A124" s="751" t="n"/>
      <c r="B124" s="752" t="n"/>
      <c r="C124" s="752" t="n"/>
      <c r="D124" s="436" t="inlineStr">
        <is>
          <t>Bear Case</t>
        </is>
      </c>
      <c r="E124" s="772" t="n">
        <v>8</v>
      </c>
      <c r="F124" s="772" t="n">
        <v>8</v>
      </c>
      <c r="G124" s="772" t="n">
        <v>7.5</v>
      </c>
      <c r="H124" s="772" t="n">
        <v>7</v>
      </c>
      <c r="I124" s="772" t="n">
        <v>7</v>
      </c>
      <c r="J124" s="772" t="n">
        <v>6.5</v>
      </c>
      <c r="K124" s="772" t="n">
        <v>6.5</v>
      </c>
      <c r="L124" s="752" t="n"/>
      <c r="M124" s="752" t="n"/>
      <c r="N124" s="754" t="n"/>
      <c r="O124" s="766" t="n"/>
    </row>
    <row r="125" ht="15" customHeight="1" s="632" thickBot="1">
      <c r="A125" s="767" t="n"/>
      <c r="B125" s="768" t="n"/>
      <c r="C125" s="768" t="n"/>
      <c r="D125" s="438" t="inlineStr">
        <is>
          <t>Stress Case</t>
        </is>
      </c>
      <c r="E125" s="773" t="n">
        <v>5</v>
      </c>
      <c r="F125" s="773" t="n">
        <v>4</v>
      </c>
      <c r="G125" s="773" t="n">
        <v>4</v>
      </c>
      <c r="H125" s="773" t="n">
        <v>3.5</v>
      </c>
      <c r="I125" s="773" t="n">
        <v>3.5</v>
      </c>
      <c r="J125" s="773" t="n">
        <v>3</v>
      </c>
      <c r="K125" s="773" t="n">
        <v>3</v>
      </c>
      <c r="L125" s="768" t="n"/>
      <c r="M125" s="768" t="n"/>
      <c r="N125" s="769" t="n"/>
      <c r="O125" s="770" t="n"/>
    </row>
    <row r="126">
      <c r="A126" s="761" t="inlineStr">
        <is>
          <t>D23</t>
        </is>
      </c>
      <c r="B126" s="762" t="inlineStr">
        <is>
          <t>Price sensitivity to capacity utilisation (lagged)</t>
        </is>
      </c>
      <c r="C126" s="763" t="inlineStr">
        <is>
          <t>x</t>
        </is>
      </c>
      <c r="D126" s="434" t="inlineStr">
        <is>
          <t>Base Case</t>
        </is>
      </c>
      <c r="E126" s="435" t="n">
        <v>0.4</v>
      </c>
      <c r="F126" s="435" t="n">
        <v>0.4</v>
      </c>
      <c r="G126" s="435" t="n">
        <v>0.4</v>
      </c>
      <c r="H126" s="435" t="n">
        <v>0.4</v>
      </c>
      <c r="I126" s="435" t="n">
        <v>0.4</v>
      </c>
      <c r="J126" s="435" t="n">
        <v>0.4</v>
      </c>
      <c r="K126" s="435" t="n">
        <v>0.4</v>
      </c>
      <c r="L126" s="763" t="inlineStr">
        <is>
          <t>Indicative</t>
        </is>
      </c>
      <c r="M126" s="763" t="inlineStr">
        <is>
          <t>Low</t>
        </is>
      </c>
      <c r="N126" s="764" t="inlineStr">
        <is>
          <t>THE FEEDBACK LOOP THAT MAKES THIS AN INTEGRATED MODEL RATHER THAN A SET OF PARALLEL FORECASTS. Realisation is adjusted by this elasticity multiplied by the gap between the PRIOR year's capacity utilisation and normal utilisation (D24): effective realisation = driver realisation x (1 + D23 x (utilisation[t-1] - D24)). The one-year LAG is deliberate and essential - it makes capacity, delivery rates and secondary additions genuinely affect price and therefore EBITDA, while avoiding a circular reference in Excel. Without it, capacity is decorative: the pipeline delivery factor and secondary additions would show literally zero EBITDA sensitivity, which would be a visible hole in the model. Sign: MORE capacity lowers utilisation, which lowers price, which lowers EBITDA - so faster capacity delivery is EBITDA-NEGATIVE, which is the economically correct result and the opposite of the naive intuition. Value of 0.40x is INDICATIVE and unsourced; it is held constant across scenarios for that reason and is a sensitivity axis on sheet 22. Directional support from the database: utilisation fell from 80.4% in FY2024 to 76.0% in FY2025 and domestic HRC weakened materially over that period, requiring a safeguard duty to arrest the decline.</t>
        </is>
      </c>
      <c r="O126" s="765" t="n"/>
    </row>
    <row r="127">
      <c r="A127" s="751" t="n"/>
      <c r="B127" s="752" t="n"/>
      <c r="C127" s="752" t="n"/>
      <c r="D127" s="436" t="inlineStr">
        <is>
          <t>Bull Case</t>
        </is>
      </c>
      <c r="E127" s="437" t="n">
        <v>0.4</v>
      </c>
      <c r="F127" s="437" t="n">
        <v>0.4</v>
      </c>
      <c r="G127" s="437" t="n">
        <v>0.4</v>
      </c>
      <c r="H127" s="437" t="n">
        <v>0.4</v>
      </c>
      <c r="I127" s="437" t="n">
        <v>0.4</v>
      </c>
      <c r="J127" s="437" t="n">
        <v>0.4</v>
      </c>
      <c r="K127" s="437" t="n">
        <v>0.4</v>
      </c>
      <c r="L127" s="752" t="n"/>
      <c r="M127" s="752" t="n"/>
      <c r="N127" s="754" t="n"/>
      <c r="O127" s="766" t="n"/>
    </row>
    <row r="128">
      <c r="A128" s="751" t="n"/>
      <c r="B128" s="752" t="n"/>
      <c r="C128" s="752" t="n"/>
      <c r="D128" s="436" t="inlineStr">
        <is>
          <t>Bear Case</t>
        </is>
      </c>
      <c r="E128" s="437" t="n">
        <v>0.4</v>
      </c>
      <c r="F128" s="437" t="n">
        <v>0.4</v>
      </c>
      <c r="G128" s="437" t="n">
        <v>0.4</v>
      </c>
      <c r="H128" s="437" t="n">
        <v>0.4</v>
      </c>
      <c r="I128" s="437" t="n">
        <v>0.4</v>
      </c>
      <c r="J128" s="437" t="n">
        <v>0.4</v>
      </c>
      <c r="K128" s="437" t="n">
        <v>0.4</v>
      </c>
      <c r="L128" s="752" t="n"/>
      <c r="M128" s="752" t="n"/>
      <c r="N128" s="754" t="n"/>
      <c r="O128" s="766" t="n"/>
    </row>
    <row r="129" ht="15" customHeight="1" s="632" thickBot="1">
      <c r="A129" s="767" t="n"/>
      <c r="B129" s="768" t="n"/>
      <c r="C129" s="768" t="n"/>
      <c r="D129" s="438" t="inlineStr">
        <is>
          <t>Stress Case</t>
        </is>
      </c>
      <c r="E129" s="439" t="n">
        <v>0.4</v>
      </c>
      <c r="F129" s="439" t="n">
        <v>0.4</v>
      </c>
      <c r="G129" s="439" t="n">
        <v>0.4</v>
      </c>
      <c r="H129" s="439" t="n">
        <v>0.4</v>
      </c>
      <c r="I129" s="439" t="n">
        <v>0.4</v>
      </c>
      <c r="J129" s="439" t="n">
        <v>0.4</v>
      </c>
      <c r="K129" s="439" t="n">
        <v>0.4</v>
      </c>
      <c r="L129" s="768" t="n"/>
      <c r="M129" s="768" t="n"/>
      <c r="N129" s="769" t="n"/>
      <c r="O129" s="770" t="n"/>
    </row>
    <row r="130">
      <c r="A130" s="761" t="inlineStr">
        <is>
          <t>D24</t>
        </is>
      </c>
      <c r="B130" s="762" t="inlineStr">
        <is>
          <t>Normal capacity utilisation</t>
        </is>
      </c>
      <c r="C130" s="763" t="inlineStr">
        <is>
          <t>%</t>
        </is>
      </c>
      <c r="D130" s="434" t="inlineStr">
        <is>
          <t>Base Case</t>
        </is>
      </c>
      <c r="E130" s="774" t="n">
        <v>0.8</v>
      </c>
      <c r="F130" s="774" t="n">
        <v>0.8</v>
      </c>
      <c r="G130" s="774" t="n">
        <v>0.8</v>
      </c>
      <c r="H130" s="774" t="n">
        <v>0.8</v>
      </c>
      <c r="I130" s="774" t="n">
        <v>0.8</v>
      </c>
      <c r="J130" s="774" t="n">
        <v>0.8</v>
      </c>
      <c r="K130" s="774" t="n">
        <v>0.8</v>
      </c>
      <c r="L130" s="763" t="inlineStr">
        <is>
          <t>Derived-DB</t>
        </is>
      </c>
      <c r="M130" s="763" t="inlineStr">
        <is>
          <t>Medium</t>
        </is>
      </c>
      <c r="N130" s="764" t="inlineStr">
        <is>
          <t>The utilisation level at which realisation equals the unadjusted driver value, i.e. the neutral point of the feedback in D23. Anchored on actual Indian utilisation from the Master Database: 80.4% in FY2024, 76.0% in FY2025 and 76.4% in FY2026. FY2024's 80.4% is the recent high and is adopted as 'normal'. Held constant across scenarios because it is a structural property of the industry, not a cyclical variable.</t>
        </is>
      </c>
      <c r="O130" s="765" t="n"/>
    </row>
    <row r="131">
      <c r="A131" s="751" t="n"/>
      <c r="B131" s="752" t="n"/>
      <c r="C131" s="752" t="n"/>
      <c r="D131" s="436" t="inlineStr">
        <is>
          <t>Bull Case</t>
        </is>
      </c>
      <c r="E131" s="775" t="n">
        <v>0.8</v>
      </c>
      <c r="F131" s="775" t="n">
        <v>0.8</v>
      </c>
      <c r="G131" s="775" t="n">
        <v>0.8</v>
      </c>
      <c r="H131" s="775" t="n">
        <v>0.8</v>
      </c>
      <c r="I131" s="775" t="n">
        <v>0.8</v>
      </c>
      <c r="J131" s="775" t="n">
        <v>0.8</v>
      </c>
      <c r="K131" s="775" t="n">
        <v>0.8</v>
      </c>
      <c r="L131" s="752" t="n"/>
      <c r="M131" s="752" t="n"/>
      <c r="N131" s="754" t="n"/>
      <c r="O131" s="766" t="n"/>
    </row>
    <row r="132">
      <c r="A132" s="751" t="n"/>
      <c r="B132" s="752" t="n"/>
      <c r="C132" s="752" t="n"/>
      <c r="D132" s="436" t="inlineStr">
        <is>
          <t>Bear Case</t>
        </is>
      </c>
      <c r="E132" s="775" t="n">
        <v>0.8</v>
      </c>
      <c r="F132" s="775" t="n">
        <v>0.8</v>
      </c>
      <c r="G132" s="775" t="n">
        <v>0.8</v>
      </c>
      <c r="H132" s="775" t="n">
        <v>0.8</v>
      </c>
      <c r="I132" s="775" t="n">
        <v>0.8</v>
      </c>
      <c r="J132" s="775" t="n">
        <v>0.8</v>
      </c>
      <c r="K132" s="775" t="n">
        <v>0.8</v>
      </c>
      <c r="L132" s="752" t="n"/>
      <c r="M132" s="752" t="n"/>
      <c r="N132" s="754" t="n"/>
      <c r="O132" s="766" t="n"/>
    </row>
    <row r="133" ht="15" customHeight="1" s="632" thickBot="1">
      <c r="A133" s="767" t="n"/>
      <c r="B133" s="768" t="n"/>
      <c r="C133" s="768" t="n"/>
      <c r="D133" s="438" t="inlineStr">
        <is>
          <t>Stress Case</t>
        </is>
      </c>
      <c r="E133" s="776" t="n">
        <v>0.8</v>
      </c>
      <c r="F133" s="776" t="n">
        <v>0.8</v>
      </c>
      <c r="G133" s="776" t="n">
        <v>0.8</v>
      </c>
      <c r="H133" s="776" t="n">
        <v>0.8</v>
      </c>
      <c r="I133" s="776" t="n">
        <v>0.8</v>
      </c>
      <c r="J133" s="776" t="n">
        <v>0.8</v>
      </c>
      <c r="K133" s="776" t="n">
        <v>0.8</v>
      </c>
      <c r="L133" s="768" t="n"/>
      <c r="M133" s="768" t="n"/>
      <c r="N133" s="769" t="n"/>
      <c r="O133" s="770" t="n"/>
    </row>
    <row r="134">
      <c r="A134" s="761" t="inlineStr">
        <is>
          <t>D25</t>
        </is>
      </c>
      <c r="B134" s="762" t="inlineStr">
        <is>
          <t>Maximum practical capacity utilisation</t>
        </is>
      </c>
      <c r="C134" s="763" t="inlineStr">
        <is>
          <t>%</t>
        </is>
      </c>
      <c r="D134" s="434" t="inlineStr">
        <is>
          <t>Base Case</t>
        </is>
      </c>
      <c r="E134" s="774" t="n">
        <v>0.92</v>
      </c>
      <c r="F134" s="774" t="n">
        <v>0.92</v>
      </c>
      <c r="G134" s="774" t="n">
        <v>0.92</v>
      </c>
      <c r="H134" s="774" t="n">
        <v>0.92</v>
      </c>
      <c r="I134" s="774" t="n">
        <v>0.92</v>
      </c>
      <c r="J134" s="774" t="n">
        <v>0.92</v>
      </c>
      <c r="K134" s="774" t="n">
        <v>0.92</v>
      </c>
      <c r="L134" s="763" t="inlineStr">
        <is>
          <t>Indicative</t>
        </is>
      </c>
      <c r="M134" s="763" t="inlineStr">
        <is>
          <t>Low</t>
        </is>
      </c>
      <c r="N134" s="764" t="inlineStr">
        <is>
          <t>Caps crude steel production at capacity multiplied by this factor. Where demand-derived production would exceed the cap, the shortfall is met by additional imports rather than by impossible domestic output, which keeps the trade block internally consistent. INDICATIVE: 92% allows for planned maintenance, relining and the fact that a national aggregate can never run at nameplate. Evidence that individual assets can exceed nameplate: the Master Database records SAIL's Rourkela at 103.8% and Durgapur at 101.6% average utilisation over FY2021-FY2025, but SAIL's Alloy Steels Plant averaged only 39.8%, so the national aggregate is well below the best asset. In the base case the cap does not bind (peak utilisation 84.0% in FY2033), which is itself an important finding: India is not capacity-constrained on this demand path.</t>
        </is>
      </c>
      <c r="O134" s="765" t="n"/>
    </row>
    <row r="135">
      <c r="A135" s="751" t="n"/>
      <c r="B135" s="752" t="n"/>
      <c r="C135" s="752" t="n"/>
      <c r="D135" s="436" t="inlineStr">
        <is>
          <t>Bull Case</t>
        </is>
      </c>
      <c r="E135" s="775" t="n">
        <v>0.93</v>
      </c>
      <c r="F135" s="775" t="n">
        <v>0.93</v>
      </c>
      <c r="G135" s="775" t="n">
        <v>0.93</v>
      </c>
      <c r="H135" s="775" t="n">
        <v>0.93</v>
      </c>
      <c r="I135" s="775" t="n">
        <v>0.93</v>
      </c>
      <c r="J135" s="775" t="n">
        <v>0.93</v>
      </c>
      <c r="K135" s="775" t="n">
        <v>0.93</v>
      </c>
      <c r="L135" s="752" t="n"/>
      <c r="M135" s="752" t="n"/>
      <c r="N135" s="754" t="n"/>
      <c r="O135" s="766" t="n"/>
    </row>
    <row r="136">
      <c r="A136" s="751" t="n"/>
      <c r="B136" s="752" t="n"/>
      <c r="C136" s="752" t="n"/>
      <c r="D136" s="436" t="inlineStr">
        <is>
          <t>Bear Case</t>
        </is>
      </c>
      <c r="E136" s="775" t="n">
        <v>0.92</v>
      </c>
      <c r="F136" s="775" t="n">
        <v>0.92</v>
      </c>
      <c r="G136" s="775" t="n">
        <v>0.92</v>
      </c>
      <c r="H136" s="775" t="n">
        <v>0.92</v>
      </c>
      <c r="I136" s="775" t="n">
        <v>0.92</v>
      </c>
      <c r="J136" s="775" t="n">
        <v>0.92</v>
      </c>
      <c r="K136" s="775" t="n">
        <v>0.92</v>
      </c>
      <c r="L136" s="752" t="n"/>
      <c r="M136" s="752" t="n"/>
      <c r="N136" s="754" t="n"/>
      <c r="O136" s="766" t="n"/>
    </row>
    <row r="137" ht="15" customHeight="1" s="632" thickBot="1">
      <c r="A137" s="767" t="n"/>
      <c r="B137" s="768" t="n"/>
      <c r="C137" s="768" t="n"/>
      <c r="D137" s="438" t="inlineStr">
        <is>
          <t>Stress Case</t>
        </is>
      </c>
      <c r="E137" s="776" t="n">
        <v>0.92</v>
      </c>
      <c r="F137" s="776" t="n">
        <v>0.92</v>
      </c>
      <c r="G137" s="776" t="n">
        <v>0.92</v>
      </c>
      <c r="H137" s="776" t="n">
        <v>0.92</v>
      </c>
      <c r="I137" s="776" t="n">
        <v>0.92</v>
      </c>
      <c r="J137" s="776" t="n">
        <v>0.92</v>
      </c>
      <c r="K137" s="776" t="n">
        <v>0.92</v>
      </c>
      <c r="L137" s="768" t="n"/>
      <c r="M137" s="768" t="n"/>
      <c r="N137" s="769" t="n"/>
      <c r="O137" s="770" t="n"/>
    </row>
    <row r="138">
      <c r="A138" s="761" t="inlineStr">
        <is>
          <t>D26</t>
        </is>
      </c>
      <c r="B138" s="762" t="inlineStr">
        <is>
          <t>Depreciation and amortisation</t>
        </is>
      </c>
      <c r="C138" s="763" t="inlineStr">
        <is>
          <t>% of revenue</t>
        </is>
      </c>
      <c r="D138" s="434" t="inlineStr">
        <is>
          <t>Base Case</t>
        </is>
      </c>
      <c r="E138" s="771" t="n">
        <v>0.053</v>
      </c>
      <c r="F138" s="771" t="n">
        <v>0.053</v>
      </c>
      <c r="G138" s="771" t="n">
        <v>0.053</v>
      </c>
      <c r="H138" s="771" t="n">
        <v>0.053</v>
      </c>
      <c r="I138" s="771" t="n">
        <v>0.053</v>
      </c>
      <c r="J138" s="771" t="n">
        <v>0.053</v>
      </c>
      <c r="K138" s="771" t="n">
        <v>0.053</v>
      </c>
      <c r="L138" s="763" t="inlineStr">
        <is>
          <t>Derived-DB</t>
        </is>
      </c>
      <c r="M138" s="763" t="inlineStr">
        <is>
          <t>High</t>
        </is>
      </c>
      <c r="N138" s="764" t="inlineStr">
        <is>
          <t>DERIVED FROM THE MASTER DATABASE: FY2026 consolidated depreciation and amortisation for the four majors totals Rs 30,715 cr on Rs 5,81,646 cr of revenue, i.e. 5.28%. The ratio is remarkably tight across companies - Tata Steel 5.15%, JSW Steel 5.18%, SAIL 5.40%, Jindal Steel 5.96% - which gives high confidence that 5.3% is representative rather than an artefact. Bear and stress carry a slightly higher ratio because depreciation is fixed in rupee terms while revenue falls. Used only to compute taxable EBIT; it does not affect EBITDA.</t>
        </is>
      </c>
      <c r="O138" s="765" t="n"/>
    </row>
    <row r="139">
      <c r="A139" s="751" t="n"/>
      <c r="B139" s="752" t="n"/>
      <c r="C139" s="752" t="n"/>
      <c r="D139" s="436" t="inlineStr">
        <is>
          <t>Bull Case</t>
        </is>
      </c>
      <c r="E139" s="772" t="n">
        <v>0.053</v>
      </c>
      <c r="F139" s="772" t="n">
        <v>0.053</v>
      </c>
      <c r="G139" s="772" t="n">
        <v>0.053</v>
      </c>
      <c r="H139" s="772" t="n">
        <v>0.053</v>
      </c>
      <c r="I139" s="772" t="n">
        <v>0.053</v>
      </c>
      <c r="J139" s="772" t="n">
        <v>0.053</v>
      </c>
      <c r="K139" s="772" t="n">
        <v>0.053</v>
      </c>
      <c r="L139" s="752" t="n"/>
      <c r="M139" s="752" t="n"/>
      <c r="N139" s="754" t="n"/>
      <c r="O139" s="766" t="n"/>
    </row>
    <row r="140">
      <c r="A140" s="751" t="n"/>
      <c r="B140" s="752" t="n"/>
      <c r="C140" s="752" t="n"/>
      <c r="D140" s="436" t="inlineStr">
        <is>
          <t>Bear Case</t>
        </is>
      </c>
      <c r="E140" s="772" t="n">
        <v>0.055</v>
      </c>
      <c r="F140" s="772" t="n">
        <v>0.055</v>
      </c>
      <c r="G140" s="772" t="n">
        <v>0.055</v>
      </c>
      <c r="H140" s="772" t="n">
        <v>0.055</v>
      </c>
      <c r="I140" s="772" t="n">
        <v>0.055</v>
      </c>
      <c r="J140" s="772" t="n">
        <v>0.055</v>
      </c>
      <c r="K140" s="772" t="n">
        <v>0.055</v>
      </c>
      <c r="L140" s="752" t="n"/>
      <c r="M140" s="752" t="n"/>
      <c r="N140" s="754" t="n"/>
      <c r="O140" s="766" t="n"/>
    </row>
    <row r="141" ht="15" customHeight="1" s="632" thickBot="1">
      <c r="A141" s="767" t="n"/>
      <c r="B141" s="768" t="n"/>
      <c r="C141" s="768" t="n"/>
      <c r="D141" s="438" t="inlineStr">
        <is>
          <t>Stress Case</t>
        </is>
      </c>
      <c r="E141" s="773" t="n">
        <v>0.057</v>
      </c>
      <c r="F141" s="773" t="n">
        <v>0.057</v>
      </c>
      <c r="G141" s="773" t="n">
        <v>0.057</v>
      </c>
      <c r="H141" s="773" t="n">
        <v>0.057</v>
      </c>
      <c r="I141" s="773" t="n">
        <v>0.057</v>
      </c>
      <c r="J141" s="773" t="n">
        <v>0.057</v>
      </c>
      <c r="K141" s="773" t="n">
        <v>0.057</v>
      </c>
      <c r="L141" s="768" t="n"/>
      <c r="M141" s="768" t="n"/>
      <c r="N141" s="769" t="n"/>
      <c r="O141" s="770" t="n"/>
    </row>
    <row r="142"/>
    <row r="143"/>
    <row r="144">
      <c r="A144" s="449" t="inlineStr">
        <is>
          <t>ASSUMPTION REGISTER</t>
        </is>
      </c>
    </row>
    <row r="145" ht="69" customHeight="1" s="632">
      <c r="A145" s="25" t="inlineStr">
        <is>
          <t>Assumption ID</t>
        </is>
      </c>
      <c r="B145" s="41" t="inlineStr">
        <is>
          <t>Assumption</t>
        </is>
      </c>
      <c r="C145" s="41" t="inlineStr">
        <is>
          <t>Unit</t>
        </is>
      </c>
      <c r="D145" s="26" t="inlineStr">
        <is>
          <t>Current Value (FY2026A / spot)</t>
        </is>
      </c>
      <c r="E145" s="26" t="inlineStr">
        <is>
          <t>Historical Range</t>
        </is>
      </c>
      <c r="F145" s="26" t="inlineStr">
        <is>
          <t>Forecast Value (Base, terminal year)</t>
        </is>
      </c>
      <c r="G145" s="26" t="inlineStr">
        <is>
          <t>Source</t>
        </is>
      </c>
      <c r="H145" s="26" t="inlineStr">
        <is>
          <t>Publication Date</t>
        </is>
      </c>
      <c r="I145" s="26" t="inlineStr">
        <is>
          <t>Confidence Rating</t>
        </is>
      </c>
      <c r="J145" s="26" t="inlineStr">
        <is>
          <t>Evidence</t>
        </is>
      </c>
      <c r="K145" s="26" t="inlineStr">
        <is>
          <t>Reasoning</t>
        </is>
      </c>
      <c r="L145" s="41" t="inlineStr">
        <is>
          <t>Sensitivity (impact of a 10% adverse move)</t>
        </is>
      </c>
      <c r="M145" s="41" t="inlineStr">
        <is>
          <t>Dependencies</t>
        </is>
      </c>
      <c r="N145" s="41" t="inlineStr">
        <is>
          <t>Review Date</t>
        </is>
      </c>
      <c r="O145" s="42" t="inlineStr">
        <is>
          <t>Owner</t>
        </is>
      </c>
    </row>
    <row r="146" ht="336" customHeight="1" s="632">
      <c r="A146" s="56" t="inlineStr">
        <is>
          <t>R01</t>
        </is>
      </c>
      <c r="B146" s="57" t="inlineStr">
        <is>
          <t>India real GDP growth</t>
        </is>
      </c>
      <c r="C146" s="57" t="inlineStr">
        <is>
          <t>%</t>
        </is>
      </c>
      <c r="D146" s="423" t="inlineStr">
        <is>
          <t>6.6% (FY2027 projection)</t>
        </is>
      </c>
      <c r="E146" s="352" t="inlineStr">
        <is>
          <t>FY2021 -5.8% to FY2026 7.6%</t>
        </is>
      </c>
      <c r="F146" s="352" t="inlineStr">
        <is>
          <t>6.5% (FY2033)</t>
        </is>
      </c>
      <c r="G146" s="352" t="inlineStr">
        <is>
          <t>Reserve Bank of India, Monetary Policy Committee statement</t>
        </is>
      </c>
      <c r="H146" s="352" t="inlineStr">
        <is>
          <t>05-Jun-2026</t>
        </is>
      </c>
      <c r="I146" s="352" t="inlineStr">
        <is>
          <t>High</t>
        </is>
      </c>
      <c r="J146" s="352" t="inlineStr">
        <is>
          <t>RBI cut its FY2027 projection to 6.6% from 6.9%, citing West Asia conflict, energy prices, supply disruption and monsoon risk; repo held at 5.25%; FY2027 CPI projection raised 50bps to 5.1%. FY2026 growth estimated at 7.6%; Q4FY2026 actual 7.7%.</t>
        </is>
      </c>
      <c r="K146" s="352" t="inlineStr">
        <is>
          <t>The RBI is the authoritative domestic forecaster and its projection is adopted unadjusted for FY2027. Beyond FY2027 no Indian official body publishes a real GDP path, so the model converges to a 6.5% steady state, which is below the FY2015-FY2026 realised average and therefore not an aggressive assumption.</t>
        </is>
      </c>
      <c r="L146" s="344" t="inlineStr">
        <is>
          <t>A 10% adverse move (66bps of growth) reduces FY2033 steel demand by roughly 5.0 Mt and industry EBITDA by roughly 4%.</t>
        </is>
      </c>
      <c r="M146" s="344" t="inlineStr">
        <is>
          <t>Drives D02 steel demand elasticity, hence all volume, revenue and EBITDA lines.</t>
        </is>
      </c>
      <c r="N146" s="344" t="inlineStr">
        <is>
          <t>Next RBI MPC statement</t>
        </is>
      </c>
      <c r="O146" s="47" t="inlineStr">
        <is>
          <t>Head of Metals &amp; Mining Research</t>
        </is>
      </c>
    </row>
    <row r="147" ht="360" customHeight="1" s="632">
      <c r="A147" s="56" t="inlineStr">
        <is>
          <t>R02</t>
        </is>
      </c>
      <c r="B147" s="57" t="inlineStr">
        <is>
          <t>Steel demand elasticity to GDP</t>
        </is>
      </c>
      <c r="C147" s="57" t="inlineStr">
        <is>
          <t>x</t>
        </is>
      </c>
      <c r="D147" s="423" t="inlineStr">
        <is>
          <t>1.10x realised FY2015-FY2026</t>
        </is>
      </c>
      <c r="E147" s="352" t="inlineStr">
        <is>
          <t>1.06x to 1.13x depending on the GDP deflator used</t>
        </is>
      </c>
      <c r="F147" s="352" t="inlineStr">
        <is>
          <t>1.05x (FY2033)</t>
        </is>
      </c>
      <c r="G147" s="352" t="inlineStr">
        <is>
          <t>Derived from Master Industry Database; corroborated by worldsteel Short Range Outlook</t>
        </is>
      </c>
      <c r="H147" s="352" t="inlineStr">
        <is>
          <t>Master DB 03-Aug-2026; worldsteel SRO Apr-2026</t>
        </is>
      </c>
      <c r="I147" s="352" t="inlineStr">
        <is>
          <t>High</t>
        </is>
      </c>
      <c r="J147" s="352" t="inlineStr">
        <is>
          <t>Apparent consumption compounded at 7.13% from 76.99 Mt in FY2015 to 164.19 Mt in FY2026 against real GDP CAGR of roughly 6.3-6.7%. worldsteel's Apr-2026 SRO forecasts Indian demand +7.4% in CY2026 and +9.2% in CY2027, the fastest of any major market, against RBI GDP of 6.6% - implying near-term elasticity of 1.1x to 1.4x.</t>
        </is>
      </c>
      <c r="K147" s="352" t="inlineStr">
        <is>
          <t>Set at 1.15x near term to reflect the worldsteel-implied strength, tapering to 1.05x by FY2033 on maturing steel intensity as per capita consumption rises from 115.7 kg. India is at roughly half the world average of 215 kg, so intensity decay should be slow.</t>
        </is>
      </c>
      <c r="L147" s="344" t="inlineStr">
        <is>
          <t>A 10% adverse move (0.115x) reduces FY2033 demand by roughly 9.5 Mt, about 3.6%.</t>
        </is>
      </c>
      <c r="M147" s="344" t="inlineStr">
        <is>
          <t>Depends on R01. Drives the entire demand, supply and revenue chain.</t>
        </is>
      </c>
      <c r="N147" s="344" t="inlineStr">
        <is>
          <t>On each worldsteel SRO release (April and October)</t>
        </is>
      </c>
      <c r="O147" s="47" t="inlineStr">
        <is>
          <t>Head of Metals &amp; Mining Research</t>
        </is>
      </c>
    </row>
    <row r="148" ht="409.6" customHeight="1" s="632">
      <c r="A148" s="56" t="inlineStr">
        <is>
          <t>R03</t>
        </is>
      </c>
      <c r="B148" s="57" t="inlineStr">
        <is>
          <t>Blended industry realisation</t>
        </is>
      </c>
      <c r="C148" s="57" t="inlineStr">
        <is>
          <t>Rs/t</t>
        </is>
      </c>
      <c r="D148" s="423" t="inlineStr">
        <is>
          <t>Rs 59,974/t (FY2026A)</t>
        </is>
      </c>
      <c r="E148" s="352" t="inlineStr">
        <is>
          <t>Implied Rs 55,600/t (SAIL) to Rs 62,273/t (Tata Steel India) across the four majors</t>
        </is>
      </c>
      <c r="F148" s="352" t="inlineStr">
        <is>
          <t>Rs 68,000/t (FY2033)</t>
        </is>
      </c>
      <c r="G148" s="352" t="inlineStr">
        <is>
          <t>Derived from Master Industry Database company disclosures</t>
        </is>
      </c>
      <c r="H148" s="352" t="inlineStr">
        <is>
          <t>Master DB 03-Aug-2026</t>
        </is>
      </c>
      <c r="I148" s="352" t="inlineStr">
        <is>
          <t>Medium</t>
        </is>
      </c>
      <c r="J148" s="352" t="inlineStr">
        <is>
          <t>Volume-weighted revenue per tonne of Tata Steel India, JSW Steel India, SAIL and Jindal Steel: Rs 4,79,191 cr over 79.90 Mt, which is 49.4% of India's FY2026 finished steel production. Cross-check: implied EBITDA of Rs 85,759 cr against the Rs 86,318 cr sum of reported EBITDAs, a 0.6% rounding difference.</t>
        </is>
      </c>
      <c r="K148" s="352" t="inlineStr">
        <is>
          <t>A blended realisation is used in preference to a spot HRC quote for two reasons. First, the database documents three irreconcilable Mar-2026 HRC assessments spanning Rs 55,900 to Rs 59,500/t (Conflict C07), so no single spot number is defensible. Second, revenue is driven by the actual product mix, not by HRC alone. The forecast path reflects the safeguard duty taper from 12% to 11.5% to 11% and its expiry on 20-Apr-2028 coinciding with peak capacity commissioning.</t>
        </is>
      </c>
      <c r="L148" s="344" t="inlineStr">
        <is>
          <t>A 10% adverse move (Rs 6,000/t) reduces FY2033 industry EBITDA by roughly Rs 1.1 lakh crore, or roughly 60% - realisation is by far the highest-leverage driver in the model.</t>
        </is>
      </c>
      <c r="M148" s="344" t="inlineStr">
        <is>
          <t>Drives revenue, EBITDA, margin, cash flow and valuation. Interacts with D07 net exports via import and export parity.</t>
        </is>
      </c>
      <c r="N148" s="344" t="inlineStr">
        <is>
          <t>Quarterly, on each results season</t>
        </is>
      </c>
      <c r="O148" s="47" t="inlineStr">
        <is>
          <t>Head of Metals &amp; Mining Research</t>
        </is>
      </c>
    </row>
    <row r="149" ht="396" customHeight="1" s="632">
      <c r="A149" s="56" t="inlineStr">
        <is>
          <t>R04</t>
        </is>
      </c>
      <c r="B149" s="57" t="inlineStr">
        <is>
          <t>Implied cash cost per tonne</t>
        </is>
      </c>
      <c r="C149" s="57" t="inlineStr">
        <is>
          <t>Rs/t</t>
        </is>
      </c>
      <c r="D149" s="423" t="inlineStr">
        <is>
          <t>Rs 49,241/t (FY2026A)</t>
        </is>
      </c>
      <c r="E149" s="352" t="inlineStr">
        <is>
          <t>Rs 47,060/t (Tata Steel India) to Rs 50,837/t (Jindal Steel)</t>
        </is>
      </c>
      <c r="F149" s="352" t="inlineStr">
        <is>
          <t>Rs 55,900/t (FY2033)</t>
        </is>
      </c>
      <c r="G149" s="352" t="inlineStr">
        <is>
          <t>Derived from Master Industry Database</t>
        </is>
      </c>
      <c r="H149" s="352" t="inlineStr">
        <is>
          <t>Master DB 03-Aug-2026</t>
        </is>
      </c>
      <c r="I149" s="352" t="inlineStr">
        <is>
          <t>Medium</t>
        </is>
      </c>
      <c r="J149" s="352" t="inlineStr">
        <is>
          <t>Realisation of Rs 59,974/t less weighted EBITDA of Rs 10,733/t. The dispersion across the four majors is only about Rs 3,800/t, i.e. under 8%, which gives confidence that the weighted figure is representative rather than an artefact of one company.</t>
        </is>
      </c>
      <c r="K149" s="352" t="inlineStr">
        <is>
          <t>Forecast by splitting cash cost into a raw-material component indexed to the iron ore and coking coal basket in rupee terms, and a conversion component indexed to inflation. This top-down calibration is used instead of a bottom-up build with consumption coefficients because those coefficients could not be sourced from a primary document, and inventing them would create false precision.</t>
        </is>
      </c>
      <c r="L149" s="344" t="inlineStr">
        <is>
          <t>A 10% adverse move (Rs 4,924/t) reduces FY2033 industry EBITDA by roughly 50%.</t>
        </is>
      </c>
      <c r="M149" s="344" t="inlineStr">
        <is>
          <t>Depends on D10 iron ore, D11 coking coal, D03 USD/INR, D12 conversion inflation, D13 and D14 basket structure.</t>
        </is>
      </c>
      <c r="N149" s="344" t="inlineStr">
        <is>
          <t>Quarterly</t>
        </is>
      </c>
      <c r="O149" s="47" t="inlineStr">
        <is>
          <t>Head of Metals &amp; Mining Research</t>
        </is>
      </c>
    </row>
    <row r="150" ht="264" customHeight="1" s="632">
      <c r="A150" s="56" t="inlineStr">
        <is>
          <t>R05</t>
        </is>
      </c>
      <c r="B150" s="57" t="inlineStr">
        <is>
          <t>Premium HCC coking coal</t>
        </is>
      </c>
      <c r="C150" s="57" t="inlineStr">
        <is>
          <t>US$/t</t>
        </is>
      </c>
      <c r="D150" s="423" t="inlineStr">
        <is>
          <t>US$225/t (Mar-2026 spot reference)</t>
        </is>
      </c>
      <c r="E150" s="352" t="inlineStr">
        <is>
          <t>US$175/t (Mar-2025) to US$354/t (Oct-2023)</t>
        </is>
      </c>
      <c r="F150" s="352" t="inlineStr">
        <is>
          <t>US$200/t (FY2033)</t>
        </is>
      </c>
      <c r="G150" s="352" t="inlineStr">
        <is>
          <t>Ministry of Steel Monthly Economic Report</t>
        </is>
      </c>
      <c r="H150" s="352" t="inlineStr">
        <is>
          <t>Apr-2026 vintage</t>
        </is>
      </c>
      <c r="I150" s="352" t="inlineStr">
        <is>
          <t>Medium</t>
        </is>
      </c>
      <c r="J150" s="352" t="inlineStr">
        <is>
          <t>The Master Database deliberately asserts no fiscal-year average because the Ministry of Steel and broker series disagree by up to US$40/t and the broker 52-week high of US$217/t sits below the Ministry's Feb-2026 level of US$246/t (Conflict C01).</t>
        </is>
      </c>
      <c r="K150" s="352" t="inlineStr">
        <is>
          <t>The Ministry series is preferred as the Government's own published benchmark. The FY2026 reference is explicitly a spot observation, not an average, and this limitation is carried through to every dependent output.</t>
        </is>
      </c>
      <c r="L150" s="344" t="inlineStr">
        <is>
          <t>A 10% adverse move (US$22.5/t) raises FY2033 cash cost by roughly Rs 1,050/t and reduces industry EBITDA by roughly 9%.</t>
        </is>
      </c>
      <c r="M150" s="344" t="inlineStr">
        <is>
          <t>Depends on D03 USD/INR for rupee conversion. Drives D13 raw material cost.</t>
        </is>
      </c>
      <c r="N150" s="344" t="inlineStr">
        <is>
          <t>Monthly, on each Ministry of Steel report</t>
        </is>
      </c>
      <c r="O150" s="47" t="inlineStr">
        <is>
          <t>Head of Metals &amp; Mining Research</t>
        </is>
      </c>
    </row>
    <row r="151" ht="288" customHeight="1" s="632">
      <c r="A151" s="56" t="inlineStr">
        <is>
          <t>R06</t>
        </is>
      </c>
      <c r="B151" s="57" t="inlineStr">
        <is>
          <t>Iron ore 62% Fe CFR China</t>
        </is>
      </c>
      <c r="C151" s="57" t="inlineStr">
        <is>
          <t>US$/dmt</t>
        </is>
      </c>
      <c r="D151" s="423" t="inlineStr">
        <is>
          <t>US$100.52/dmt (FY2026 average)</t>
        </is>
      </c>
      <c r="E151" s="352" t="inlineStr">
        <is>
          <t>US$52.18/dmt (FY2016) to US$155.52/dmt (FY2022)</t>
        </is>
      </c>
      <c r="F151" s="352" t="inlineStr">
        <is>
          <t>US$93/dmt (FY2033)</t>
        </is>
      </c>
      <c r="G151" s="352" t="inlineStr">
        <is>
          <t>World Bank Commodity Price Data (Pink Sheet)</t>
        </is>
      </c>
      <c r="H151" s="352" t="inlineStr">
        <is>
          <t>Monthly file updated 02-Jul-2026</t>
        </is>
      </c>
      <c r="I151" s="352" t="inlineStr">
        <is>
          <t>High</t>
        </is>
      </c>
      <c r="J151" s="352" t="inlineStr">
        <is>
          <t>Complete monthly history to Jun-2026. FY2026 average US$100.52/dmt, the third consecutive annual decline. Q1FY2027 actual average US$105.17/dmt.</t>
        </is>
      </c>
      <c r="K151" s="352" t="inlineStr">
        <is>
          <t>The highest-quality price series available to the model: an official publisher, a documented definition (62% Fe fines, CFR China) and a complete monthly history allowing genuine fiscal-year averages. The FY2027 assumption is anchored on realised Q1 data.</t>
        </is>
      </c>
      <c r="L151" s="344" t="inlineStr">
        <is>
          <t>A 10% adverse move (US$10/dmt) raises FY2033 cash cost by roughly Rs 470/t and reduces industry EBITDA by roughly 4%.</t>
        </is>
      </c>
      <c r="M151" s="344" t="inlineStr">
        <is>
          <t>Depends on D03 USD/INR. Note the inverse exposure for ore-integrated names.</t>
        </is>
      </c>
      <c r="N151" s="344" t="inlineStr">
        <is>
          <t>Monthly, on each Pink Sheet release</t>
        </is>
      </c>
      <c r="O151" s="47" t="inlineStr">
        <is>
          <t>Head of Metals &amp; Mining Research</t>
        </is>
      </c>
    </row>
    <row r="152" ht="384" customHeight="1" s="632">
      <c r="A152" s="56" t="inlineStr">
        <is>
          <t>R07</t>
        </is>
      </c>
      <c r="B152" s="57" t="inlineStr">
        <is>
          <t>Announced pipeline delivery factor</t>
        </is>
      </c>
      <c r="C152" s="57" t="inlineStr">
        <is>
          <t>%</t>
        </is>
      </c>
      <c r="D152" s="423" t="inlineStr">
        <is>
          <t>85% (base assumption)</t>
        </is>
      </c>
      <c r="E152" s="352" t="inlineStr">
        <is>
          <t>20.82 Mtpa added FY2025; 20.07 Mtpa added FY2026</t>
        </is>
      </c>
      <c r="F152" s="352" t="inlineStr">
        <is>
          <t>85% (held flat)</t>
        </is>
      </c>
      <c r="G152" s="352" t="inlineStr">
        <is>
          <t>Derived from Master Industry Database capacity series and project tracker</t>
        </is>
      </c>
      <c r="H152" s="352" t="inlineStr">
        <is>
          <t>Master DB 03-Aug-2026</t>
        </is>
      </c>
      <c r="I152" s="352" t="inlineStr">
        <is>
          <t>Medium</t>
        </is>
      </c>
      <c r="J152" s="352" t="inlineStr">
        <is>
          <t>India added 20.82 Mtpa in FY2025 and 20.07 Mtpa in FY2026 against a National Steel Policy path to 300 Mtpa by FY2031 requiring roughly 16 Mtpa a year, i.e. recent delivery has run ahead of the required rate. Offsetting evidence of slippage: JSW Vijayanagar BF-3 was still under testing at FY2026 year-end and AM/NS Hazira 9 to 15 Mtpa has been in progress for several years.</t>
        </is>
      </c>
      <c r="K152" s="352" t="inlineStr">
        <is>
          <t>85% balances a demonstrated ability to deliver roughly 20 Mtpa a year against project-level slippage. Applied only to projects not already commissioned, and only to genuinely incremental India crude steel capacity - acquisitions, downstream lines and overseas assets are excluded.</t>
        </is>
      </c>
      <c r="L152" s="344" t="inlineStr">
        <is>
          <t>A 10% adverse move (to 76.5%) reduces FY2033 capacity by roughly 5.2 Mtpa and raises utilisation by roughly 180bps, which is EBITDA-positive - so this driver works in the opposite direction to intuition and is a genuine model insight.</t>
        </is>
      </c>
      <c r="M152" s="344" t="inlineStr">
        <is>
          <t>Drives capacity, hence utilisation, hence the price and margin cycle.</t>
        </is>
      </c>
      <c r="N152" s="344" t="inlineStr">
        <is>
          <t>Quarterly, on results and project announcements</t>
        </is>
      </c>
      <c r="O152" s="47" t="inlineStr">
        <is>
          <t>Head of Metals &amp; Mining Research</t>
        </is>
      </c>
    </row>
    <row r="153" ht="348" customHeight="1" s="632">
      <c r="A153" s="56" t="inlineStr">
        <is>
          <t>R08</t>
        </is>
      </c>
      <c r="B153" s="57" t="inlineStr">
        <is>
          <t>WACC (nominal, INR)</t>
        </is>
      </c>
      <c r="C153" s="57" t="inlineStr">
        <is>
          <t>%</t>
        </is>
      </c>
      <c r="D153" s="423" t="inlineStr">
        <is>
          <t>12.0%</t>
        </is>
      </c>
      <c r="E153" s="352" t="inlineStr">
        <is>
          <t>Not applicable - a constructed parameter</t>
        </is>
      </c>
      <c r="F153" s="352" t="inlineStr">
        <is>
          <t>12.0% (held flat)</t>
        </is>
      </c>
      <c r="G153" s="352" t="inlineStr">
        <is>
          <t>Composite: RBI, investing.com, CRISIL RateView, modeller judgement</t>
        </is>
      </c>
      <c r="H153" s="352" t="inlineStr">
        <is>
          <t>10-year G-sec 31-Jul-2026; CRISIL RateView Jul-2026</t>
        </is>
      </c>
      <c r="I153" s="352" t="inlineStr">
        <is>
          <t>Medium</t>
        </is>
      </c>
      <c r="J153" s="352" t="inlineStr">
        <is>
          <t>Risk-free rate 6.83% - the 10-year G-sec yield on 31-Jul-2026, with Trading Economics expecting 6.78% at quarter end. Pre-tax cost of debt 7.44% - the lower bound of CRISIL RateView's projected 10-year corporate bond yield range of 7.44-7.54%, consistent with the AA domestic ratings recorded in the database for JSW Steel.</t>
        </is>
      </c>
      <c r="K153" s="352" t="inlineStr">
        <is>
          <t>Two inputs are NOT sourced and are the weakest links: an equity risk premium of 6.5% and an equity beta of 1.2. These are flagged, fully editable, and form a sensitivity axis. The full build-up is displayed rather than the output alone, so a reviewer can substitute their own house assumptions in one place.</t>
        </is>
      </c>
      <c r="L153" s="344" t="inlineStr">
        <is>
          <t>A 10% adverse move (120bps) reduces enterprise value by roughly 11% at the base exit multiple.</t>
        </is>
      </c>
      <c r="M153" s="344" t="inlineStr">
        <is>
          <t>Depends on D15 tax rate and the capital structure. Drives all discounted valuation output.</t>
        </is>
      </c>
      <c r="N153" s="344" t="inlineStr">
        <is>
          <t>Quarterly, or on any material rate move</t>
        </is>
      </c>
      <c r="O153" s="47" t="inlineStr">
        <is>
          <t>Head of Metals &amp; Mining Research</t>
        </is>
      </c>
    </row>
    <row r="154" ht="360" customHeight="1" s="632">
      <c r="A154" s="56" t="inlineStr">
        <is>
          <t>R09</t>
        </is>
      </c>
      <c r="B154" s="57" t="inlineStr">
        <is>
          <t>Net working capital</t>
        </is>
      </c>
      <c r="C154" s="57" t="inlineStr">
        <is>
          <t>days of revenue</t>
        </is>
      </c>
      <c r="D154" s="423" t="inlineStr">
        <is>
          <t>Not sourced</t>
        </is>
      </c>
      <c r="E154" s="352" t="inlineStr">
        <is>
          <t>Not derivable from the Master Database</t>
        </is>
      </c>
      <c r="F154" s="352" t="inlineStr">
        <is>
          <t>45 days (held flat)</t>
        </is>
      </c>
      <c r="G154" s="352" t="inlineStr">
        <is>
          <t>Sector convention; directional corroboration from Tata Steel disclosure</t>
        </is>
      </c>
      <c r="H154" s="352" t="inlineStr">
        <is>
          <t>Master DB 03-Aug-2026</t>
        </is>
      </c>
      <c r="I154" s="352" t="inlineStr">
        <is>
          <t>Low</t>
        </is>
      </c>
      <c r="J154" s="352" t="inlineStr">
        <is>
          <t>The Master Database carries total assets and borrowings but not receivables, inventory or payables, so working capital days could not be derived. The only directional evidence is Tata Steel's disclosed FY2026 working capital RELEASE of about Rs 6,470 cr, which on a Rs 2,32,140 cr revenue base is roughly 10 days of tightening.</t>
        </is>
      </c>
      <c r="K154" s="352" t="inlineStr">
        <is>
          <t>45 days is a sector convention for an integrated Indian producer and is explicitly provisional. It is flexed hard in the stress case to 62 days because a working capital build in a downturn is a first-order cash flow risk, not a second-order one.</t>
        </is>
      </c>
      <c r="L154" s="344" t="inlineStr">
        <is>
          <t>A 10% adverse move (4.5 days) consumes roughly Rs 12,000 cr of industry cash flow in the terminal year.</t>
        </is>
      </c>
      <c r="M154" s="344" t="inlineStr">
        <is>
          <t>Drives cash flow and net debt, not EBITDA.</t>
        </is>
      </c>
      <c r="N154" s="344" t="inlineStr">
        <is>
          <t>MUST be replaced before transaction use</t>
        </is>
      </c>
      <c r="O154" s="47" t="inlineStr">
        <is>
          <t>Head of Metals &amp; Mining Research</t>
        </is>
      </c>
    </row>
    <row r="155" ht="348" customHeight="1" s="632">
      <c r="A155" s="58" t="inlineStr">
        <is>
          <t>R10</t>
        </is>
      </c>
      <c r="B155" s="59" t="inlineStr">
        <is>
          <t>Raw material share of cash cost</t>
        </is>
      </c>
      <c r="C155" s="59" t="inlineStr">
        <is>
          <t>%</t>
        </is>
      </c>
      <c r="D155" s="424" t="inlineStr">
        <is>
          <t>60% (indicative)</t>
        </is>
      </c>
      <c r="E155" s="28" t="inlineStr">
        <is>
          <t>Not sourced</t>
        </is>
      </c>
      <c r="F155" s="28" t="inlineStr">
        <is>
          <t>60% (held flat)</t>
        </is>
      </c>
      <c r="G155" s="28" t="inlineStr">
        <is>
          <t>Indicative structural assumption - not sourced</t>
        </is>
      </c>
      <c r="H155" s="28" t="inlineStr">
        <is>
          <t>Not applicable</t>
        </is>
      </c>
      <c r="I155" s="28" t="inlineStr">
        <is>
          <t>Low</t>
        </is>
      </c>
      <c r="J155" s="28" t="inlineStr">
        <is>
          <t>No primary document was located that discloses the raw-material versus conversion split of cash cost for the Indian majors. 60/40 is the conventional split for an integrated BF-BOF producer.</t>
        </is>
      </c>
      <c r="K155" s="28" t="inlineStr">
        <is>
          <t>Held constant across all four scenarios precisely because it is unsourced: flexing an unsourced parameter across scenarios would manufacture false precision. Its influence is instead quantified explicitly on the sensitivity sheet, so a reviewer can see exactly how much of the answer depends on it. Plausible range 55-65%.</t>
        </is>
      </c>
      <c r="L155" s="53" t="inlineStr">
        <is>
          <t>A 5 percentage point change alters FY2033 EBITDA/t by roughly Rs 600/t, about 4%.</t>
        </is>
      </c>
      <c r="M155" s="53" t="inlineStr">
        <is>
          <t>Determines how D10, D11 and D12 transmit into cash cost.</t>
        </is>
      </c>
      <c r="N155" s="53" t="inlineStr">
        <is>
          <t>MUST be replaced with company cost disclosure before transaction use</t>
        </is>
      </c>
      <c r="O155" s="54" t="inlineStr">
        <is>
          <t>Head of Metals &amp; Mining Research</t>
        </is>
      </c>
    </row>
    <row r="156"/>
    <row r="157">
      <c r="A157" s="402" t="inlineStr">
        <is>
          <t>WACC BUILD-UP</t>
        </is>
      </c>
    </row>
    <row r="158" ht="27.6" customHeight="1" s="632">
      <c r="A158" s="477" t="inlineStr">
        <is>
          <t>Component</t>
        </is>
      </c>
      <c r="B158" s="781" t="n"/>
      <c r="C158" s="476" t="inlineStr">
        <is>
          <t>Unit</t>
        </is>
      </c>
      <c r="D158" s="476" t="inlineStr">
        <is>
          <t>Value</t>
        </is>
      </c>
      <c r="E158" s="476" t="inlineStr">
        <is>
          <t>Source</t>
        </is>
      </c>
      <c r="F158" s="476" t="inlineStr">
        <is>
          <t>Publication date</t>
        </is>
      </c>
      <c r="G158" s="476" t="inlineStr">
        <is>
          <t>Confidence</t>
        </is>
      </c>
      <c r="H158" s="477" t="inlineStr">
        <is>
          <t>Evidence and caveats</t>
        </is>
      </c>
      <c r="I158" s="782" t="n"/>
      <c r="J158" s="782" t="n"/>
      <c r="K158" s="782" t="n"/>
      <c r="L158" s="782" t="n"/>
      <c r="M158" s="782" t="n"/>
      <c r="N158" s="781" t="n"/>
    </row>
    <row r="159" ht="24" customHeight="1" s="632">
      <c r="A159" s="482" t="inlineStr">
        <is>
          <t>Risk-free rate (10-year G-sec)</t>
        </is>
      </c>
      <c r="B159" s="781" t="n"/>
      <c r="C159" s="452" t="inlineStr">
        <is>
          <t>%</t>
        </is>
      </c>
      <c r="D159" s="783" t="n">
        <v>0.0683</v>
      </c>
      <c r="E159" s="456" t="inlineStr">
        <is>
          <t>investing.com / NSE</t>
        </is>
      </c>
      <c r="F159" s="456" t="inlineStr">
        <is>
          <t>31-Jul-2026</t>
        </is>
      </c>
      <c r="G159" s="456" t="inlineStr">
        <is>
          <t>High</t>
        </is>
      </c>
      <c r="H159" s="478" t="inlineStr">
        <is>
          <t>10-year benchmark G-sec yield 6.833% on 31-Jul-2026. Trading Economics expects 6.78% at quarter end. RBI repo rate held at 5.25% on 05-Jun-2026.</t>
        </is>
      </c>
      <c r="I159" s="782" t="n"/>
      <c r="J159" s="782" t="n"/>
      <c r="K159" s="782" t="n"/>
      <c r="L159" s="782" t="n"/>
      <c r="M159" s="782" t="n"/>
      <c r="N159" s="781" t="n"/>
    </row>
    <row r="160" ht="36" customHeight="1" s="632">
      <c r="A160" s="482" t="inlineStr">
        <is>
          <t>Equity risk premium</t>
        </is>
      </c>
      <c r="B160" s="781" t="n"/>
      <c r="C160" s="452" t="inlineStr">
        <is>
          <t>%</t>
        </is>
      </c>
      <c r="D160" s="784" t="n">
        <v>0.065</v>
      </c>
      <c r="E160" s="456" t="inlineStr">
        <is>
          <t>NOT SOURCED - modeller assumption</t>
        </is>
      </c>
      <c r="F160" s="456" t="inlineStr">
        <is>
          <t>n/a</t>
        </is>
      </c>
      <c r="G160" s="456" t="inlineStr">
        <is>
          <t>Low</t>
        </is>
      </c>
      <c r="H160" s="478" t="inlineStr">
        <is>
          <t>Not sourced in this research cycle. 6.5% is a conventional India ERP. THIS IS ONE OF THE TWO WEAKEST INPUTS IN THE MODEL - substitute your house assumption.</t>
        </is>
      </c>
      <c r="I160" s="782" t="n"/>
      <c r="J160" s="782" t="n"/>
      <c r="K160" s="782" t="n"/>
      <c r="L160" s="782" t="n"/>
      <c r="M160" s="782" t="n"/>
      <c r="N160" s="781" t="n"/>
    </row>
    <row r="161" ht="36" customHeight="1" s="632">
      <c r="A161" s="482" t="inlineStr">
        <is>
          <t>Equity beta (sector, levered)</t>
        </is>
      </c>
      <c r="B161" s="781" t="n"/>
      <c r="C161" s="452" t="inlineStr">
        <is>
          <t>x</t>
        </is>
      </c>
      <c r="D161" s="480" t="n">
        <v>1.2</v>
      </c>
      <c r="E161" s="456" t="inlineStr">
        <is>
          <t>NOT SOURCED - modeller assumption</t>
        </is>
      </c>
      <c r="F161" s="456" t="inlineStr">
        <is>
          <t>n/a</t>
        </is>
      </c>
      <c r="G161" s="456" t="inlineStr">
        <is>
          <t>Low</t>
        </is>
      </c>
      <c r="H161" s="478" t="inlineStr">
        <is>
          <t>Not sourced. 1.2 reflects the conventional view that steel is a high-beta cyclical. Substitute a regression beta or a peer-median unlevered beta relevered to target gearing.</t>
        </is>
      </c>
      <c r="I161" s="782" t="n"/>
      <c r="J161" s="782" t="n"/>
      <c r="K161" s="782" t="n"/>
      <c r="L161" s="782" t="n"/>
      <c r="M161" s="782" t="n"/>
      <c r="N161" s="781" t="n"/>
    </row>
    <row r="162" ht="14.4" customHeight="1" s="632">
      <c r="A162" s="483" t="inlineStr">
        <is>
          <t>Cost of equity</t>
        </is>
      </c>
      <c r="B162" s="781" t="n"/>
      <c r="C162" s="452" t="inlineStr">
        <is>
          <t>%</t>
        </is>
      </c>
      <c r="D162" s="785">
        <f>D159+D161*D160</f>
        <v/>
      </c>
      <c r="E162" s="456" t="inlineStr">
        <is>
          <t>Computed</t>
        </is>
      </c>
      <c r="F162" s="456" t="inlineStr">
        <is>
          <t>n/a</t>
        </is>
      </c>
      <c r="G162" s="456" t="inlineStr">
        <is>
          <t>Medium</t>
        </is>
      </c>
      <c r="H162" s="478" t="inlineStr">
        <is>
          <t>Risk-free rate plus beta times equity risk premium. Live formula.</t>
        </is>
      </c>
      <c r="I162" s="782" t="n"/>
      <c r="J162" s="782" t="n"/>
      <c r="K162" s="782" t="n"/>
      <c r="L162" s="782" t="n"/>
      <c r="M162" s="782" t="n"/>
      <c r="N162" s="781" t="n"/>
    </row>
    <row r="163" ht="24" customHeight="1" s="632">
      <c r="A163" s="482" t="inlineStr">
        <is>
          <t>Pre-tax cost of debt</t>
        </is>
      </c>
      <c r="B163" s="781" t="n"/>
      <c r="C163" s="452" t="inlineStr">
        <is>
          <t>%</t>
        </is>
      </c>
      <c r="D163" s="783" t="n">
        <v>0.07439999999999999</v>
      </c>
      <c r="E163" s="456" t="inlineStr">
        <is>
          <t>CRISIL RateView</t>
        </is>
      </c>
      <c r="F163" s="456" t="inlineStr">
        <is>
          <t>Jul-2026</t>
        </is>
      </c>
      <c r="G163" s="456" t="inlineStr">
        <is>
          <t>Medium</t>
        </is>
      </c>
      <c r="H163" s="478" t="inlineStr">
        <is>
          <t>Lower bound of CRISIL's projected 10-year corporate bond yield range of 7.44-7.54%. Consistent with the ICRA and India Ratings AA domestic ratings the Master Database records for JSW Steel, and with Moody's Ba1 positive at the international level.</t>
        </is>
      </c>
      <c r="I163" s="782" t="n"/>
      <c r="J163" s="782" t="n"/>
      <c r="K163" s="782" t="n"/>
      <c r="L163" s="782" t="n"/>
      <c r="M163" s="782" t="n"/>
      <c r="N163" s="781" t="n"/>
    </row>
    <row r="164" ht="36" customHeight="1" s="632">
      <c r="A164" s="482" t="inlineStr">
        <is>
          <t>Effective tax rate</t>
        </is>
      </c>
      <c r="B164" s="781" t="n"/>
      <c r="C164" s="452" t="inlineStr">
        <is>
          <t>%</t>
        </is>
      </c>
      <c r="D164" s="783" t="n">
        <v>0.2517</v>
      </c>
      <c r="E164" s="456" t="inlineStr">
        <is>
          <t>Statutory section 115BAA</t>
        </is>
      </c>
      <c r="F164" s="456" t="inlineStr">
        <is>
          <t>n/a</t>
        </is>
      </c>
      <c r="G164" s="456" t="inlineStr">
        <is>
          <t>Medium</t>
        </is>
      </c>
      <c r="H164" s="478" t="inlineStr">
        <is>
          <t>22% plus surcharge and cess. See D15.</t>
        </is>
      </c>
      <c r="I164" s="782" t="n"/>
      <c r="J164" s="782" t="n"/>
      <c r="K164" s="782" t="n"/>
      <c r="L164" s="782" t="n"/>
      <c r="M164" s="782" t="n"/>
      <c r="N164" s="781" t="n"/>
    </row>
    <row r="165" ht="14.4" customHeight="1" s="632">
      <c r="A165" s="483" t="inlineStr">
        <is>
          <t>Post-tax cost of debt</t>
        </is>
      </c>
      <c r="B165" s="781" t="n"/>
      <c r="C165" s="452" t="inlineStr">
        <is>
          <t>%</t>
        </is>
      </c>
      <c r="D165" s="785">
        <f>D163*(1-D164)</f>
        <v/>
      </c>
      <c r="E165" s="456" t="inlineStr">
        <is>
          <t>Computed</t>
        </is>
      </c>
      <c r="F165" s="456" t="inlineStr">
        <is>
          <t>n/a</t>
        </is>
      </c>
      <c r="G165" s="456" t="inlineStr">
        <is>
          <t>Medium</t>
        </is>
      </c>
      <c r="H165" s="478" t="inlineStr">
        <is>
          <t>Pre-tax cost of debt times one minus the tax rate. Live formula.</t>
        </is>
      </c>
      <c r="I165" s="782" t="n"/>
      <c r="J165" s="782" t="n"/>
      <c r="K165" s="782" t="n"/>
      <c r="L165" s="782" t="n"/>
      <c r="M165" s="782" t="n"/>
      <c r="N165" s="781" t="n"/>
    </row>
    <row r="166" ht="48" customHeight="1" s="632">
      <c r="A166" s="482" t="inlineStr">
        <is>
          <t>Target debt weight</t>
        </is>
      </c>
      <c r="B166" s="781" t="n"/>
      <c r="C166" s="452" t="inlineStr">
        <is>
          <t>%</t>
        </is>
      </c>
      <c r="D166" s="783" t="n">
        <v>0.3</v>
      </c>
      <c r="E166" s="456" t="inlineStr">
        <is>
          <t>Derived from Master Industry Database</t>
        </is>
      </c>
      <c r="F166" s="456" t="inlineStr">
        <is>
          <t>03-Aug-2026</t>
        </is>
      </c>
      <c r="G166" s="456" t="inlineStr">
        <is>
          <t>Medium</t>
        </is>
      </c>
      <c r="H166" s="478" t="inlineStr">
        <is>
          <t>Indicative sector gearing. Cross-check from the database: JSW Steel net debt to equity fell to 0.51x at Mar-2026 from 0.94x; Jindal Steel debt to equity 0.43x; Jindal Stainless net debt to equity 0.15x. A 30% debt weight is consistent with the middle of that range.</t>
        </is>
      </c>
      <c r="I166" s="782" t="n"/>
      <c r="J166" s="782" t="n"/>
      <c r="K166" s="782" t="n"/>
      <c r="L166" s="782" t="n"/>
      <c r="M166" s="782" t="n"/>
      <c r="N166" s="781" t="n"/>
    </row>
    <row r="167" ht="19.2" customHeight="1" s="632">
      <c r="A167" s="483" t="inlineStr">
        <is>
          <t>Target equity weight</t>
        </is>
      </c>
      <c r="B167" s="781" t="n"/>
      <c r="C167" s="452" t="inlineStr">
        <is>
          <t>%</t>
        </is>
      </c>
      <c r="D167" s="785">
        <f>1-D166</f>
        <v/>
      </c>
      <c r="E167" s="456" t="inlineStr">
        <is>
          <t>Computed</t>
        </is>
      </c>
      <c r="F167" s="456" t="inlineStr">
        <is>
          <t>n/a</t>
        </is>
      </c>
      <c r="G167" s="456" t="inlineStr">
        <is>
          <t>Medium</t>
        </is>
      </c>
      <c r="H167" s="478" t="inlineStr">
        <is>
          <t>One minus the target debt weight. Live formula.</t>
        </is>
      </c>
      <c r="I167" s="782" t="n"/>
      <c r="J167" s="782" t="n"/>
      <c r="K167" s="782" t="n"/>
      <c r="L167" s="782" t="n"/>
      <c r="M167" s="782" t="n"/>
      <c r="N167" s="781" t="n"/>
    </row>
    <row r="168" ht="28.2" customHeight="1" s="632">
      <c r="A168" s="483" t="inlineStr">
        <is>
          <t>WACC (nominal, INR)</t>
        </is>
      </c>
      <c r="B168" s="781" t="n"/>
      <c r="C168" s="452" t="inlineStr">
        <is>
          <t>%</t>
        </is>
      </c>
      <c r="D168" s="785">
        <f>D167*D162+D166*D165</f>
        <v/>
      </c>
      <c r="E168" s="456" t="inlineStr">
        <is>
          <t>Computed</t>
        </is>
      </c>
      <c r="F168" s="456" t="inlineStr">
        <is>
          <t>n/a</t>
        </is>
      </c>
      <c r="G168" s="456" t="inlineStr">
        <is>
          <t>Medium</t>
        </is>
      </c>
      <c r="H168" s="478" t="inlineStr">
        <is>
          <t>Equity weight times cost of equity plus debt weight times post-tax cost of debt. Live formula. Cross-check against D20, which is the value used downstream.</t>
        </is>
      </c>
      <c r="I168" s="782" t="n"/>
      <c r="J168" s="782" t="n"/>
      <c r="K168" s="782" t="n"/>
      <c r="L168" s="782" t="n"/>
      <c r="M168" s="782" t="n"/>
      <c r="N168" s="781" t="n"/>
    </row>
    <row r="169"/>
    <row r="170">
      <c r="B170" s="393" t="n"/>
    </row>
  </sheetData>
  <mergeCells count="186">
    <mergeCell ref="B66:B69"/>
    <mergeCell ref="C98:C101"/>
    <mergeCell ref="L66:L69"/>
    <mergeCell ref="N130:O133"/>
    <mergeCell ref="N82:O85"/>
    <mergeCell ref="B50:B53"/>
    <mergeCell ref="N58:O61"/>
    <mergeCell ref="B130:B133"/>
    <mergeCell ref="A54:A57"/>
    <mergeCell ref="A162:B162"/>
    <mergeCell ref="A6:H6"/>
    <mergeCell ref="C54:C57"/>
    <mergeCell ref="M114:M117"/>
    <mergeCell ref="A90:A93"/>
    <mergeCell ref="M70:M73"/>
    <mergeCell ref="C94:C97"/>
    <mergeCell ref="A74:A77"/>
    <mergeCell ref="A164:B164"/>
    <mergeCell ref="A144:F144"/>
    <mergeCell ref="H162:N162"/>
    <mergeCell ref="L42:L45"/>
    <mergeCell ref="H165:N165"/>
    <mergeCell ref="B38:B41"/>
    <mergeCell ref="N118:O121"/>
    <mergeCell ref="A163:B163"/>
    <mergeCell ref="B78:B81"/>
    <mergeCell ref="B118:B121"/>
    <mergeCell ref="N86:O89"/>
    <mergeCell ref="C82:C85"/>
    <mergeCell ref="L46:L49"/>
    <mergeCell ref="C66:C69"/>
    <mergeCell ref="A102:A105"/>
    <mergeCell ref="C102:C105"/>
    <mergeCell ref="N94:O97"/>
    <mergeCell ref="L70:L73"/>
    <mergeCell ref="N134:O137"/>
    <mergeCell ref="C86:C89"/>
    <mergeCell ref="N62:O65"/>
    <mergeCell ref="B134:B137"/>
    <mergeCell ref="L98:L101"/>
    <mergeCell ref="A167:B167"/>
    <mergeCell ref="B90:B93"/>
    <mergeCell ref="H159:N159"/>
    <mergeCell ref="A94:A97"/>
    <mergeCell ref="B122:B125"/>
    <mergeCell ref="N46:O49"/>
    <mergeCell ref="M118:M121"/>
    <mergeCell ref="M50:M53"/>
    <mergeCell ref="C42:C45"/>
    <mergeCell ref="N98:O101"/>
    <mergeCell ref="M102:M105"/>
    <mergeCell ref="A78:A81"/>
    <mergeCell ref="B106:B109"/>
    <mergeCell ref="L106:L109"/>
    <mergeCell ref="B42:B45"/>
    <mergeCell ref="M110:M113"/>
    <mergeCell ref="L74:L77"/>
    <mergeCell ref="L130:L133"/>
    <mergeCell ref="L126:L129"/>
    <mergeCell ref="N90:O93"/>
    <mergeCell ref="B58:B61"/>
    <mergeCell ref="A157:G157"/>
    <mergeCell ref="C134:C137"/>
    <mergeCell ref="L58:L61"/>
    <mergeCell ref="M90:M93"/>
    <mergeCell ref="N74:O77"/>
    <mergeCell ref="L138:L141"/>
    <mergeCell ref="L82:L85"/>
    <mergeCell ref="A36:G36"/>
    <mergeCell ref="C114:C117"/>
    <mergeCell ref="C70:C73"/>
    <mergeCell ref="M74:M77"/>
    <mergeCell ref="A46:A49"/>
    <mergeCell ref="C46:C49"/>
    <mergeCell ref="C106:C109"/>
    <mergeCell ref="N138:O141"/>
    <mergeCell ref="C138:C141"/>
    <mergeCell ref="H164:N164"/>
    <mergeCell ref="L50:L53"/>
    <mergeCell ref="N66:O69"/>
    <mergeCell ref="N126:O129"/>
    <mergeCell ref="A106:A109"/>
    <mergeCell ref="A165:B165"/>
    <mergeCell ref="M66:M69"/>
    <mergeCell ref="H163:N163"/>
    <mergeCell ref="A38:A41"/>
    <mergeCell ref="B126:B129"/>
    <mergeCell ref="N50:O53"/>
    <mergeCell ref="N110:O113"/>
    <mergeCell ref="L86:L89"/>
    <mergeCell ref="A130:A133"/>
    <mergeCell ref="A82:A85"/>
    <mergeCell ref="B110:B113"/>
    <mergeCell ref="B54:B57"/>
    <mergeCell ref="M130:M133"/>
    <mergeCell ref="A58:A61"/>
    <mergeCell ref="C74:C77"/>
    <mergeCell ref="A166:B166"/>
    <mergeCell ref="B94:B97"/>
    <mergeCell ref="A110:A113"/>
    <mergeCell ref="C126:C129"/>
    <mergeCell ref="N42:O45"/>
    <mergeCell ref="N102:O105"/>
    <mergeCell ref="H158:N158"/>
    <mergeCell ref="L78:L81"/>
    <mergeCell ref="C58:C61"/>
    <mergeCell ref="L134:L137"/>
    <mergeCell ref="N38:O41"/>
    <mergeCell ref="B46:B49"/>
    <mergeCell ref="B102:B105"/>
    <mergeCell ref="A168:B168"/>
    <mergeCell ref="L62:L65"/>
    <mergeCell ref="M94:M97"/>
    <mergeCell ref="H160:N160"/>
    <mergeCell ref="A66:A69"/>
    <mergeCell ref="B98:B101"/>
    <mergeCell ref="A118:A121"/>
    <mergeCell ref="C118:C121"/>
    <mergeCell ref="M78:M81"/>
    <mergeCell ref="M62:M65"/>
    <mergeCell ref="A50:A53"/>
    <mergeCell ref="C50:C53"/>
    <mergeCell ref="B82:B85"/>
    <mergeCell ref="A86:A89"/>
    <mergeCell ref="M46:M49"/>
    <mergeCell ref="L54:L57"/>
    <mergeCell ref="L114:L117"/>
    <mergeCell ref="L38:L41"/>
    <mergeCell ref="H167:N167"/>
    <mergeCell ref="H161:N161"/>
    <mergeCell ref="A42:A45"/>
    <mergeCell ref="B74:B77"/>
    <mergeCell ref="N114:O117"/>
    <mergeCell ref="A134:A137"/>
    <mergeCell ref="C38:C41"/>
    <mergeCell ref="M134:M137"/>
    <mergeCell ref="A4:B4"/>
    <mergeCell ref="A62:A65"/>
    <mergeCell ref="A122:A125"/>
    <mergeCell ref="C122:C125"/>
    <mergeCell ref="C78:C81"/>
    <mergeCell ref="M122:M125"/>
    <mergeCell ref="A1:O1"/>
    <mergeCell ref="N106:O109"/>
    <mergeCell ref="A2:G2"/>
    <mergeCell ref="M106:M109"/>
    <mergeCell ref="M98:M101"/>
    <mergeCell ref="A114:A117"/>
    <mergeCell ref="M38:M41"/>
    <mergeCell ref="A70:A73"/>
    <mergeCell ref="M82:M85"/>
    <mergeCell ref="B86:B89"/>
    <mergeCell ref="A138:A141"/>
    <mergeCell ref="M58:M61"/>
    <mergeCell ref="N37:O37"/>
    <mergeCell ref="M54:M57"/>
    <mergeCell ref="B62:B65"/>
    <mergeCell ref="M138:M141"/>
    <mergeCell ref="B70:B73"/>
    <mergeCell ref="L118:L121"/>
    <mergeCell ref="N78:O81"/>
    <mergeCell ref="H166:N166"/>
    <mergeCell ref="L102:L105"/>
    <mergeCell ref="A158:B158"/>
    <mergeCell ref="L122:L125"/>
    <mergeCell ref="H168:N168"/>
    <mergeCell ref="C90:C93"/>
    <mergeCell ref="A126:A129"/>
    <mergeCell ref="N70:O73"/>
    <mergeCell ref="C130:C133"/>
    <mergeCell ref="A160:B160"/>
    <mergeCell ref="M86:M89"/>
    <mergeCell ref="L94:L97"/>
    <mergeCell ref="M126:M129"/>
    <mergeCell ref="N54:O57"/>
    <mergeCell ref="C110:C113"/>
    <mergeCell ref="A159:B159"/>
    <mergeCell ref="L90:L93"/>
    <mergeCell ref="B114:B117"/>
    <mergeCell ref="M42:M45"/>
    <mergeCell ref="L110:L113"/>
    <mergeCell ref="A161:B161"/>
    <mergeCell ref="B138:B141"/>
    <mergeCell ref="N122:O125"/>
    <mergeCell ref="C62:C65"/>
    <mergeCell ref="A98:A101"/>
  </mergeCells>
  <hyperlinks>
    <hyperlink ref="P8" location="'Audit Checks'!A147" tooltip="Open the reference register on 25 Audit Checks"/>
    <hyperlink ref="P9" location="'Audit Checks'!A147" tooltip="Open the reference register on 25 Audit Checks"/>
    <hyperlink ref="P10" location="'Audit Checks'!A147" tooltip="Open the reference register on 25 Audit Checks"/>
    <hyperlink ref="P11" location="'Audit Checks'!A147" tooltip="Open the reference register on 25 Audit Checks"/>
    <hyperlink ref="P12" location="'Audit Checks'!A147" tooltip="Open the reference register on 25 Audit Checks"/>
    <hyperlink ref="P13" location="'Audit Checks'!A147" tooltip="Open the reference register on 25 Audit Checks"/>
    <hyperlink ref="P14" location="'Audit Checks'!A147" tooltip="Open the reference register on 25 Audit Checks"/>
    <hyperlink ref="P15" location="'Audit Checks'!A147" tooltip="Open the reference register on 25 Audit Checks"/>
    <hyperlink ref="P16" location="'Audit Checks'!A147" tooltip="Open the reference register on 25 Audit Checks"/>
    <hyperlink ref="P17" location="'Audit Checks'!A147" tooltip="Open the reference register on 25 Audit Checks"/>
    <hyperlink ref="P18" location="'Audit Checks'!A147" tooltip="Open the reference register on 25 Audit Checks"/>
    <hyperlink ref="P19" location="'Audit Checks'!A147" tooltip="Open the reference register on 25 Audit Checks"/>
    <hyperlink ref="P20" location="'Audit Checks'!A147" tooltip="Open the reference register on 25 Audit Checks"/>
    <hyperlink ref="P21" location="'Audit Checks'!A147" tooltip="Open the reference register on 25 Audit Checks"/>
    <hyperlink ref="P22" location="'Audit Checks'!A147" tooltip="Open the reference register on 25 Audit Checks"/>
    <hyperlink ref="P23" location="'Audit Checks'!A147" tooltip="Open the reference register on 25 Audit Checks"/>
    <hyperlink ref="P24" location="'Audit Checks'!A147" tooltip="Open the reference register on 25 Audit Checks"/>
    <hyperlink ref="P25" location="'Audit Checks'!A147" tooltip="Open the reference register on 25 Audit Checks"/>
    <hyperlink ref="P26" location="'Audit Checks'!A147" tooltip="Open the reference register on 25 Audit Checks"/>
    <hyperlink ref="P27" location="'Audit Checks'!A147" tooltip="Open the reference register on 25 Audit Checks"/>
    <hyperlink ref="P28" location="'Audit Checks'!A147" tooltip="Open the reference register on 25 Audit Checks"/>
    <hyperlink ref="P29" location="'Audit Checks'!A147" tooltip="Open the reference register on 25 Audit Checks"/>
    <hyperlink ref="P30" location="'Audit Checks'!A147" tooltip="Open the reference register on 25 Audit Checks"/>
    <hyperlink ref="P31" location="'Audit Checks'!A147" tooltip="Open the reference register on 25 Audit Checks"/>
    <hyperlink ref="P32" location="'Audit Checks'!A147" tooltip="Open the reference register on 25 Audit Checks"/>
    <hyperlink ref="P33" location="'Audit Checks'!A147" tooltip="Open the reference register on 25 Audit Checks"/>
  </hyperlink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codeName="Sheet7">
    <tabColor rgb="FF002060"/>
    <outlinePr summaryBelow="1" summaryRight="1"/>
    <pageSetUpPr/>
  </sheetPr>
  <dimension ref="A1:Q57"/>
  <sheetViews>
    <sheetView showGridLines="0" zoomScaleNormal="100" workbookViewId="0">
      <selection activeCell="A3" sqref="A3"/>
    </sheetView>
  </sheetViews>
  <sheetFormatPr baseColWidth="8" defaultRowHeight="14.4"/>
  <cols>
    <col width="11" customWidth="1" style="632" min="1" max="1"/>
    <col width="30" bestFit="1" customWidth="1" style="632" min="2" max="2"/>
    <col width="18.77734375" customWidth="1" style="320" min="3" max="3"/>
    <col width="10.5546875" bestFit="1" customWidth="1" style="632" min="4" max="4"/>
    <col width="23.44140625" customWidth="1" style="632" min="5" max="5"/>
    <col width="18.21875" bestFit="1" customWidth="1" style="632" min="6" max="6"/>
    <col width="7" customWidth="1" style="632" min="7" max="7"/>
    <col width="7" customWidth="1" style="632" min="8" max="8"/>
  </cols>
  <sheetData>
    <row r="1" ht="25.8" customFormat="1" customHeight="1" s="690">
      <c r="A1" s="365" t="inlineStr">
        <is>
          <t>MODEL CALIBRATION</t>
        </is>
      </c>
    </row>
    <row r="2" customFormat="1" s="690">
      <c r="A2" s="494" t="inlineStr">
        <is>
          <t>Industry Financial Model  |  Indian Steel Industry  |  Horizon FY2027E-FY2033E  |  Base year FY2026A</t>
        </is>
      </c>
    </row>
    <row r="3" customFormat="1" s="690">
      <c r="A3" s="494" t="n"/>
      <c r="B3" s="494" t="n"/>
      <c r="C3" s="515" t="n"/>
      <c r="D3" s="494" t="n"/>
      <c r="E3" s="494" t="n"/>
      <c r="F3" s="494" t="n"/>
      <c r="G3" s="494" t="n"/>
      <c r="H3" s="494" t="n"/>
      <c r="I3" s="494" t="n"/>
      <c r="J3" s="494" t="n"/>
      <c r="K3" s="494" t="n"/>
      <c r="L3" s="494" t="n"/>
      <c r="M3" s="494" t="n"/>
      <c r="N3" s="494" t="n"/>
      <c r="O3" s="494" t="n"/>
    </row>
    <row r="4" ht="15.6" customFormat="1" customHeight="1" s="690">
      <c r="A4" s="493" t="inlineStr">
        <is>
          <t>Purpose</t>
        </is>
      </c>
      <c r="I4" s="494" t="n"/>
      <c r="J4" s="494" t="n"/>
      <c r="K4" s="494" t="n"/>
      <c r="L4" s="494" t="n"/>
      <c r="M4" s="494" t="n"/>
      <c r="N4" s="494" t="n"/>
      <c r="O4" s="494" t="n"/>
    </row>
    <row r="5" customFormat="1" s="690">
      <c r="A5" s="486" t="inlineStr">
        <is>
          <t>This sheet extracts the key industry benchmark values from the Master Industry Database and converts them into modelling variables used throughout the workbook.</t>
        </is>
      </c>
    </row>
    <row r="6" customFormat="1" s="690">
      <c r="A6" s="494" t="n"/>
      <c r="B6" s="494" t="n"/>
      <c r="C6" s="515" t="n"/>
      <c r="D6" s="494" t="n"/>
      <c r="E6" s="494" t="n"/>
      <c r="F6" s="494" t="n"/>
      <c r="G6" s="494" t="n"/>
      <c r="H6" s="494" t="n"/>
      <c r="I6" s="494" t="n"/>
      <c r="J6" s="494" t="n"/>
      <c r="K6" s="494" t="n"/>
      <c r="L6" s="494" t="n"/>
      <c r="M6" s="494" t="n"/>
      <c r="N6" s="494" t="n"/>
      <c r="O6" s="494" t="n"/>
    </row>
    <row r="7" customFormat="1" s="690">
      <c r="A7" s="494" t="n"/>
      <c r="B7" s="494" t="n"/>
      <c r="C7" s="515" t="n"/>
      <c r="D7" s="494" t="n"/>
      <c r="E7" s="494" t="n"/>
      <c r="F7" s="494" t="n"/>
      <c r="G7" s="494" t="n"/>
      <c r="H7" s="494" t="n"/>
      <c r="I7" s="494" t="n"/>
      <c r="J7" s="494" t="n"/>
      <c r="K7" s="494" t="n"/>
      <c r="L7" s="494" t="n"/>
      <c r="M7" s="494" t="n"/>
      <c r="N7" s="494" t="n"/>
      <c r="O7" s="494" t="n"/>
    </row>
    <row r="8" ht="16.2" customFormat="1" customHeight="1" s="690" thickBot="1">
      <c r="A8" s="493" t="inlineStr">
        <is>
          <t>Industry Size Calibration</t>
        </is>
      </c>
      <c r="I8" s="494" t="n"/>
      <c r="J8" s="494" t="n"/>
      <c r="K8" s="494" t="n"/>
      <c r="L8" s="494" t="n"/>
      <c r="M8" s="494" t="n"/>
      <c r="N8" s="494" t="n"/>
      <c r="O8" s="494" t="n"/>
    </row>
    <row r="9" ht="15" customFormat="1" customHeight="1" s="690" thickBot="1">
      <c r="A9" s="528" t="inlineStr">
        <is>
          <t>ID</t>
        </is>
      </c>
      <c r="B9" s="529" t="inlineStr">
        <is>
          <t>Variable</t>
        </is>
      </c>
      <c r="C9" s="530" t="inlineStr">
        <is>
          <t>Unit</t>
        </is>
      </c>
      <c r="D9" s="531" t="inlineStr">
        <is>
          <t>FY2026A</t>
        </is>
      </c>
      <c r="E9" s="530" t="inlineStr">
        <is>
          <t>Source</t>
        </is>
      </c>
      <c r="F9" s="529" t="inlineStr">
        <is>
          <t>Model Used In</t>
        </is>
      </c>
      <c r="G9" s="532" t="inlineStr">
        <is>
          <t>Status</t>
        </is>
      </c>
      <c r="H9" s="494" t="n"/>
      <c r="I9" s="494" t="n"/>
      <c r="J9" s="494" t="n"/>
      <c r="K9" s="494" t="n"/>
      <c r="L9" s="494" t="n"/>
      <c r="M9" s="494" t="n"/>
      <c r="N9" s="494" t="n"/>
      <c r="O9" s="494" t="n"/>
    </row>
    <row r="10" ht="15" customFormat="1" customHeight="1" s="690" thickTop="1">
      <c r="A10" s="490" t="inlineStr">
        <is>
          <t>MC001</t>
        </is>
      </c>
      <c r="B10" s="220" t="inlineStr">
        <is>
          <t>Crude Steel Production</t>
        </is>
      </c>
      <c r="C10" s="663" t="inlineStr">
        <is>
          <t>Mt</t>
        </is>
      </c>
      <c r="D10" s="663" t="n">
        <v>168.42</v>
      </c>
      <c r="E10" s="220" t="inlineStr">
        <is>
          <t>Production Volume</t>
        </is>
      </c>
      <c r="F10" s="220" t="inlineStr">
        <is>
          <t>Demand Model</t>
        </is>
      </c>
      <c r="G10" s="664" t="inlineStr">
        <is>
          <t>✅</t>
        </is>
      </c>
      <c r="H10" s="494" t="n"/>
      <c r="I10" s="494" t="n"/>
      <c r="J10" s="494" t="n"/>
      <c r="K10" s="494" t="n"/>
      <c r="L10" s="494" t="n"/>
      <c r="M10" s="494" t="n"/>
      <c r="N10" s="494" t="n"/>
      <c r="O10" s="494" t="n"/>
    </row>
    <row r="11" customFormat="1" s="690">
      <c r="A11" s="490" t="inlineStr">
        <is>
          <t>MC002</t>
        </is>
      </c>
      <c r="B11" s="220" t="inlineStr">
        <is>
          <t>Finished Steel Production</t>
        </is>
      </c>
      <c r="C11" s="663" t="inlineStr">
        <is>
          <t>Mt</t>
        </is>
      </c>
      <c r="D11" s="663" t="n">
        <v>160.94</v>
      </c>
      <c r="E11" s="220" t="inlineStr">
        <is>
          <t>Demand &amp; Consumption</t>
        </is>
      </c>
      <c r="F11" s="220" t="inlineStr">
        <is>
          <t>Supply Model</t>
        </is>
      </c>
      <c r="G11" s="664" t="inlineStr">
        <is>
          <t>✅</t>
        </is>
      </c>
      <c r="H11" s="494" t="n"/>
      <c r="I11" s="494" t="n"/>
      <c r="J11" s="494" t="n"/>
      <c r="K11" s="494" t="n"/>
      <c r="L11" s="494" t="n"/>
      <c r="M11" s="494" t="n"/>
      <c r="N11" s="494" t="n"/>
      <c r="O11" s="494" t="n"/>
    </row>
    <row r="12" customFormat="1" s="690">
      <c r="A12" s="490" t="inlineStr">
        <is>
          <t>MC003</t>
        </is>
      </c>
      <c r="B12" s="220" t="inlineStr">
        <is>
          <t>Finished Steel Consumption</t>
        </is>
      </c>
      <c r="C12" s="663" t="inlineStr">
        <is>
          <t>Mt</t>
        </is>
      </c>
      <c r="D12" s="786" t="n">
        <v>163.74</v>
      </c>
      <c r="E12" s="220" t="inlineStr">
        <is>
          <t>Demand &amp; Consumption</t>
        </is>
      </c>
      <c r="F12" s="220" t="inlineStr">
        <is>
          <t>Demand Model</t>
        </is>
      </c>
      <c r="G12" s="664" t="inlineStr">
        <is>
          <t>✅</t>
        </is>
      </c>
      <c r="H12" s="494" t="n"/>
      <c r="I12" s="494" t="n"/>
      <c r="J12" s="494" t="n"/>
      <c r="K12" s="494" t="n"/>
      <c r="L12" s="494" t="n"/>
      <c r="M12" s="494" t="n"/>
      <c r="N12" s="494" t="n"/>
      <c r="O12" s="494" t="n"/>
    </row>
    <row r="13" customFormat="1" s="690">
      <c r="A13" s="490" t="inlineStr">
        <is>
          <t>MC004</t>
        </is>
      </c>
      <c r="B13" s="220" t="inlineStr">
        <is>
          <t>Installed Capacity</t>
        </is>
      </c>
      <c r="C13" s="663" t="inlineStr">
        <is>
          <t>MTPA</t>
        </is>
      </c>
      <c r="D13" s="786" t="n">
        <v>220.4</v>
      </c>
      <c r="E13" s="220" t="inlineStr">
        <is>
          <t>Production Capacity</t>
        </is>
      </c>
      <c r="F13" s="220" t="inlineStr">
        <is>
          <t>Capacity Model</t>
        </is>
      </c>
      <c r="G13" s="664" t="inlineStr">
        <is>
          <t>✅</t>
        </is>
      </c>
      <c r="H13" s="494" t="n"/>
      <c r="I13" s="494" t="n"/>
      <c r="J13" s="494" t="n"/>
      <c r="K13" s="494" t="n"/>
      <c r="L13" s="494" t="n"/>
      <c r="M13" s="494" t="n"/>
      <c r="N13" s="494" t="n"/>
      <c r="O13" s="494" t="n"/>
    </row>
    <row r="14" ht="15" customFormat="1" customHeight="1" s="690" thickBot="1">
      <c r="A14" s="491" t="inlineStr">
        <is>
          <t>MC005</t>
        </is>
      </c>
      <c r="B14" s="492" t="inlineStr">
        <is>
          <t>Capacity Utilisation</t>
        </is>
      </c>
      <c r="C14" s="665" t="inlineStr">
        <is>
          <t>%</t>
        </is>
      </c>
      <c r="D14" s="518">
        <f>D10/D13</f>
        <v/>
      </c>
      <c r="E14" s="492" t="inlineStr">
        <is>
          <t>Derived</t>
        </is>
      </c>
      <c r="F14" s="492" t="inlineStr">
        <is>
          <t>Capacity Model</t>
        </is>
      </c>
      <c r="G14" s="666" t="inlineStr">
        <is>
          <t>✅</t>
        </is>
      </c>
      <c r="H14" s="494" t="n"/>
      <c r="I14" s="494" t="n"/>
      <c r="J14" s="494" t="n"/>
      <c r="K14" s="494" t="n"/>
      <c r="L14" s="494" t="n"/>
      <c r="M14" s="494" t="n"/>
      <c r="N14" s="494" t="n"/>
      <c r="O14" s="494" t="n"/>
    </row>
    <row r="15" customFormat="1" s="690">
      <c r="A15" s="494" t="n"/>
      <c r="B15" s="494" t="n"/>
      <c r="C15" s="515" t="n"/>
      <c r="D15" s="494" t="n"/>
      <c r="E15" s="494" t="n"/>
      <c r="F15" s="494" t="n"/>
      <c r="G15" s="494" t="n"/>
      <c r="H15" s="494" t="n"/>
      <c r="I15" s="494" t="n"/>
      <c r="J15" s="494" t="n"/>
      <c r="K15" s="494" t="n"/>
      <c r="L15" s="494" t="n"/>
      <c r="M15" s="494" t="n"/>
      <c r="N15" s="494" t="n"/>
      <c r="O15" s="494" t="n"/>
    </row>
    <row r="16" customFormat="1" s="690">
      <c r="A16" s="494" t="n"/>
      <c r="B16" s="494" t="n"/>
      <c r="C16" s="515" t="n"/>
      <c r="D16" s="494" t="n"/>
      <c r="E16" s="494" t="n"/>
      <c r="F16" s="494" t="n"/>
      <c r="G16" s="494" t="n"/>
      <c r="H16" s="494" t="n"/>
      <c r="I16" s="494" t="n"/>
      <c r="J16" s="494" t="n"/>
      <c r="K16" s="494" t="n"/>
      <c r="L16" s="494" t="n"/>
      <c r="M16" s="494" t="n"/>
      <c r="N16" s="494" t="n"/>
      <c r="O16" s="494" t="n"/>
    </row>
    <row r="17" ht="16.2" customFormat="1" customHeight="1" s="690" thickBot="1">
      <c r="A17" s="493" t="inlineStr">
        <is>
          <t>Industry Economics</t>
        </is>
      </c>
      <c r="I17" s="494" t="n"/>
      <c r="J17" s="494" t="n"/>
      <c r="K17" s="494" t="n"/>
      <c r="L17" s="494" t="n"/>
      <c r="M17" s="494" t="n"/>
      <c r="N17" s="494" t="n"/>
      <c r="O17" s="494" t="n"/>
    </row>
    <row r="18" ht="15" customFormat="1" customHeight="1" s="690" thickBot="1">
      <c r="A18" s="525" t="inlineStr">
        <is>
          <t>ID</t>
        </is>
      </c>
      <c r="B18" s="567" t="inlineStr">
        <is>
          <t>Variable</t>
        </is>
      </c>
      <c r="C18" s="526" t="inlineStr">
        <is>
          <t>Unit</t>
        </is>
      </c>
      <c r="D18" s="526" t="inlineStr">
        <is>
          <t>FY2026A</t>
        </is>
      </c>
      <c r="E18" s="567" t="inlineStr">
        <is>
          <t>Source</t>
        </is>
      </c>
      <c r="F18" s="560" t="inlineStr">
        <is>
          <t>Model Used In</t>
        </is>
      </c>
      <c r="G18" s="498" t="n"/>
      <c r="H18" s="707" t="inlineStr">
        <is>
          <t>Ref</t>
        </is>
      </c>
      <c r="I18" s="494" t="n"/>
      <c r="J18" s="494" t="n"/>
      <c r="K18" s="494" t="n"/>
      <c r="L18" s="494" t="n"/>
      <c r="M18" s="494" t="n"/>
      <c r="N18" s="494" t="n"/>
      <c r="O18" s="494" t="n"/>
    </row>
    <row r="19" ht="15" customFormat="1" customHeight="1" s="690" thickTop="1">
      <c r="A19" s="246" t="inlineStr">
        <is>
          <t>MC101</t>
        </is>
      </c>
      <c r="B19" s="566" t="inlineStr">
        <is>
          <t>Average Steel Realisation</t>
        </is>
      </c>
      <c r="C19" s="661" t="inlineStr">
        <is>
          <t>₹/t</t>
        </is>
      </c>
      <c r="D19" s="661" t="n">
        <v>59974</v>
      </c>
      <c r="E19" s="566" t="inlineStr">
        <is>
          <t>Derived</t>
        </is>
      </c>
      <c r="F19" s="561" t="inlineStr">
        <is>
          <t>Revenue Model</t>
        </is>
      </c>
      <c r="G19" s="497" t="n"/>
      <c r="H19" s="494" t="n"/>
      <c r="I19" s="494" t="n"/>
      <c r="J19" s="494" t="n"/>
      <c r="K19" s="494" t="n"/>
      <c r="L19" s="494" t="n"/>
      <c r="M19" s="494" t="n"/>
      <c r="N19" s="494" t="n"/>
      <c r="O19" s="494" t="n"/>
    </row>
    <row r="20" customFormat="1" s="690">
      <c r="A20" s="247" t="inlineStr">
        <is>
          <t>MC102</t>
        </is>
      </c>
      <c r="B20" s="670" t="inlineStr">
        <is>
          <t>EBITDA per Ton</t>
        </is>
      </c>
      <c r="C20" s="663" t="inlineStr">
        <is>
          <t>₹/t</t>
        </is>
      </c>
      <c r="D20" s="663" t="n">
        <v>10733</v>
      </c>
      <c r="E20" s="670" t="inlineStr">
        <is>
          <t>Derived</t>
        </is>
      </c>
      <c r="F20" s="563" t="inlineStr">
        <is>
          <t>EBITDA Model</t>
        </is>
      </c>
      <c r="G20" s="497" t="n"/>
      <c r="H20" s="494" t="n"/>
      <c r="I20" s="494" t="n"/>
      <c r="J20" s="494" t="n"/>
      <c r="K20" s="494" t="n"/>
      <c r="L20" s="494" t="n"/>
      <c r="M20" s="494" t="n"/>
      <c r="N20" s="494" t="n"/>
      <c r="O20" s="494" t="n"/>
    </row>
    <row r="21" customFormat="1" s="690">
      <c r="A21" s="247" t="inlineStr">
        <is>
          <t>MC103</t>
        </is>
      </c>
      <c r="B21" s="670" t="inlineStr">
        <is>
          <t>Cash Cost per Ton</t>
        </is>
      </c>
      <c r="C21" s="663" t="inlineStr">
        <is>
          <t>₹/t</t>
        </is>
      </c>
      <c r="D21" s="663" t="n">
        <v>49241</v>
      </c>
      <c r="E21" s="670" t="inlineStr">
        <is>
          <t>Derived</t>
        </is>
      </c>
      <c r="F21" s="563" t="inlineStr">
        <is>
          <t>Cost Curve</t>
        </is>
      </c>
      <c r="G21" s="497" t="n"/>
      <c r="H21" s="494" t="n"/>
      <c r="I21" s="494" t="n"/>
      <c r="J21" s="494" t="n"/>
      <c r="K21" s="494" t="n"/>
      <c r="L21" s="494" t="n"/>
      <c r="M21" s="494" t="n"/>
      <c r="N21" s="494" t="n"/>
      <c r="O21" s="494" t="n"/>
    </row>
    <row r="22" customFormat="1" s="690">
      <c r="A22" s="247" t="inlineStr">
        <is>
          <t>MC104</t>
        </is>
      </c>
      <c r="B22" s="670" t="inlineStr">
        <is>
          <t>EBITDA Margin</t>
        </is>
      </c>
      <c r="C22" s="663" t="inlineStr">
        <is>
          <t>%</t>
        </is>
      </c>
      <c r="D22" s="521" t="n">
        <v>0.179</v>
      </c>
      <c r="E22" s="670" t="inlineStr">
        <is>
          <t>Derived</t>
        </is>
      </c>
      <c r="F22" s="563" t="inlineStr">
        <is>
          <t>Margin Model</t>
        </is>
      </c>
      <c r="G22" s="497" t="n"/>
      <c r="H22" s="494" t="n"/>
      <c r="I22" s="494" t="n"/>
      <c r="J22" s="494" t="n"/>
      <c r="K22" s="494" t="n"/>
      <c r="L22" s="494" t="n"/>
      <c r="M22" s="494" t="n"/>
      <c r="N22" s="494" t="n"/>
      <c r="O22" s="494" t="n"/>
    </row>
    <row r="23" ht="15" customFormat="1" customHeight="1" s="690" thickBot="1">
      <c r="A23" s="248" t="inlineStr">
        <is>
          <t>MC105</t>
        </is>
      </c>
      <c r="B23" s="564" t="inlineStr">
        <is>
          <t>Revenue per Ton</t>
        </is>
      </c>
      <c r="C23" s="665" t="inlineStr">
        <is>
          <t>₹/t</t>
        </is>
      </c>
      <c r="D23" s="787">
        <f>'Revenue Forecast'!$C$96/'Revenue Forecast'!$C$94*10</f>
        <v/>
      </c>
      <c r="E23" s="564" t="inlineStr">
        <is>
          <t>Derived</t>
        </is>
      </c>
      <c r="F23" s="565" t="inlineStr">
        <is>
          <t>Revenue Model</t>
        </is>
      </c>
      <c r="G23" s="497" t="n"/>
      <c r="H23" s="708" t="inlineStr">
        <is>
          <t>MC01</t>
        </is>
      </c>
      <c r="I23" s="494" t="n"/>
      <c r="J23" s="494" t="n"/>
      <c r="K23" s="494" t="n"/>
      <c r="L23" s="494" t="n"/>
      <c r="M23" s="494" t="n"/>
      <c r="N23" s="494" t="n"/>
      <c r="O23" s="494" t="n"/>
    </row>
    <row r="24" customFormat="1" s="690">
      <c r="A24" s="494" t="n"/>
      <c r="B24" s="494" t="n"/>
      <c r="C24" s="515" t="n"/>
      <c r="D24" s="494" t="n"/>
      <c r="E24" s="494" t="n"/>
      <c r="F24" s="494" t="n"/>
      <c r="G24" s="494" t="n"/>
      <c r="H24" s="494" t="n"/>
      <c r="I24" s="494" t="n"/>
      <c r="J24" s="494" t="n"/>
      <c r="K24" s="494" t="n"/>
      <c r="L24" s="494" t="n"/>
      <c r="M24" s="494" t="n"/>
      <c r="N24" s="494" t="n"/>
      <c r="O24" s="494" t="n"/>
    </row>
    <row r="25" customFormat="1" s="690">
      <c r="A25" s="494" t="n"/>
      <c r="B25" s="494" t="n"/>
      <c r="C25" s="515" t="n"/>
      <c r="D25" s="494" t="n"/>
      <c r="E25" s="494" t="n"/>
      <c r="F25" s="494" t="n"/>
      <c r="G25" s="494" t="n"/>
      <c r="H25" s="494" t="n"/>
      <c r="I25" s="494" t="n"/>
      <c r="J25" s="494" t="n"/>
      <c r="K25" s="494" t="n"/>
      <c r="L25" s="494" t="n"/>
      <c r="M25" s="494" t="n"/>
      <c r="N25" s="494" t="n"/>
      <c r="O25" s="494" t="n"/>
    </row>
    <row r="26" ht="16.2" customFormat="1" customHeight="1" s="690" thickBot="1">
      <c r="A26" s="493" t="inlineStr">
        <is>
          <t>Commodity Benchmarks</t>
        </is>
      </c>
      <c r="I26" s="494" t="n"/>
      <c r="J26" s="494" t="n"/>
      <c r="K26" s="494" t="n"/>
      <c r="L26" s="494" t="n"/>
      <c r="M26" s="494" t="n"/>
      <c r="N26" s="494" t="n"/>
      <c r="O26" s="494" t="n"/>
    </row>
    <row r="27" ht="15" customFormat="1" customHeight="1" s="690" thickBot="1">
      <c r="A27" s="525" t="inlineStr">
        <is>
          <t>ID</t>
        </is>
      </c>
      <c r="B27" s="567" t="inlineStr">
        <is>
          <t>Variable</t>
        </is>
      </c>
      <c r="C27" s="526" t="inlineStr">
        <is>
          <t>Unit</t>
        </is>
      </c>
      <c r="D27" s="526" t="inlineStr">
        <is>
          <t>FY2026A</t>
        </is>
      </c>
      <c r="E27" s="567" t="inlineStr">
        <is>
          <t>Source</t>
        </is>
      </c>
      <c r="F27" s="560" t="inlineStr">
        <is>
          <t>Model Used In</t>
        </is>
      </c>
      <c r="G27" s="494" t="n"/>
      <c r="H27" s="494" t="n"/>
      <c r="I27" s="494" t="n"/>
      <c r="J27" s="494" t="n"/>
      <c r="K27" s="494" t="n"/>
      <c r="L27" s="494" t="n"/>
      <c r="M27" s="494" t="n"/>
      <c r="N27" s="494" t="n"/>
      <c r="O27" s="494" t="n"/>
    </row>
    <row r="28" ht="15" customFormat="1" customHeight="1" s="690" thickTop="1">
      <c r="A28" s="246" t="inlineStr">
        <is>
          <t>MC201</t>
        </is>
      </c>
      <c r="B28" s="566" t="inlineStr">
        <is>
          <t>Iron Ore (62% Fe CFR China)</t>
        </is>
      </c>
      <c r="C28" s="661" t="inlineStr">
        <is>
          <t>US$/dmt</t>
        </is>
      </c>
      <c r="D28" s="661" t="n">
        <v>100.52</v>
      </c>
      <c r="E28" s="566" t="inlineStr">
        <is>
          <t>Iron Ore Prices</t>
        </is>
      </c>
      <c r="F28" s="561" t="inlineStr">
        <is>
          <t>Raw Material Model</t>
        </is>
      </c>
      <c r="G28" s="494" t="n"/>
      <c r="H28" s="494" t="n"/>
      <c r="I28" s="494" t="n"/>
      <c r="J28" s="494" t="n"/>
      <c r="K28" s="494" t="n"/>
      <c r="L28" s="494" t="n"/>
      <c r="M28" s="494" t="n"/>
      <c r="N28" s="494" t="n"/>
      <c r="O28" s="494" t="n"/>
    </row>
    <row r="29" customFormat="1" s="690">
      <c r="A29" s="247" t="inlineStr">
        <is>
          <t>MC202</t>
        </is>
      </c>
      <c r="B29" s="670" t="inlineStr">
        <is>
          <t>Premium HCC Coal</t>
        </is>
      </c>
      <c r="C29" s="663" t="inlineStr">
        <is>
          <t>US$/t</t>
        </is>
      </c>
      <c r="D29" s="663" t="n">
        <v>225</v>
      </c>
      <c r="E29" s="670" t="inlineStr">
        <is>
          <t>Coking Coal Prices</t>
        </is>
      </c>
      <c r="F29" s="563" t="inlineStr">
        <is>
          <t>Raw Material Model</t>
        </is>
      </c>
      <c r="G29" s="494" t="n"/>
      <c r="H29" s="494" t="n"/>
      <c r="I29" s="494" t="n"/>
      <c r="J29" s="494" t="n"/>
      <c r="K29" s="494" t="n"/>
      <c r="L29" s="494" t="n"/>
      <c r="M29" s="494" t="n"/>
      <c r="N29" s="494" t="n"/>
      <c r="O29" s="494" t="n"/>
    </row>
    <row r="30" customFormat="1" s="690">
      <c r="A30" s="247" t="inlineStr">
        <is>
          <t>MC203</t>
        </is>
      </c>
      <c r="B30" s="670" t="inlineStr">
        <is>
          <t>Thermal Coal</t>
        </is>
      </c>
      <c r="C30" s="663" t="inlineStr">
        <is>
          <t>US$/t</t>
        </is>
      </c>
      <c r="D30" s="663" t="n">
        <v>111.5</v>
      </c>
      <c r="E30" s="670" t="inlineStr">
        <is>
          <t>Coking Coal Prices</t>
        </is>
      </c>
      <c r="F30" s="563" t="inlineStr">
        <is>
          <t>Cost Model</t>
        </is>
      </c>
      <c r="G30" s="494" t="n"/>
      <c r="H30" s="494" t="n"/>
      <c r="I30" s="494" t="n"/>
      <c r="J30" s="494" t="n"/>
      <c r="K30" s="494" t="n"/>
      <c r="L30" s="494" t="n"/>
      <c r="M30" s="494" t="n"/>
      <c r="N30" s="494" t="n"/>
      <c r="O30" s="494" t="n"/>
    </row>
    <row r="31" ht="15" customFormat="1" customHeight="1" s="690" thickBot="1">
      <c r="A31" s="248" t="inlineStr">
        <is>
          <t>MC204</t>
        </is>
      </c>
      <c r="B31" s="564" t="inlineStr">
        <is>
          <t>Domestic HRC Price</t>
        </is>
      </c>
      <c r="C31" s="665" t="inlineStr">
        <is>
          <t>₹/t</t>
        </is>
      </c>
      <c r="D31" s="665" t="n">
        <v>57700</v>
      </c>
      <c r="E31" s="564" t="inlineStr">
        <is>
          <t>Steel Prices</t>
        </is>
      </c>
      <c r="F31" s="565" t="inlineStr">
        <is>
          <t>Steel Price Model</t>
        </is>
      </c>
      <c r="G31" s="494" t="n"/>
      <c r="H31" s="494" t="n"/>
      <c r="I31" s="494" t="n"/>
      <c r="J31" s="494" t="n"/>
      <c r="K31" s="494" t="n"/>
      <c r="L31" s="494" t="n"/>
      <c r="M31" s="494" t="n"/>
      <c r="N31" s="494" t="n"/>
      <c r="O31" s="494" t="n"/>
    </row>
    <row r="32" customFormat="1" s="690">
      <c r="A32" s="494" t="n"/>
      <c r="B32" s="494" t="n"/>
      <c r="C32" s="515" t="n"/>
      <c r="D32" s="494" t="n"/>
      <c r="E32" s="494" t="n"/>
      <c r="F32" s="494" t="n"/>
      <c r="G32" s="494" t="n"/>
      <c r="H32" s="494" t="n"/>
      <c r="I32" s="494" t="n"/>
      <c r="J32" s="494" t="n"/>
      <c r="K32" s="494" t="n"/>
      <c r="L32" s="494" t="n"/>
      <c r="M32" s="494" t="n"/>
      <c r="N32" s="494" t="n"/>
      <c r="O32" s="494" t="n"/>
    </row>
    <row r="33" customFormat="1" s="690">
      <c r="A33" s="494" t="n"/>
      <c r="B33" s="494" t="n"/>
      <c r="C33" s="515" t="n"/>
      <c r="D33" s="494" t="n"/>
      <c r="E33" s="494" t="n"/>
      <c r="F33" s="494" t="n"/>
      <c r="G33" s="494" t="n"/>
      <c r="H33" s="494" t="n"/>
      <c r="I33" s="494" t="n"/>
      <c r="J33" s="494" t="n"/>
      <c r="K33" s="494" t="n"/>
      <c r="L33" s="494" t="n"/>
      <c r="M33" s="494" t="n"/>
      <c r="N33" s="494" t="n"/>
      <c r="O33" s="494" t="n"/>
    </row>
    <row r="34" ht="16.2" customFormat="1" customHeight="1" s="690" thickBot="1">
      <c r="A34" s="493" t="inlineStr">
        <is>
          <t>Trade Benchmarks</t>
        </is>
      </c>
      <c r="I34" s="494" t="n"/>
      <c r="J34" s="494" t="n"/>
      <c r="K34" s="494" t="n"/>
      <c r="L34" s="494" t="n"/>
      <c r="M34" s="494" t="n"/>
      <c r="N34" s="494" t="n"/>
      <c r="O34" s="494" t="n"/>
    </row>
    <row r="35" ht="15" customFormat="1" customHeight="1" s="690" thickBot="1">
      <c r="A35" s="525" t="inlineStr">
        <is>
          <t>ID</t>
        </is>
      </c>
      <c r="B35" s="567" t="inlineStr">
        <is>
          <t>Variable</t>
        </is>
      </c>
      <c r="C35" s="526" t="inlineStr">
        <is>
          <t>Unit</t>
        </is>
      </c>
      <c r="D35" s="526" t="inlineStr">
        <is>
          <t>FY2026A</t>
        </is>
      </c>
      <c r="E35" s="567" t="inlineStr">
        <is>
          <t>Source</t>
        </is>
      </c>
      <c r="F35" s="560" t="inlineStr">
        <is>
          <t>Model Used In</t>
        </is>
      </c>
      <c r="G35" s="494" t="n"/>
      <c r="H35" s="494" t="n"/>
      <c r="I35" s="494" t="n"/>
      <c r="J35" s="494" t="n"/>
      <c r="K35" s="494" t="n"/>
      <c r="L35" s="494" t="n"/>
      <c r="M35" s="494" t="n"/>
      <c r="N35" s="494" t="n"/>
      <c r="O35" s="494" t="n"/>
    </row>
    <row r="36" ht="15" customHeight="1" s="632" thickTop="1">
      <c r="A36" s="246" t="inlineStr">
        <is>
          <t>MC301</t>
        </is>
      </c>
      <c r="B36" s="566" t="inlineStr">
        <is>
          <t>Imports</t>
        </is>
      </c>
      <c r="C36" s="661" t="inlineStr">
        <is>
          <t>Mt</t>
        </is>
      </c>
      <c r="D36" s="788" t="n">
        <v>6.524</v>
      </c>
      <c r="E36" s="566" t="inlineStr">
        <is>
          <t>Imports &amp; Exports</t>
        </is>
      </c>
      <c r="F36" s="561" t="inlineStr">
        <is>
          <t>Trade Model</t>
        </is>
      </c>
    </row>
    <row r="37">
      <c r="A37" s="247" t="inlineStr">
        <is>
          <t>MC302</t>
        </is>
      </c>
      <c r="B37" s="670" t="inlineStr">
        <is>
          <t>Exports</t>
        </is>
      </c>
      <c r="C37" s="663" t="inlineStr">
        <is>
          <t>Mt</t>
        </is>
      </c>
      <c r="D37" s="788" t="n">
        <v>6.602</v>
      </c>
      <c r="E37" s="670" t="inlineStr">
        <is>
          <t>Imports &amp; Exports</t>
        </is>
      </c>
      <c r="F37" s="563" t="inlineStr">
        <is>
          <t>Trade Model</t>
        </is>
      </c>
    </row>
    <row r="38" ht="15" customHeight="1" s="632" thickBot="1">
      <c r="A38" s="248" t="inlineStr">
        <is>
          <t>MC303</t>
        </is>
      </c>
      <c r="B38" s="564" t="inlineStr">
        <is>
          <t>Stock Change</t>
        </is>
      </c>
      <c r="C38" s="665" t="inlineStr">
        <is>
          <t>Mt</t>
        </is>
      </c>
      <c r="D38" s="789" t="n">
        <v>-2.88</v>
      </c>
      <c r="E38" s="564" t="inlineStr">
        <is>
          <t>Demand &amp; Consumption</t>
        </is>
      </c>
      <c r="F38" s="565" t="inlineStr">
        <is>
          <t>Trade Model</t>
        </is>
      </c>
    </row>
    <row r="39">
      <c r="A39" s="683" t="n"/>
      <c r="B39" s="683" t="n"/>
      <c r="C39" s="497" t="n"/>
      <c r="D39" s="596" t="n"/>
      <c r="E39" s="683" t="n"/>
      <c r="F39" s="683" t="n"/>
    </row>
    <row r="40">
      <c r="A40" s="683" t="n"/>
      <c r="B40" s="683" t="n"/>
      <c r="C40" s="497" t="n"/>
      <c r="D40" s="596" t="n"/>
      <c r="E40" s="683" t="n"/>
      <c r="F40" s="683" t="n"/>
    </row>
    <row r="41" ht="16.2" customHeight="1" s="632" thickBot="1">
      <c r="A41" s="493" t="inlineStr">
        <is>
          <t>Industry Ratios</t>
        </is>
      </c>
    </row>
    <row r="42" ht="15" customHeight="1" s="632" thickBot="1">
      <c r="A42" s="525" t="inlineStr">
        <is>
          <t>ID</t>
        </is>
      </c>
      <c r="B42" s="567" t="inlineStr">
        <is>
          <t>Variable</t>
        </is>
      </c>
      <c r="C42" s="526" t="inlineStr">
        <is>
          <t>FY2026A</t>
        </is>
      </c>
      <c r="D42" s="567" t="inlineStr">
        <is>
          <t>Formula</t>
        </is>
      </c>
      <c r="E42" s="560" t="inlineStr">
        <is>
          <t>Model Used In</t>
        </is>
      </c>
      <c r="F42" s="683" t="n"/>
      <c r="G42" s="707" t="inlineStr">
        <is>
          <t>Ref</t>
        </is>
      </c>
    </row>
    <row r="43" ht="15" customHeight="1" s="632" thickTop="1">
      <c r="A43" s="246" t="inlineStr">
        <is>
          <t>MC401</t>
        </is>
      </c>
      <c r="B43" s="566" t="inlineStr">
        <is>
          <t>Crude to Finished Ratio</t>
        </is>
      </c>
      <c r="C43" s="790">
        <f>D10/D11</f>
        <v/>
      </c>
      <c r="D43" s="566" t="inlineStr">
        <is>
          <t>Derived</t>
        </is>
      </c>
      <c r="E43" s="561" t="inlineStr">
        <is>
          <t>Demand</t>
        </is>
      </c>
      <c r="F43" s="683" t="n"/>
      <c r="G43" s="708" t="inlineStr">
        <is>
          <t>MC02</t>
        </is>
      </c>
    </row>
    <row r="44">
      <c r="A44" s="247" t="inlineStr">
        <is>
          <t>MC402</t>
        </is>
      </c>
      <c r="B44" s="670" t="inlineStr">
        <is>
          <t>Per Capita Consumption</t>
        </is>
      </c>
      <c r="C44" s="663" t="n">
        <v>116</v>
      </c>
      <c r="D44" s="670" t="inlineStr">
        <is>
          <t>Database</t>
        </is>
      </c>
      <c r="E44" s="563" t="inlineStr">
        <is>
          <t>Demand</t>
        </is>
      </c>
      <c r="F44" s="683" t="n"/>
    </row>
    <row r="45">
      <c r="A45" s="247" t="inlineStr">
        <is>
          <t>MC403</t>
        </is>
      </c>
      <c r="B45" s="670" t="inlineStr">
        <is>
          <t>Volume Coverage</t>
        </is>
      </c>
      <c r="C45" s="663" t="n">
        <v>79.90000000000001</v>
      </c>
      <c r="D45" s="670" t="inlineStr">
        <is>
          <t>Derived</t>
        </is>
      </c>
      <c r="E45" s="563" t="inlineStr">
        <is>
          <t>Calibration</t>
        </is>
      </c>
      <c r="F45" s="683" t="n"/>
    </row>
    <row r="46">
      <c r="A46" s="247" t="inlineStr">
        <is>
          <t>MC404</t>
        </is>
      </c>
      <c r="B46" s="670" t="inlineStr">
        <is>
          <t>Production/Capacity</t>
        </is>
      </c>
      <c r="C46" s="521">
        <f>D10/D13</f>
        <v/>
      </c>
      <c r="D46" s="670" t="inlineStr">
        <is>
          <t>Derived</t>
        </is>
      </c>
      <c r="E46" s="563" t="inlineStr">
        <is>
          <t>Capacity</t>
        </is>
      </c>
      <c r="F46" s="683" t="n"/>
    </row>
    <row r="47" ht="15" customHeight="1" s="632" thickBot="1">
      <c r="A47" s="248" t="inlineStr">
        <is>
          <t>MC405</t>
        </is>
      </c>
      <c r="B47" s="564" t="inlineStr">
        <is>
          <t>Import Dependency</t>
        </is>
      </c>
      <c r="C47" s="791">
        <f>D36/D12</f>
        <v/>
      </c>
      <c r="D47" s="564" t="inlineStr">
        <is>
          <t>Derived</t>
        </is>
      </c>
      <c r="E47" s="565" t="inlineStr">
        <is>
          <t>Trade</t>
        </is>
      </c>
      <c r="F47" s="683" t="n"/>
      <c r="G47" s="708" t="inlineStr">
        <is>
          <t>MC03</t>
        </is>
      </c>
    </row>
    <row r="48">
      <c r="A48" s="683" t="n"/>
      <c r="B48" s="683" t="n"/>
      <c r="C48" s="497" t="n"/>
      <c r="D48" s="596" t="n"/>
      <c r="E48" s="683" t="n"/>
      <c r="F48" s="683" t="n"/>
    </row>
    <row r="49">
      <c r="A49" s="683" t="n"/>
      <c r="B49" s="683" t="n"/>
      <c r="C49" s="497" t="n"/>
      <c r="D49" s="596" t="n"/>
      <c r="E49" s="683" t="n"/>
      <c r="F49" s="683" t="n"/>
    </row>
    <row r="50" ht="16.2" customHeight="1" s="632" thickBot="1">
      <c r="A50" s="493" t="inlineStr">
        <is>
          <t>Calibration Checks</t>
        </is>
      </c>
    </row>
    <row r="51" ht="15" customHeight="1" s="632" thickBot="1">
      <c r="A51" s="525" t="inlineStr">
        <is>
          <t>ID</t>
        </is>
      </c>
      <c r="B51" s="567" t="inlineStr">
        <is>
          <t>Check</t>
        </is>
      </c>
      <c r="C51" s="567" t="inlineStr">
        <is>
          <t>Formula</t>
        </is>
      </c>
      <c r="D51" s="527" t="inlineStr">
        <is>
          <t>Result</t>
        </is>
      </c>
      <c r="E51" s="683" t="n"/>
      <c r="F51" s="707" t="inlineStr">
        <is>
          <t>Ref</t>
        </is>
      </c>
    </row>
    <row r="52" ht="15" customHeight="1" s="632" thickTop="1">
      <c r="A52" s="246" t="inlineStr">
        <is>
          <t>MC501</t>
        </is>
      </c>
      <c r="B52" s="566" t="inlineStr">
        <is>
          <t>Production</t>
        </is>
      </c>
      <c r="C52" s="516" t="inlineStr">
        <is>
          <t>Capacity × Utilisation</t>
        </is>
      </c>
      <c r="D52" s="792">
        <f>IF(ABS($D$13*$D$14-$D$10)&lt;0.05,"PASS","FAIL")</f>
        <v/>
      </c>
      <c r="E52" s="683" t="n"/>
      <c r="F52" s="708" t="inlineStr">
        <is>
          <t>MC04</t>
        </is>
      </c>
    </row>
    <row r="53">
      <c r="A53" s="247" t="inlineStr">
        <is>
          <t>MC502</t>
        </is>
      </c>
      <c r="B53" s="670" t="inlineStr">
        <is>
          <t>Revenue</t>
        </is>
      </c>
      <c r="C53" s="220" t="inlineStr">
        <is>
          <t>Price × Volume</t>
        </is>
      </c>
      <c r="D53" s="793">
        <f>IF(ABS($D$19*$D$11/10-'Revenue Forecast'!$C$96)&lt;1,"PASS","FAIL")</f>
        <v/>
      </c>
      <c r="E53" s="683" t="n"/>
      <c r="F53" s="708" t="inlineStr">
        <is>
          <t>MC05</t>
        </is>
      </c>
    </row>
    <row r="54">
      <c r="A54" s="247" t="inlineStr">
        <is>
          <t>MC503</t>
        </is>
      </c>
      <c r="B54" s="670" t="inlineStr">
        <is>
          <t>EBITDA</t>
        </is>
      </c>
      <c r="C54" s="220" t="inlineStr">
        <is>
          <t>Revenue − Cost</t>
        </is>
      </c>
      <c r="D54" s="793">
        <f>IF(ABS(($D$19-$D$21)-$D$20)&lt;1,"PASS","FAIL")</f>
        <v/>
      </c>
      <c r="E54" s="683" t="n"/>
      <c r="F54" s="708" t="inlineStr">
        <is>
          <t>MC06</t>
        </is>
      </c>
    </row>
    <row r="55">
      <c r="A55" s="247" t="inlineStr">
        <is>
          <t>MC504</t>
        </is>
      </c>
      <c r="B55" s="670" t="inlineStr">
        <is>
          <t>Consumption Identity Balances</t>
        </is>
      </c>
      <c r="C55" s="794" t="inlineStr">
        <is>
          <t>Finished production = Consumption + Net exports + Variation in stock</t>
        </is>
      </c>
      <c r="D55" s="793">
        <f>IF(ABS($D$11-($D$12+($D$37-$D$36)+$D$38))&lt;0.02,"PASS","FAIL")</f>
        <v/>
      </c>
      <c r="E55" s="683" t="n"/>
      <c r="F55" s="708" t="inlineStr">
        <is>
          <t>MC07</t>
        </is>
      </c>
    </row>
    <row r="56" ht="15" customHeight="1" s="632" thickBot="1">
      <c r="A56" s="248" t="inlineStr">
        <is>
          <t>MC505</t>
        </is>
      </c>
      <c r="B56" s="564" t="inlineStr">
        <is>
          <t>Import/Export Balance</t>
        </is>
      </c>
      <c r="C56" s="795" t="inlineStr">
        <is>
          <t>Exports less Imports = Net trade position</t>
        </is>
      </c>
      <c r="D56" s="796">
        <f>IF(ABS(($D$37-$D$36)-'Steel Supply Model'!$C$90)&lt;0.001,"PASS","FAIL")</f>
        <v/>
      </c>
      <c r="E56" s="683" t="n"/>
      <c r="F56" s="708" t="inlineStr">
        <is>
          <t>MC08</t>
        </is>
      </c>
    </row>
    <row r="57">
      <c r="A57" s="683" t="n"/>
      <c r="B57" s="683" t="n"/>
      <c r="C57" s="497" t="n"/>
      <c r="D57" s="596" t="n"/>
      <c r="E57" s="683" t="n"/>
      <c r="F57" s="683" t="n"/>
    </row>
  </sheetData>
  <mergeCells count="10">
    <mergeCell ref="A50:H50"/>
    <mergeCell ref="A4:H4"/>
    <mergeCell ref="A26:H26"/>
    <mergeCell ref="A2:O2"/>
    <mergeCell ref="A34:H34"/>
    <mergeCell ref="A1:O1"/>
    <mergeCell ref="A41:H41"/>
    <mergeCell ref="A5:O5"/>
    <mergeCell ref="A8:H8"/>
    <mergeCell ref="A17:H17"/>
  </mergeCells>
  <hyperlinks>
    <hyperlink ref="H23" location="'Audit Checks'!A178" tooltip="Open the reference register on 25 Audit Checks"/>
    <hyperlink ref="G43" location="'Audit Checks'!A178" tooltip="Open the reference register on 25 Audit Checks"/>
    <hyperlink ref="G47" location="'Audit Checks'!A178" tooltip="Open the reference register on 25 Audit Checks"/>
    <hyperlink ref="F52" location="'Audit Checks'!A178" tooltip="Open the reference register on 25 Audit Checks"/>
    <hyperlink ref="F53" location="'Audit Checks'!A178" tooltip="Open the reference register on 25 Audit Checks"/>
    <hyperlink ref="F54" location="'Audit Checks'!A178" tooltip="Open the reference register on 25 Audit Checks"/>
    <hyperlink ref="F55" location="'Audit Checks'!A178" tooltip="Open the reference register on 25 Audit Checks"/>
    <hyperlink ref="F56" location="'Audit Checks'!A178" tooltip="Open the reference register on 25 Audit Checks"/>
  </hyperlinks>
  <pageMargins left="0.7" right="0.7" top="0.75" bottom="0.75" header="0.3" footer="0.3"/>
</worksheet>
</file>

<file path=xl/worksheets/sheet8.xml><?xml version="1.0" encoding="utf-8"?>
<worksheet xmlns="http://schemas.openxmlformats.org/spreadsheetml/2006/main">
  <sheetPr codeName="Sheet8">
    <tabColor rgb="FF002060"/>
    <outlinePr summaryBelow="1" summaryRight="1"/>
    <pageSetUpPr/>
  </sheetPr>
  <dimension ref="A1:P111"/>
  <sheetViews>
    <sheetView showGridLines="0" zoomScaleNormal="100" workbookViewId="0">
      <selection activeCell="A3" sqref="A3"/>
    </sheetView>
  </sheetViews>
  <sheetFormatPr baseColWidth="8" defaultRowHeight="14.4"/>
  <cols>
    <col width="28.44140625" customWidth="1" style="632" min="1" max="1"/>
    <col width="11.5546875" customWidth="1" style="632" min="2" max="9"/>
    <col width="7" customWidth="1" style="632" min="6" max="6"/>
    <col width="9.6640625" customWidth="1" style="632" min="10" max="11"/>
    <col width="18.5546875" customWidth="1" style="632" min="12" max="12"/>
    <col width="6.5546875" customWidth="1" style="632" min="13" max="13"/>
    <col width="42.88671875" customWidth="1" style="632" min="14" max="14"/>
    <col width="7" customWidth="1" style="632" min="16" max="16"/>
  </cols>
  <sheetData>
    <row r="1" ht="25.8" customHeight="1" s="632">
      <c r="A1" s="372" t="inlineStr">
        <is>
          <t>MACROECONOMIC MODEL</t>
        </is>
      </c>
    </row>
    <row r="2">
      <c r="A2" s="355" t="inlineStr">
        <is>
          <t>Industry Financial Model  |  Indian Steel Industry  |  Horizon FY2027E-FY2033E  |  Base year FY2026A</t>
        </is>
      </c>
    </row>
    <row r="3">
      <c r="A3" s="371" t="n"/>
    </row>
    <row r="4">
      <c r="A4" s="356" t="inlineStr">
        <is>
          <t>OBJECTIVE</t>
        </is>
      </c>
    </row>
    <row r="5">
      <c r="A5" s="576" t="inlineStr">
        <is>
          <t>Convert macroeconomic assumptions into economic drivers for the steel industry.</t>
        </is>
      </c>
    </row>
    <row r="6">
      <c r="A6" s="356" t="inlineStr">
        <is>
          <t>METHODOLOGY</t>
        </is>
      </c>
    </row>
    <row r="7" ht="29.4" customHeight="1" s="632">
      <c r="A7" s="576" t="inlineStr">
        <is>
          <t>Real GDP growth and CPI are taken from RBI's June-2026 Monetary Policy Committee projections for FY2027 and converge to a steady state thereafter, because no Indian official body publishes a real GDP path beyond roughly five years. USD/INR is anchored on the 22-Jun-2026 spot of 94. Index rows compound the growth rates so that cumulative effects are visible rather than implied.</t>
        </is>
      </c>
    </row>
    <row r="8">
      <c r="A8" s="356" t="inlineStr">
        <is>
          <t>UNITS</t>
        </is>
      </c>
    </row>
    <row r="9">
      <c r="A9" s="576" t="inlineStr">
        <is>
          <t>Percentages as decimals. Indices FY2026A = ~100 (USD/INR) in rupees per dollar.</t>
        </is>
      </c>
    </row>
    <row r="10">
      <c r="A10" s="576" t="n"/>
      <c r="B10" s="576" t="n"/>
      <c r="C10" s="576" t="n"/>
      <c r="D10" s="576" t="n"/>
      <c r="E10" s="576" t="n"/>
      <c r="F10" s="576" t="n"/>
      <c r="G10" s="576" t="n"/>
      <c r="H10" s="576" t="n"/>
      <c r="I10" s="576" t="n"/>
      <c r="J10" s="576" t="n"/>
      <c r="K10" s="576" t="n"/>
      <c r="L10" s="576" t="n"/>
      <c r="M10" s="576" t="n"/>
      <c r="N10" s="576" t="n"/>
    </row>
    <row r="11" ht="16.2" customHeight="1" s="632" thickBot="1">
      <c r="A11" s="493" t="inlineStr">
        <is>
          <t>Executive Summary</t>
        </is>
      </c>
      <c r="J11" s="576" t="n"/>
      <c r="K11" s="576" t="n"/>
      <c r="L11" s="576" t="n"/>
      <c r="M11" s="576" t="n"/>
      <c r="N11" s="576" t="n"/>
    </row>
    <row r="12" ht="15" customHeight="1" s="632" thickBot="1">
      <c r="A12" s="525" t="inlineStr">
        <is>
          <t>Metric</t>
        </is>
      </c>
      <c r="B12" s="526" t="inlineStr">
        <is>
          <t>FY2026A</t>
        </is>
      </c>
      <c r="C12" s="526" t="inlineStr">
        <is>
          <t>FY2027E</t>
        </is>
      </c>
      <c r="D12" s="526" t="inlineStr">
        <is>
          <t>FY2028E</t>
        </is>
      </c>
      <c r="E12" s="526" t="inlineStr">
        <is>
          <t>FY2029E</t>
        </is>
      </c>
      <c r="F12" s="526" t="inlineStr">
        <is>
          <t>FY2030E</t>
        </is>
      </c>
      <c r="G12" s="526" t="inlineStr">
        <is>
          <t>FY2031E</t>
        </is>
      </c>
      <c r="H12" s="526" t="inlineStr">
        <is>
          <t>FY2032E</t>
        </is>
      </c>
      <c r="I12" s="527" t="inlineStr">
        <is>
          <t>FY2033E</t>
        </is>
      </c>
      <c r="J12" s="576" t="n"/>
      <c r="K12" s="576" t="n"/>
      <c r="L12" s="576" t="n"/>
      <c r="M12" s="707" t="inlineStr">
        <is>
          <t>Ref</t>
        </is>
      </c>
      <c r="N12" s="576" t="n"/>
    </row>
    <row r="13" ht="15" customHeight="1" s="632" thickTop="1">
      <c r="A13" s="246" t="inlineStr">
        <is>
          <t>GDP Growth (%)</t>
        </is>
      </c>
      <c r="B13" s="568">
        <f>'Model Assumptions'!D8</f>
        <v/>
      </c>
      <c r="C13" s="568">
        <f>'Model Assumptions'!E8</f>
        <v/>
      </c>
      <c r="D13" s="568">
        <f>'Model Assumptions'!F8</f>
        <v/>
      </c>
      <c r="E13" s="568">
        <f>'Model Assumptions'!G8</f>
        <v/>
      </c>
      <c r="F13" s="568">
        <f>'Model Assumptions'!H8</f>
        <v/>
      </c>
      <c r="G13" s="568">
        <f>'Model Assumptions'!I8</f>
        <v/>
      </c>
      <c r="H13" s="568">
        <f>'Model Assumptions'!J8</f>
        <v/>
      </c>
      <c r="I13" s="568">
        <f>'Model Assumptions'!K8</f>
        <v/>
      </c>
      <c r="J13" s="576" t="n"/>
      <c r="K13" s="576" t="n"/>
      <c r="L13" s="576" t="n"/>
      <c r="M13" s="708" t="inlineStr">
        <is>
          <t>MM07</t>
        </is>
      </c>
      <c r="N13" s="576" t="n"/>
    </row>
    <row r="14">
      <c r="A14" s="247" t="inlineStr">
        <is>
          <t>Industrial Production Growth (%)</t>
        </is>
      </c>
      <c r="B14" s="797">
        <f>B13*$K$14</f>
        <v/>
      </c>
      <c r="C14" s="797">
        <f>C13*$K$14</f>
        <v/>
      </c>
      <c r="D14" s="797">
        <f>D13*$K$14</f>
        <v/>
      </c>
      <c r="E14" s="797">
        <f>E13*$K$14</f>
        <v/>
      </c>
      <c r="F14" s="797">
        <f>F13*$K$14</f>
        <v/>
      </c>
      <c r="G14" s="797">
        <f>G13*$K$14</f>
        <v/>
      </c>
      <c r="H14" s="797">
        <f>H13*$K$14</f>
        <v/>
      </c>
      <c r="I14" s="798">
        <f>I13*$K$14</f>
        <v/>
      </c>
      <c r="J14" s="576" t="n"/>
      <c r="K14" s="799" t="n">
        <v>0.85</v>
      </c>
      <c r="L14" s="576" t="n"/>
      <c r="M14" s="708" t="inlineStr">
        <is>
          <t>MM01</t>
        </is>
      </c>
      <c r="N14" s="576" t="n"/>
    </row>
    <row r="15">
      <c r="A15" s="247" t="inlineStr">
        <is>
          <t>Manufacturing GVA Growth (%)</t>
        </is>
      </c>
      <c r="B15" s="797">
        <f>B13*$K$15</f>
        <v/>
      </c>
      <c r="C15" s="797">
        <f>C13*$K$15</f>
        <v/>
      </c>
      <c r="D15" s="797">
        <f>D13*$K$15</f>
        <v/>
      </c>
      <c r="E15" s="797">
        <f>E13*$K$15</f>
        <v/>
      </c>
      <c r="F15" s="797">
        <f>F13*$K$15</f>
        <v/>
      </c>
      <c r="G15" s="797">
        <f>G13*$K$15</f>
        <v/>
      </c>
      <c r="H15" s="797">
        <f>H13*$K$15</f>
        <v/>
      </c>
      <c r="I15" s="798">
        <f>I13*$K$15</f>
        <v/>
      </c>
      <c r="J15" s="576" t="n"/>
      <c r="K15" s="799" t="n">
        <v>1</v>
      </c>
      <c r="L15" s="576" t="n"/>
      <c r="M15" s="708" t="inlineStr">
        <is>
          <t>MM02</t>
        </is>
      </c>
      <c r="N15" s="576" t="n"/>
    </row>
    <row r="16">
      <c r="A16" s="247" t="inlineStr">
        <is>
          <t>Infrastructure Growth (%)</t>
        </is>
      </c>
      <c r="B16" s="797">
        <f>B13*$K$16</f>
        <v/>
      </c>
      <c r="C16" s="797">
        <f>C13*$K$16</f>
        <v/>
      </c>
      <c r="D16" s="797">
        <f>D13*$K$16</f>
        <v/>
      </c>
      <c r="E16" s="797">
        <f>E13*$K$16</f>
        <v/>
      </c>
      <c r="F16" s="797">
        <f>F13*$K$16</f>
        <v/>
      </c>
      <c r="G16" s="797">
        <f>G13*$K$16</f>
        <v/>
      </c>
      <c r="H16" s="797">
        <f>H13*$K$16</f>
        <v/>
      </c>
      <c r="I16" s="798">
        <f>I13*$K$16</f>
        <v/>
      </c>
      <c r="J16" s="576" t="n"/>
      <c r="K16" s="799" t="n">
        <v>1.6</v>
      </c>
      <c r="L16" s="576" t="n"/>
      <c r="M16" s="708" t="inlineStr">
        <is>
          <t>MM03</t>
        </is>
      </c>
      <c r="N16" s="576" t="n"/>
    </row>
    <row r="17">
      <c r="A17" s="247" t="inlineStr">
        <is>
          <t>Construction Growth (%)</t>
        </is>
      </c>
      <c r="B17" s="797">
        <f>B13*$K$17</f>
        <v/>
      </c>
      <c r="C17" s="797">
        <f>C13*$K$17</f>
        <v/>
      </c>
      <c r="D17" s="797">
        <f>D13*$K$17</f>
        <v/>
      </c>
      <c r="E17" s="797">
        <f>E13*$K$17</f>
        <v/>
      </c>
      <c r="F17" s="797">
        <f>F13*$K$17</f>
        <v/>
      </c>
      <c r="G17" s="797">
        <f>G13*$K$17</f>
        <v/>
      </c>
      <c r="H17" s="797">
        <f>H13*$K$17</f>
        <v/>
      </c>
      <c r="I17" s="798">
        <f>I13*$K$17</f>
        <v/>
      </c>
      <c r="J17" s="576" t="n"/>
      <c r="K17" s="799" t="n">
        <v>1.3</v>
      </c>
      <c r="L17" s="576" t="n"/>
      <c r="M17" s="708" t="inlineStr">
        <is>
          <t>MM04</t>
        </is>
      </c>
      <c r="N17" s="576" t="n"/>
    </row>
    <row r="18">
      <c r="A18" s="247" t="inlineStr">
        <is>
          <t>Auto Production Growth (%)</t>
        </is>
      </c>
      <c r="B18" s="797">
        <f>B13*$K$18</f>
        <v/>
      </c>
      <c r="C18" s="797">
        <f>C13*$K$18</f>
        <v/>
      </c>
      <c r="D18" s="797">
        <f>D13*$K$18</f>
        <v/>
      </c>
      <c r="E18" s="797">
        <f>E13*$K$18</f>
        <v/>
      </c>
      <c r="F18" s="797">
        <f>F13*$K$18</f>
        <v/>
      </c>
      <c r="G18" s="797">
        <f>G13*$K$18</f>
        <v/>
      </c>
      <c r="H18" s="797">
        <f>H13*$K$18</f>
        <v/>
      </c>
      <c r="I18" s="798">
        <f>I13*$K$18</f>
        <v/>
      </c>
      <c r="J18" s="576" t="n"/>
      <c r="K18" s="799" t="n">
        <v>1.05</v>
      </c>
      <c r="L18" s="576" t="n"/>
      <c r="M18" s="708" t="inlineStr">
        <is>
          <t>MM05</t>
        </is>
      </c>
      <c r="N18" s="576" t="n"/>
    </row>
    <row r="19">
      <c r="A19" s="247" t="inlineStr">
        <is>
          <t>CPI Inflation (%)</t>
        </is>
      </c>
      <c r="B19" s="797">
        <f>'Model Assumptions'!$D$11</f>
        <v/>
      </c>
      <c r="C19" s="797">
        <f>'Model Assumptions'!E$11</f>
        <v/>
      </c>
      <c r="D19" s="797">
        <f>'Model Assumptions'!F$11</f>
        <v/>
      </c>
      <c r="E19" s="797">
        <f>'Model Assumptions'!G$11</f>
        <v/>
      </c>
      <c r="F19" s="797">
        <f>'Model Assumptions'!H$11</f>
        <v/>
      </c>
      <c r="G19" s="797">
        <f>'Model Assumptions'!I$11</f>
        <v/>
      </c>
      <c r="H19" s="797">
        <f>'Model Assumptions'!J$11</f>
        <v/>
      </c>
      <c r="I19" s="798">
        <f>'Model Assumptions'!K$11</f>
        <v/>
      </c>
      <c r="J19" s="576" t="n"/>
      <c r="K19" s="576" t="n"/>
      <c r="L19" s="576" t="n"/>
      <c r="M19" s="708" t="inlineStr">
        <is>
          <t>MM08</t>
        </is>
      </c>
      <c r="N19" s="576" t="n"/>
    </row>
    <row r="20">
      <c r="A20" s="247" t="inlineStr">
        <is>
          <t>WPI Inflation (%)</t>
        </is>
      </c>
      <c r="B20" s="797">
        <f>B19+$K$20</f>
        <v/>
      </c>
      <c r="C20" s="797">
        <f>C19+$K$20</f>
        <v/>
      </c>
      <c r="D20" s="797">
        <f>D19+$K$20</f>
        <v/>
      </c>
      <c r="E20" s="797">
        <f>E19+$K$20</f>
        <v/>
      </c>
      <c r="F20" s="797">
        <f>F19+$K$20</f>
        <v/>
      </c>
      <c r="G20" s="797">
        <f>G19+$K$20</f>
        <v/>
      </c>
      <c r="H20" s="797">
        <f>H19+$K$20</f>
        <v/>
      </c>
      <c r="I20" s="798">
        <f>I19+$K$20</f>
        <v/>
      </c>
      <c r="J20" s="576" t="n"/>
      <c r="K20" s="800" t="n">
        <v>-0.008</v>
      </c>
      <c r="L20" s="576" t="n"/>
      <c r="M20" s="708" t="inlineStr">
        <is>
          <t>MM06</t>
        </is>
      </c>
      <c r="N20" s="576" t="n"/>
    </row>
    <row r="21">
      <c r="A21" s="247" t="inlineStr">
        <is>
          <t>Repo Rate (%)</t>
        </is>
      </c>
      <c r="B21" s="801" t="n">
        <v>0.0525</v>
      </c>
      <c r="C21" s="801">
        <f>$B$21</f>
        <v/>
      </c>
      <c r="D21" s="801">
        <f>$B$21</f>
        <v/>
      </c>
      <c r="E21" s="801">
        <f>$B$21</f>
        <v/>
      </c>
      <c r="F21" s="801">
        <f>$B$21</f>
        <v/>
      </c>
      <c r="G21" s="801">
        <f>$B$21</f>
        <v/>
      </c>
      <c r="H21" s="801">
        <f>$B$21</f>
        <v/>
      </c>
      <c r="I21" s="802">
        <f>$B$21</f>
        <v/>
      </c>
      <c r="J21" s="576" t="n"/>
      <c r="K21" s="576" t="n"/>
      <c r="L21" s="576" t="n"/>
      <c r="M21" s="708" t="inlineStr">
        <is>
          <t>MM09</t>
        </is>
      </c>
      <c r="N21" s="576" t="n"/>
    </row>
    <row r="22">
      <c r="A22" s="247" t="inlineStr">
        <is>
          <t>USD/INR</t>
        </is>
      </c>
      <c r="B22" s="803">
        <f>'Model Assumptions'!$D$10</f>
        <v/>
      </c>
      <c r="C22" s="803">
        <f>'Model Assumptions'!E$10</f>
        <v/>
      </c>
      <c r="D22" s="803">
        <f>'Model Assumptions'!F$10</f>
        <v/>
      </c>
      <c r="E22" s="803">
        <f>'Model Assumptions'!G$10</f>
        <v/>
      </c>
      <c r="F22" s="803">
        <f>'Model Assumptions'!H$10</f>
        <v/>
      </c>
      <c r="G22" s="803">
        <f>'Model Assumptions'!I$10</f>
        <v/>
      </c>
      <c r="H22" s="803">
        <f>'Model Assumptions'!J$10</f>
        <v/>
      </c>
      <c r="I22" s="804">
        <f>'Model Assumptions'!K$10</f>
        <v/>
      </c>
      <c r="J22" s="576" t="n"/>
      <c r="K22" s="576" t="n"/>
      <c r="L22" s="576" t="n"/>
      <c r="M22" s="708" t="inlineStr">
        <is>
          <t>MM11</t>
        </is>
      </c>
      <c r="N22" s="576" t="n"/>
    </row>
    <row r="23" ht="15" customHeight="1" s="632" thickBot="1">
      <c r="A23" s="248" t="inlineStr">
        <is>
          <t>Brent Oil (US$/bbl)</t>
        </is>
      </c>
      <c r="B23" s="805" t="n">
        <v>79</v>
      </c>
      <c r="C23" s="805">
        <f>$B$23</f>
        <v/>
      </c>
      <c r="D23" s="805">
        <f>$B$23</f>
        <v/>
      </c>
      <c r="E23" s="805">
        <f>$B$23</f>
        <v/>
      </c>
      <c r="F23" s="805">
        <f>$B$23</f>
        <v/>
      </c>
      <c r="G23" s="805">
        <f>$B$23</f>
        <v/>
      </c>
      <c r="H23" s="805">
        <f>$B$23</f>
        <v/>
      </c>
      <c r="I23" s="806">
        <f>$B$23</f>
        <v/>
      </c>
      <c r="J23" s="576" t="n"/>
      <c r="K23" s="576" t="n"/>
      <c r="L23" s="576" t="n"/>
      <c r="M23" s="708" t="inlineStr">
        <is>
          <t>MM10</t>
        </is>
      </c>
      <c r="N23" s="576" t="n"/>
    </row>
    <row r="24">
      <c r="A24" s="576" t="n"/>
      <c r="B24" s="576" t="n"/>
      <c r="C24" s="576" t="n"/>
      <c r="D24" s="576" t="n"/>
      <c r="E24" s="576" t="n"/>
      <c r="F24" s="576" t="n"/>
      <c r="G24" s="576" t="n"/>
      <c r="H24" s="576" t="n"/>
      <c r="I24" s="576" t="n"/>
      <c r="J24" s="576" t="n"/>
      <c r="K24" s="576" t="n"/>
      <c r="L24" s="576" t="n"/>
      <c r="M24" s="576" t="n"/>
      <c r="N24" s="576" t="n"/>
    </row>
    <row r="25">
      <c r="A25" s="576" t="n"/>
      <c r="B25" s="576" t="n"/>
      <c r="C25" s="576" t="n"/>
      <c r="D25" s="576" t="n"/>
      <c r="E25" s="576" t="n"/>
      <c r="F25" s="576" t="n"/>
      <c r="G25" s="576" t="n"/>
      <c r="H25" s="576" t="n"/>
      <c r="I25" s="576" t="n"/>
      <c r="J25" s="576" t="n"/>
      <c r="K25" s="576" t="n"/>
      <c r="L25" s="576" t="n"/>
      <c r="M25" s="576" t="n"/>
      <c r="N25" s="576" t="n"/>
    </row>
    <row r="26" ht="16.2" customHeight="1" s="632" thickBot="1">
      <c r="A26" s="493" t="inlineStr">
        <is>
          <t>Economic Scorecard</t>
        </is>
      </c>
      <c r="J26" s="576" t="n"/>
      <c r="K26" s="576" t="n"/>
      <c r="L26" s="576" t="n"/>
      <c r="M26" s="576" t="n"/>
      <c r="N26" s="576" t="n"/>
    </row>
    <row r="27" ht="15" customHeight="1" s="632" thickBot="1">
      <c r="A27" s="525" t="inlineStr">
        <is>
          <t>Indicator</t>
        </is>
      </c>
      <c r="B27" s="526" t="inlineStr">
        <is>
          <t>Weight</t>
        </is>
      </c>
      <c r="C27" s="526" t="inlineStr">
        <is>
          <t>Score</t>
        </is>
      </c>
      <c r="D27" s="527" t="inlineStr">
        <is>
          <t>Status</t>
        </is>
      </c>
      <c r="E27" s="576" t="n"/>
      <c r="F27" s="707" t="inlineStr">
        <is>
          <t>Ref</t>
        </is>
      </c>
      <c r="G27" s="576" t="n"/>
      <c r="H27" s="576" t="n"/>
      <c r="I27" s="576" t="n"/>
      <c r="J27" s="576" t="n"/>
      <c r="K27" s="576" t="n"/>
      <c r="L27" s="576" t="n"/>
      <c r="M27" s="576" t="n"/>
      <c r="N27" s="576" t="n"/>
    </row>
    <row r="28" ht="15" customHeight="1" s="632" thickTop="1">
      <c r="A28" s="246" t="inlineStr">
        <is>
          <t>GDP</t>
        </is>
      </c>
      <c r="B28" s="541" t="n">
        <v>0.25</v>
      </c>
      <c r="C28" s="807">
        <f>MIN(100,MAX(0,('Model Assumptions'!$E$8-4%)/5%*100))</f>
        <v/>
      </c>
      <c r="D28" s="718">
        <f>IF(C28&gt;=60,"Strong",IF(C28&gt;=40,"Neutral","Weak"))</f>
        <v/>
      </c>
      <c r="E28" s="576" t="n"/>
      <c r="F28" s="708" t="inlineStr">
        <is>
          <t>MM12</t>
        </is>
      </c>
      <c r="G28" s="576" t="n"/>
      <c r="H28" s="576" t="n"/>
      <c r="I28" s="576" t="n"/>
      <c r="J28" s="576" t="n"/>
      <c r="K28" s="576" t="n"/>
      <c r="L28" s="576" t="n"/>
      <c r="M28" s="576" t="n"/>
      <c r="N28" s="576" t="n"/>
    </row>
    <row r="29">
      <c r="A29" s="247" t="inlineStr">
        <is>
          <t>Infrastructure</t>
        </is>
      </c>
      <c r="B29" s="542" t="n">
        <v>0.2</v>
      </c>
      <c r="C29" s="808">
        <f>MIN(100,MAX(0,(C16-4%)/10%*100))</f>
        <v/>
      </c>
      <c r="D29" s="719">
        <f>IF(C29&gt;=60,"Strong",IF(C29&gt;=40,"Neutral","Weak"))</f>
        <v/>
      </c>
      <c r="E29" s="576" t="n"/>
      <c r="F29" s="708" t="inlineStr">
        <is>
          <t>MM15</t>
        </is>
      </c>
      <c r="G29" s="576" t="n"/>
      <c r="H29" s="576" t="n"/>
      <c r="I29" s="576" t="n"/>
      <c r="J29" s="576" t="n"/>
      <c r="K29" s="576" t="n"/>
      <c r="L29" s="576" t="n"/>
      <c r="M29" s="576" t="n"/>
      <c r="N29" s="576" t="n"/>
    </row>
    <row r="30">
      <c r="A30" s="247" t="inlineStr">
        <is>
          <t>Manufacturing</t>
        </is>
      </c>
      <c r="B30" s="542" t="n">
        <v>0.15</v>
      </c>
      <c r="C30" s="808">
        <f>MIN(100,MAX(0,(C15-2%)/8%*100))</f>
        <v/>
      </c>
      <c r="D30" s="719">
        <f>IF(C30&gt;=60,"Strong",IF(C30&gt;=40,"Neutral","Weak"))</f>
        <v/>
      </c>
      <c r="E30" s="576" t="n"/>
      <c r="F30" s="708" t="inlineStr">
        <is>
          <t>MM16</t>
        </is>
      </c>
      <c r="G30" s="576" t="n"/>
      <c r="H30" s="576" t="n"/>
      <c r="I30" s="576" t="n"/>
      <c r="J30" s="576" t="n"/>
      <c r="K30" s="576" t="n"/>
      <c r="L30" s="576" t="n"/>
      <c r="M30" s="576" t="n"/>
      <c r="N30" s="576" t="n"/>
    </row>
    <row r="31">
      <c r="A31" s="247" t="inlineStr">
        <is>
          <t>Construction</t>
        </is>
      </c>
      <c r="B31" s="542" t="n">
        <v>0.15</v>
      </c>
      <c r="C31" s="808">
        <f>MIN(100,MAX(0,(C17-2%)/10%*100))</f>
        <v/>
      </c>
      <c r="D31" s="719">
        <f>IF(C31&gt;=60,"Strong",IF(C31&gt;=40,"Neutral","Weak"))</f>
        <v/>
      </c>
      <c r="E31" s="576" t="n"/>
      <c r="F31" s="708" t="inlineStr">
        <is>
          <t>MM17</t>
        </is>
      </c>
      <c r="G31" s="576" t="n"/>
      <c r="H31" s="576" t="n"/>
      <c r="I31" s="576" t="n"/>
      <c r="J31" s="576" t="n"/>
      <c r="K31" s="576" t="n"/>
      <c r="L31" s="576" t="n"/>
      <c r="M31" s="576" t="n"/>
      <c r="N31" s="576" t="n"/>
    </row>
    <row r="32">
      <c r="A32" s="247" t="inlineStr">
        <is>
          <t>Automobile</t>
        </is>
      </c>
      <c r="B32" s="542" t="n">
        <v>0.1</v>
      </c>
      <c r="C32" s="808">
        <f>MIN(100,MAX(0,(C18-0%)/12%*100))</f>
        <v/>
      </c>
      <c r="D32" s="719">
        <f>IF(C32&gt;=60,"Strong",IF(C32&gt;=40,"Neutral","Weak"))</f>
        <v/>
      </c>
      <c r="E32" s="576" t="n"/>
      <c r="F32" s="708" t="inlineStr">
        <is>
          <t>MM18</t>
        </is>
      </c>
      <c r="G32" s="576" t="n"/>
      <c r="H32" s="576" t="n"/>
      <c r="I32" s="576" t="n"/>
      <c r="J32" s="576" t="n"/>
      <c r="K32" s="576" t="n"/>
      <c r="L32" s="576" t="n"/>
      <c r="M32" s="576" t="n"/>
      <c r="N32" s="576" t="n"/>
    </row>
    <row r="33">
      <c r="A33" s="247" t="inlineStr">
        <is>
          <t>Interest Rate</t>
        </is>
      </c>
      <c r="B33" s="542" t="n">
        <v>0.1</v>
      </c>
      <c r="C33" s="808">
        <f>MIN(100,MAX(0,(9%-'Model Assumptions'!$D$159)/4%*100))</f>
        <v/>
      </c>
      <c r="D33" s="719">
        <f>IF(C33&gt;=60,"Strong",IF(C33&gt;=40,"Neutral","Weak"))</f>
        <v/>
      </c>
      <c r="E33" s="576" t="n"/>
      <c r="F33" s="708" t="inlineStr">
        <is>
          <t>MM13</t>
        </is>
      </c>
      <c r="G33" s="576" t="n"/>
      <c r="H33" s="576" t="n"/>
      <c r="I33" s="576" t="n"/>
      <c r="J33" s="576" t="n"/>
      <c r="K33" s="576" t="n"/>
      <c r="L33" s="576" t="n"/>
      <c r="M33" s="576" t="n"/>
      <c r="N33" s="576" t="n"/>
    </row>
    <row r="34" ht="15" customHeight="1" s="632" thickBot="1">
      <c r="A34" s="248" t="inlineStr">
        <is>
          <t>Inflation</t>
        </is>
      </c>
      <c r="B34" s="543" t="n">
        <v>0.05</v>
      </c>
      <c r="C34" s="809">
        <f>MIN(100,MAX(0,(8%-'Model Assumptions'!$E$11)/6%*100))</f>
        <v/>
      </c>
      <c r="D34" s="720">
        <f>IF(C34&gt;=60,"Strong",IF(C34&gt;=40,"Neutral","Weak"))</f>
        <v/>
      </c>
      <c r="E34" s="576" t="n"/>
      <c r="F34" s="708" t="inlineStr">
        <is>
          <t>MM14</t>
        </is>
      </c>
      <c r="G34" s="576" t="n"/>
      <c r="H34" s="576" t="n"/>
      <c r="I34" s="576" t="n"/>
      <c r="J34" s="576" t="n"/>
      <c r="K34" s="576" t="n"/>
      <c r="L34" s="576" t="n"/>
      <c r="M34" s="576" t="n"/>
      <c r="N34" s="576" t="n"/>
    </row>
    <row r="35">
      <c r="A35" s="576" t="n"/>
      <c r="B35" s="576" t="n"/>
      <c r="C35" s="576" t="n"/>
      <c r="D35" s="576" t="n"/>
      <c r="E35" s="576" t="n"/>
      <c r="F35" s="576" t="n"/>
      <c r="G35" s="576" t="n"/>
      <c r="H35" s="576" t="n"/>
      <c r="I35" s="576" t="n"/>
      <c r="J35" s="576" t="n"/>
      <c r="K35" s="576" t="n"/>
      <c r="L35" s="576" t="n"/>
      <c r="M35" s="576" t="n"/>
      <c r="N35" s="576" t="n"/>
    </row>
    <row r="36">
      <c r="A36" s="576" t="n"/>
      <c r="B36" s="576" t="n"/>
      <c r="C36" s="576" t="n"/>
      <c r="D36" s="576" t="n"/>
      <c r="E36" s="576" t="n"/>
      <c r="F36" s="576" t="n"/>
      <c r="G36" s="576" t="n"/>
      <c r="H36" s="576" t="n"/>
      <c r="I36" s="576" t="n"/>
      <c r="J36" s="576" t="n"/>
      <c r="K36" s="576" t="n"/>
      <c r="L36" s="576" t="n"/>
      <c r="M36" s="576" t="n"/>
      <c r="N36" s="576" t="n"/>
    </row>
    <row r="37" ht="16.2" customHeight="1" s="632" thickBot="1">
      <c r="A37" s="493" t="inlineStr">
        <is>
          <t>Macro Drivers of Steel Demand</t>
        </is>
      </c>
      <c r="J37" s="576" t="n"/>
      <c r="K37" s="576" t="n"/>
      <c r="L37" s="576" t="n"/>
      <c r="M37" s="576" t="n"/>
      <c r="N37" s="576" t="n"/>
    </row>
    <row r="38" ht="43.8" customHeight="1" s="632" thickBot="1">
      <c r="A38" s="525" t="inlineStr">
        <is>
          <t>Sector</t>
        </is>
      </c>
      <c r="B38" s="526" t="inlineStr">
        <is>
          <t>Steel Demand Sensitivity</t>
        </is>
      </c>
      <c r="C38" s="526" t="inlineStr">
        <is>
          <t>FY2027E</t>
        </is>
      </c>
      <c r="D38" s="526" t="inlineStr">
        <is>
          <t>FY2028E</t>
        </is>
      </c>
      <c r="E38" s="526" t="inlineStr">
        <is>
          <t>FY2029E</t>
        </is>
      </c>
      <c r="F38" s="526" t="inlineStr">
        <is>
          <t>FY2030E</t>
        </is>
      </c>
      <c r="G38" s="526" t="inlineStr">
        <is>
          <t>FY2031E</t>
        </is>
      </c>
      <c r="H38" s="526" t="inlineStr">
        <is>
          <t>FY2032E</t>
        </is>
      </c>
      <c r="I38" s="527" t="inlineStr">
        <is>
          <t>FY2033E</t>
        </is>
      </c>
      <c r="J38" s="576" t="n"/>
      <c r="K38" s="576" t="n"/>
      <c r="L38" s="576" t="n"/>
      <c r="M38" s="707" t="inlineStr">
        <is>
          <t>Ref</t>
        </is>
      </c>
      <c r="N38" s="576" t="n"/>
    </row>
    <row r="39" ht="15" customHeight="1" s="632" thickTop="1">
      <c r="A39" s="246" t="inlineStr">
        <is>
          <t>Construction</t>
        </is>
      </c>
      <c r="B39" s="661" t="inlineStr">
        <is>
          <t>High</t>
        </is>
      </c>
      <c r="C39" s="810">
        <f>C13*$K$39</f>
        <v/>
      </c>
      <c r="D39" s="810">
        <f>D13*$K$39</f>
        <v/>
      </c>
      <c r="E39" s="810">
        <f>E13*$K$39</f>
        <v/>
      </c>
      <c r="F39" s="811">
        <f>F13*$K$39</f>
        <v/>
      </c>
      <c r="G39" s="811">
        <f>G13*$K$39</f>
        <v/>
      </c>
      <c r="H39" s="811">
        <f>H13*$K$39</f>
        <v/>
      </c>
      <c r="I39" s="812">
        <f>I13*$K$39</f>
        <v/>
      </c>
      <c r="J39" s="576" t="n"/>
      <c r="K39" s="799" t="n">
        <v>1.3</v>
      </c>
      <c r="L39" s="576" t="n"/>
      <c r="M39" s="708" t="inlineStr">
        <is>
          <t>MM19</t>
        </is>
      </c>
      <c r="N39" s="576" t="n"/>
    </row>
    <row r="40">
      <c r="A40" s="247" t="inlineStr">
        <is>
          <t>Infrastructure</t>
        </is>
      </c>
      <c r="B40" s="663" t="inlineStr">
        <is>
          <t>Very High</t>
        </is>
      </c>
      <c r="C40" s="813">
        <f>C13*$K$40</f>
        <v/>
      </c>
      <c r="D40" s="813">
        <f>D13*$K$40</f>
        <v/>
      </c>
      <c r="E40" s="813">
        <f>E13*$K$40</f>
        <v/>
      </c>
      <c r="F40" s="814">
        <f>F13*$K$40</f>
        <v/>
      </c>
      <c r="G40" s="814">
        <f>G13*$K$40</f>
        <v/>
      </c>
      <c r="H40" s="814">
        <f>H13*$K$40</f>
        <v/>
      </c>
      <c r="I40" s="815">
        <f>I13*$K$40</f>
        <v/>
      </c>
      <c r="J40" s="576" t="n"/>
      <c r="K40" s="799" t="n">
        <v>1.6</v>
      </c>
      <c r="L40" s="576" t="n"/>
      <c r="M40" s="708" t="inlineStr">
        <is>
          <t>MM20</t>
        </is>
      </c>
      <c r="N40" s="576" t="n"/>
    </row>
    <row r="41">
      <c r="A41" s="247" t="inlineStr">
        <is>
          <t>Automotive</t>
        </is>
      </c>
      <c r="B41" s="663" t="inlineStr">
        <is>
          <t>Medium</t>
        </is>
      </c>
      <c r="C41" s="813">
        <f>C13*$K$41</f>
        <v/>
      </c>
      <c r="D41" s="813">
        <f>D13*$K$41</f>
        <v/>
      </c>
      <c r="E41" s="813">
        <f>E13*$K$41</f>
        <v/>
      </c>
      <c r="F41" s="814">
        <f>F13*$K$41</f>
        <v/>
      </c>
      <c r="G41" s="814">
        <f>G13*$K$41</f>
        <v/>
      </c>
      <c r="H41" s="814">
        <f>H13*$K$41</f>
        <v/>
      </c>
      <c r="I41" s="815">
        <f>I13*$K$41</f>
        <v/>
      </c>
      <c r="J41" s="576" t="n"/>
      <c r="K41" s="799" t="n">
        <v>1.05</v>
      </c>
      <c r="L41" s="576" t="n"/>
      <c r="M41" s="708" t="inlineStr">
        <is>
          <t>MM21</t>
        </is>
      </c>
      <c r="N41" s="576" t="n"/>
    </row>
    <row r="42">
      <c r="A42" s="247" t="inlineStr">
        <is>
          <t>Engineering</t>
        </is>
      </c>
      <c r="B42" s="663" t="inlineStr">
        <is>
          <t>High</t>
        </is>
      </c>
      <c r="C42" s="813">
        <f>C13*$K$42</f>
        <v/>
      </c>
      <c r="D42" s="813">
        <f>D13*$K$42</f>
        <v/>
      </c>
      <c r="E42" s="813">
        <f>E13*$K$42</f>
        <v/>
      </c>
      <c r="F42" s="814">
        <f>F13*$K$42</f>
        <v/>
      </c>
      <c r="G42" s="814">
        <f>G13*$K$42</f>
        <v/>
      </c>
      <c r="H42" s="814">
        <f>H13*$K$42</f>
        <v/>
      </c>
      <c r="I42" s="815">
        <f>I13*$K$42</f>
        <v/>
      </c>
      <c r="J42" s="576" t="n"/>
      <c r="K42" s="799" t="n">
        <v>1.15</v>
      </c>
      <c r="L42" s="576" t="n"/>
      <c r="M42" s="708" t="inlineStr">
        <is>
          <t>MM22</t>
        </is>
      </c>
      <c r="N42" s="576" t="n"/>
    </row>
    <row r="43">
      <c r="A43" s="247" t="inlineStr">
        <is>
          <t>Capital Goods</t>
        </is>
      </c>
      <c r="B43" s="663" t="inlineStr">
        <is>
          <t>Medium</t>
        </is>
      </c>
      <c r="C43" s="813">
        <f>C13*$K$43</f>
        <v/>
      </c>
      <c r="D43" s="813">
        <f>D13*$K$43</f>
        <v/>
      </c>
      <c r="E43" s="813">
        <f>E13*$K$43</f>
        <v/>
      </c>
      <c r="F43" s="814">
        <f>F13*$K$43</f>
        <v/>
      </c>
      <c r="G43" s="814">
        <f>G13*$K$43</f>
        <v/>
      </c>
      <c r="H43" s="814">
        <f>H13*$K$43</f>
        <v/>
      </c>
      <c r="I43" s="815">
        <f>I13*$K$43</f>
        <v/>
      </c>
      <c r="J43" s="576" t="n"/>
      <c r="K43" s="799" t="n">
        <v>1.2</v>
      </c>
      <c r="L43" s="576" t="n"/>
      <c r="M43" s="708" t="inlineStr">
        <is>
          <t>MM23</t>
        </is>
      </c>
      <c r="N43" s="576" t="n"/>
    </row>
    <row r="44">
      <c r="A44" s="247" t="inlineStr">
        <is>
          <t>Railways</t>
        </is>
      </c>
      <c r="B44" s="663" t="inlineStr">
        <is>
          <t>Medium</t>
        </is>
      </c>
      <c r="C44" s="813">
        <f>C13*$K$44</f>
        <v/>
      </c>
      <c r="D44" s="813">
        <f>D13*$K$44</f>
        <v/>
      </c>
      <c r="E44" s="813">
        <f>E13*$K$44</f>
        <v/>
      </c>
      <c r="F44" s="814">
        <f>F13*$K$44</f>
        <v/>
      </c>
      <c r="G44" s="814">
        <f>G13*$K$44</f>
        <v/>
      </c>
      <c r="H44" s="814">
        <f>H13*$K$44</f>
        <v/>
      </c>
      <c r="I44" s="815">
        <f>I13*$K$44</f>
        <v/>
      </c>
      <c r="J44" s="576" t="n"/>
      <c r="K44" s="799" t="n">
        <v>1.25</v>
      </c>
      <c r="L44" s="576" t="n"/>
      <c r="M44" s="708" t="inlineStr">
        <is>
          <t>MM24</t>
        </is>
      </c>
      <c r="N44" s="576" t="n"/>
    </row>
    <row r="45">
      <c r="A45" s="247" t="inlineStr">
        <is>
          <t>Oil &amp; Gas</t>
        </is>
      </c>
      <c r="B45" s="663" t="inlineStr">
        <is>
          <t>Medium</t>
        </is>
      </c>
      <c r="C45" s="813">
        <f>C13*$K$45</f>
        <v/>
      </c>
      <c r="D45" s="813">
        <f>D13*$K$45</f>
        <v/>
      </c>
      <c r="E45" s="813">
        <f>E13*$K$45</f>
        <v/>
      </c>
      <c r="F45" s="814">
        <f>F13*$K$45</f>
        <v/>
      </c>
      <c r="G45" s="814">
        <f>G13*$K$45</f>
        <v/>
      </c>
      <c r="H45" s="814">
        <f>H13*$K$45</f>
        <v/>
      </c>
      <c r="I45" s="815">
        <f>I13*$K$45</f>
        <v/>
      </c>
      <c r="J45" s="576" t="n"/>
      <c r="K45" s="799" t="n">
        <v>0.9</v>
      </c>
      <c r="L45" s="576" t="n"/>
      <c r="M45" s="708" t="inlineStr">
        <is>
          <t>MM25</t>
        </is>
      </c>
      <c r="N45" s="576" t="n"/>
    </row>
    <row r="46" ht="15" customHeight="1" s="632" thickBot="1">
      <c r="A46" s="248" t="inlineStr">
        <is>
          <t>Renewable Energy</t>
        </is>
      </c>
      <c r="B46" s="665" t="inlineStr">
        <is>
          <t>Growing</t>
        </is>
      </c>
      <c r="C46" s="791">
        <f>C13*$K$46</f>
        <v/>
      </c>
      <c r="D46" s="791">
        <f>D13*$K$46</f>
        <v/>
      </c>
      <c r="E46" s="791">
        <f>E13*$K$46</f>
        <v/>
      </c>
      <c r="F46" s="816">
        <f>F13*$K$46</f>
        <v/>
      </c>
      <c r="G46" s="816">
        <f>G13*$K$46</f>
        <v/>
      </c>
      <c r="H46" s="816">
        <f>H13*$K$46</f>
        <v/>
      </c>
      <c r="I46" s="817">
        <f>I13*$K$46</f>
        <v/>
      </c>
      <c r="J46" s="576" t="n"/>
      <c r="K46" s="799" t="n">
        <v>2.5</v>
      </c>
      <c r="L46" s="576" t="n"/>
      <c r="M46" s="708" t="inlineStr">
        <is>
          <t>MM26</t>
        </is>
      </c>
      <c r="N46" s="576" t="n"/>
    </row>
    <row r="47">
      <c r="A47" s="576" t="n"/>
      <c r="B47" s="576" t="n"/>
      <c r="C47" s="576" t="n"/>
      <c r="D47" s="576" t="n"/>
      <c r="E47" s="576" t="n"/>
      <c r="F47" s="576" t="n"/>
      <c r="G47" s="576" t="n"/>
      <c r="H47" s="576" t="n"/>
      <c r="I47" s="576" t="n"/>
      <c r="J47" s="576" t="n"/>
      <c r="K47" s="576" t="n"/>
      <c r="L47" s="576" t="n"/>
      <c r="M47" s="576" t="n"/>
      <c r="N47" s="576" t="n"/>
    </row>
    <row r="48">
      <c r="A48" s="576" t="n"/>
      <c r="B48" s="576" t="n"/>
      <c r="C48" s="576" t="n"/>
      <c r="D48" s="576" t="n"/>
      <c r="E48" s="576" t="n"/>
      <c r="F48" s="576" t="n"/>
      <c r="G48" s="576" t="n"/>
      <c r="H48" s="576" t="n"/>
      <c r="I48" s="576" t="n"/>
      <c r="J48" s="576" t="n"/>
      <c r="K48" s="576" t="n"/>
      <c r="L48" s="576" t="n"/>
      <c r="M48" s="576" t="n"/>
      <c r="N48" s="576" t="n"/>
    </row>
    <row r="49" ht="16.2" customHeight="1" s="632" thickBot="1">
      <c r="A49" s="493" t="inlineStr">
        <is>
          <t>Leading Indicators</t>
        </is>
      </c>
      <c r="J49" s="576" t="n"/>
      <c r="K49" s="576" t="n"/>
      <c r="L49" s="576" t="n"/>
      <c r="M49" s="576" t="n"/>
      <c r="N49" s="576" t="n"/>
    </row>
    <row r="50" ht="15" customHeight="1" s="632" thickBot="1">
      <c r="A50" s="525" t="inlineStr">
        <is>
          <t>Indicator</t>
        </is>
      </c>
      <c r="B50" s="526" t="inlineStr">
        <is>
          <t>FY2026A</t>
        </is>
      </c>
      <c r="C50" s="526" t="inlineStr">
        <is>
          <t>Trend</t>
        </is>
      </c>
      <c r="D50" s="527" t="inlineStr">
        <is>
          <t>Impact</t>
        </is>
      </c>
      <c r="E50" s="576" t="n"/>
      <c r="F50" s="707" t="inlineStr">
        <is>
          <t>Ref</t>
        </is>
      </c>
      <c r="G50" s="576" t="n"/>
      <c r="H50" s="576" t="n"/>
      <c r="I50" s="576" t="n"/>
      <c r="J50" s="576" t="n"/>
      <c r="K50" s="576" t="n"/>
      <c r="L50" s="576" t="n"/>
      <c r="M50" s="576" t="n"/>
      <c r="N50" s="576" t="n"/>
    </row>
    <row r="51" ht="15" customHeight="1" s="632" thickTop="1">
      <c r="A51" s="246" t="inlineStr">
        <is>
          <t>PMI Manufacturing</t>
        </is>
      </c>
      <c r="B51" s="818" t="n">
        <v>57</v>
      </c>
      <c r="C51" s="819">
        <f>IF(B51&gt;=55,"Expanding firmly",IF(B51&gt;=50,"Expanding","Contracting"))</f>
        <v/>
      </c>
      <c r="D51" s="820">
        <f>IF(B51&gt;=55,"Supportive of steel demand",IF(B51&gt;=50,"Neutral","Negative for steel demand"))</f>
        <v/>
      </c>
      <c r="E51" s="576" t="n"/>
      <c r="F51" s="708" t="inlineStr">
        <is>
          <t>MM27</t>
        </is>
      </c>
      <c r="G51" s="576" t="n"/>
      <c r="H51" s="576" t="n"/>
      <c r="I51" s="576" t="n"/>
      <c r="J51" s="576" t="n"/>
      <c r="K51" s="576" t="n"/>
      <c r="L51" s="576" t="n"/>
      <c r="M51" s="576" t="n"/>
      <c r="N51" s="576" t="n"/>
    </row>
    <row r="52">
      <c r="A52" s="247" t="inlineStr">
        <is>
          <t>Core Sector Growth</t>
        </is>
      </c>
      <c r="B52" s="821" t="n">
        <v>0.055</v>
      </c>
      <c r="C52" s="822">
        <f>IF(B52&gt;$B$13,"Growing above GDP",IF(B52&gt;0,"Growing below GDP","Contracting"))</f>
        <v/>
      </c>
      <c r="D52" s="823">
        <f>IF(B52&gt;=0.09,"Strongly supportive",IF(B52&gt;=0.05,"Supportive",IF(B52&gt;0,"Mildly supportive","Negative")))</f>
        <v/>
      </c>
      <c r="E52" s="576" t="n"/>
      <c r="F52" s="708" t="inlineStr">
        <is>
          <t>MM28</t>
        </is>
      </c>
      <c r="G52" s="576" t="n"/>
      <c r="H52" s="576" t="n"/>
      <c r="I52" s="576" t="n"/>
      <c r="J52" s="576" t="n"/>
      <c r="K52" s="576" t="n"/>
      <c r="L52" s="576" t="n"/>
      <c r="M52" s="576" t="n"/>
      <c r="N52" s="576" t="n"/>
    </row>
    <row r="53">
      <c r="A53" s="247" t="inlineStr">
        <is>
          <t>Infrastructure Spending</t>
        </is>
      </c>
      <c r="B53" s="821" t="n">
        <v>0.105</v>
      </c>
      <c r="C53" s="822">
        <f>IF(B53&gt;$B$13,"Growing above GDP",IF(B53&gt;0,"Growing below GDP","Contracting"))</f>
        <v/>
      </c>
      <c r="D53" s="823">
        <f>IF(B53&gt;=0.09,"Strongly supportive",IF(B53&gt;=0.05,"Supportive",IF(B53&gt;0,"Mildly supportive","Negative")))</f>
        <v/>
      </c>
      <c r="E53" s="576" t="n"/>
      <c r="F53" s="708" t="inlineStr">
        <is>
          <t>MM29</t>
        </is>
      </c>
      <c r="G53" s="576" t="n"/>
      <c r="H53" s="576" t="n"/>
      <c r="I53" s="576" t="n"/>
      <c r="J53" s="576" t="n"/>
      <c r="K53" s="576" t="n"/>
      <c r="L53" s="576" t="n"/>
      <c r="M53" s="576" t="n"/>
      <c r="N53" s="576" t="n"/>
    </row>
    <row r="54">
      <c r="A54" s="247" t="inlineStr">
        <is>
          <t>Government Capex</t>
        </is>
      </c>
      <c r="B54" s="821" t="n">
        <v>0.1</v>
      </c>
      <c r="C54" s="822">
        <f>IF(B54&gt;$B$13,"Growing above GDP",IF(B54&gt;0,"Growing below GDP","Contracting"))</f>
        <v/>
      </c>
      <c r="D54" s="823">
        <f>IF(B54&gt;=0.09,"Strongly supportive",IF(B54&gt;=0.05,"Supportive",IF(B54&gt;0,"Mildly supportive","Negative")))</f>
        <v/>
      </c>
      <c r="E54" s="576" t="n"/>
      <c r="F54" s="708" t="inlineStr">
        <is>
          <t>MM30</t>
        </is>
      </c>
      <c r="G54" s="576" t="n"/>
      <c r="H54" s="576" t="n"/>
      <c r="I54" s="576" t="n"/>
      <c r="J54" s="576" t="n"/>
      <c r="K54" s="576" t="n"/>
      <c r="L54" s="576" t="n"/>
      <c r="M54" s="576" t="n"/>
      <c r="N54" s="576" t="n"/>
    </row>
    <row r="55">
      <c r="A55" s="247" t="inlineStr">
        <is>
          <t>Housing Completions</t>
        </is>
      </c>
      <c r="B55" s="821" t="n">
        <v>0.08500000000000001</v>
      </c>
      <c r="C55" s="822">
        <f>IF(B55&gt;$B$13,"Growing above GDP",IF(B55&gt;0,"Growing below GDP","Contracting"))</f>
        <v/>
      </c>
      <c r="D55" s="823">
        <f>IF(B55&gt;=0.09,"Strongly supportive",IF(B55&gt;=0.05,"Supportive",IF(B55&gt;0,"Mildly supportive","Negative")))</f>
        <v/>
      </c>
      <c r="E55" s="576" t="n"/>
      <c r="F55" s="708" t="inlineStr">
        <is>
          <t>MM31</t>
        </is>
      </c>
      <c r="G55" s="576" t="n"/>
      <c r="H55" s="576" t="n"/>
      <c r="I55" s="576" t="n"/>
      <c r="J55" s="576" t="n"/>
      <c r="K55" s="576" t="n"/>
      <c r="L55" s="576" t="n"/>
      <c r="M55" s="576" t="n"/>
      <c r="N55" s="576" t="n"/>
    </row>
    <row r="56">
      <c r="A56" s="247" t="inlineStr">
        <is>
          <t>Vehicle Production</t>
        </is>
      </c>
      <c r="B56" s="821" t="n">
        <v>0.08</v>
      </c>
      <c r="C56" s="822">
        <f>IF(B56&gt;$B$13,"Growing above GDP",IF(B56&gt;0,"Growing below GDP","Contracting"))</f>
        <v/>
      </c>
      <c r="D56" s="823">
        <f>IF(B56&gt;=0.09,"Strongly supportive",IF(B56&gt;=0.05,"Supportive",IF(B56&gt;0,"Mildly supportive","Negative")))</f>
        <v/>
      </c>
      <c r="E56" s="576" t="n"/>
      <c r="F56" s="708" t="inlineStr">
        <is>
          <t>MM32</t>
        </is>
      </c>
      <c r="G56" s="576" t="n"/>
      <c r="H56" s="576" t="n"/>
      <c r="I56" s="576" t="n"/>
      <c r="J56" s="576" t="n"/>
      <c r="K56" s="576" t="n"/>
      <c r="L56" s="576" t="n"/>
      <c r="M56" s="576" t="n"/>
      <c r="N56" s="576" t="n"/>
    </row>
    <row r="57" ht="15" customHeight="1" s="632" thickBot="1">
      <c r="A57" s="248" t="inlineStr">
        <is>
          <t>Railway Capex</t>
        </is>
      </c>
      <c r="B57" s="824" t="n">
        <v>0.095</v>
      </c>
      <c r="C57" s="825">
        <f>IF(B57&gt;$B$13,"Growing above GDP",IF(B57&gt;0,"Growing below GDP","Contracting"))</f>
        <v/>
      </c>
      <c r="D57" s="826">
        <f>IF(B57&gt;=0.09,"Strongly supportive",IF(B57&gt;=0.05,"Supportive",IF(B57&gt;0,"Mildly supportive","Negative")))</f>
        <v/>
      </c>
      <c r="E57" s="576" t="n"/>
      <c r="F57" s="708" t="inlineStr">
        <is>
          <t>MM33</t>
        </is>
      </c>
      <c r="G57" s="576" t="n"/>
      <c r="H57" s="576" t="n"/>
      <c r="I57" s="576" t="n"/>
      <c r="J57" s="576" t="n"/>
      <c r="K57" s="576" t="n"/>
      <c r="L57" s="576" t="n"/>
      <c r="M57" s="576" t="n"/>
      <c r="N57" s="576" t="n"/>
    </row>
    <row r="58">
      <c r="A58" s="576" t="n"/>
      <c r="B58" s="576" t="n"/>
      <c r="C58" s="576" t="n"/>
      <c r="D58" s="576" t="n"/>
      <c r="E58" s="576" t="n"/>
      <c r="F58" s="576" t="n"/>
      <c r="G58" s="576" t="n"/>
      <c r="H58" s="576" t="n"/>
      <c r="I58" s="576" t="n"/>
      <c r="J58" s="576" t="n"/>
      <c r="K58" s="576" t="n"/>
      <c r="L58" s="576" t="n"/>
      <c r="M58" s="576" t="n"/>
      <c r="N58" s="576" t="n"/>
    </row>
    <row r="59">
      <c r="A59" s="576" t="n"/>
      <c r="B59" s="576" t="n"/>
      <c r="C59" s="576" t="n"/>
      <c r="D59" s="576" t="n"/>
      <c r="E59" s="576" t="n"/>
      <c r="F59" s="576" t="n"/>
      <c r="G59" s="576" t="n"/>
      <c r="H59" s="576" t="n"/>
      <c r="I59" s="576" t="n"/>
      <c r="J59" s="576" t="n"/>
      <c r="K59" s="576" t="n"/>
      <c r="L59" s="576" t="n"/>
      <c r="M59" s="576" t="n"/>
      <c r="N59" s="576" t="n"/>
    </row>
    <row r="60" ht="16.2" customHeight="1" s="632" thickBot="1">
      <c r="A60" s="493" t="inlineStr">
        <is>
          <t>Exchange Rate Impact</t>
        </is>
      </c>
      <c r="J60" s="576" t="n"/>
      <c r="K60" s="576" t="n"/>
      <c r="L60" s="576" t="n"/>
      <c r="M60" s="576" t="n"/>
      <c r="N60" s="576" t="n"/>
    </row>
    <row r="61" ht="15" customHeight="1" s="632" thickBot="1">
      <c r="A61" s="525" t="inlineStr">
        <is>
          <t>USD/INR</t>
        </is>
      </c>
      <c r="B61" s="560" t="inlineStr">
        <is>
          <t>Effect</t>
        </is>
      </c>
      <c r="C61" s="576" t="n"/>
      <c r="D61" s="576" t="n"/>
      <c r="E61" s="576" t="n"/>
      <c r="F61" s="576" t="n"/>
      <c r="G61" s="576" t="n"/>
      <c r="H61" s="576" t="n"/>
      <c r="I61" s="576" t="n"/>
      <c r="J61" s="576" t="n"/>
      <c r="K61" s="576" t="n"/>
      <c r="L61" s="576" t="n"/>
      <c r="M61" s="576" t="n"/>
      <c r="N61" s="576" t="n"/>
    </row>
    <row r="62" ht="15" customHeight="1" s="632" thickTop="1">
      <c r="A62" s="246" t="inlineStr">
        <is>
          <t>Imports</t>
        </is>
      </c>
      <c r="B62" s="820">
        <f>"Landed import cost moves 1:1 with the rupee. Cumulative depreciation FY2026A to FY2033E is "&amp;TEXT('Model Assumptions'!$K$10/$B$22-1,"0.0%")&amp;", which is import-negative and therefore supportive of domestic realisation."</f>
        <v/>
      </c>
      <c r="C62" s="576" t="n"/>
      <c r="D62" s="576" t="n"/>
      <c r="E62" s="576" t="n"/>
      <c r="F62" s="576" t="n"/>
      <c r="G62" s="576" t="n"/>
      <c r="H62" s="576" t="n"/>
      <c r="I62" s="576" t="n"/>
      <c r="J62" s="576" t="n"/>
      <c r="K62" s="576" t="n"/>
      <c r="L62" s="576" t="n"/>
      <c r="M62" s="576" t="n"/>
      <c r="N62" s="576" t="n"/>
    </row>
    <row r="63">
      <c r="A63" s="247" t="inlineStr">
        <is>
          <t>Exports</t>
        </is>
      </c>
      <c r="B63" s="823">
        <f>"Rupee export realisation improves by the same "&amp;TEXT('Model Assumptions'!$K$10/$B$22-1,"0.0%")&amp;", but India exports only "&amp;TEXT('Trade Model'!$C$84,"0.0%")&amp;" of finished production, so the benefit is second-order."</f>
        <v/>
      </c>
      <c r="C63" s="576" t="n"/>
      <c r="D63" s="576" t="n"/>
      <c r="E63" s="576" t="n"/>
      <c r="F63" s="576" t="n"/>
      <c r="G63" s="576" t="n"/>
      <c r="H63" s="576" t="n"/>
      <c r="I63" s="576" t="n"/>
      <c r="J63" s="576" t="n"/>
      <c r="K63" s="576" t="n"/>
      <c r="L63" s="576" t="n"/>
      <c r="M63" s="576" t="n"/>
      <c r="N63" s="576" t="n"/>
    </row>
    <row r="64">
      <c r="A64" s="247" t="inlineStr">
        <is>
          <t>Iron Ore Cost</t>
        </is>
      </c>
      <c r="B64" s="823">
        <f>"Rs "&amp;TEXT('Raw Material Forecast'!$J$89*0.05,"#,##0")&amp;"/dmt of additional cost per further 5% depreciation, at the FY2033E dollar iron ore price."</f>
        <v/>
      </c>
      <c r="C64" s="576" t="n"/>
      <c r="D64" s="576" t="n"/>
      <c r="E64" s="576" t="n"/>
      <c r="F64" s="576" t="n"/>
      <c r="G64" s="576" t="n"/>
      <c r="H64" s="576" t="n"/>
      <c r="I64" s="576" t="n"/>
      <c r="J64" s="576" t="n"/>
      <c r="K64" s="576" t="n"/>
      <c r="L64" s="576" t="n"/>
      <c r="M64" s="576" t="n"/>
      <c r="N64" s="576" t="n"/>
    </row>
    <row r="65">
      <c r="A65" s="247" t="inlineStr">
        <is>
          <t>Coal Cost</t>
        </is>
      </c>
      <c r="B65" s="823">
        <f>"Rs "&amp;TEXT('Raw Material Forecast'!$J$90*0.05,"#,##0")&amp;"/t of additional cost per further 5% depreciation, at the FY2033E dollar coking coal price."</f>
        <v/>
      </c>
      <c r="C65" s="576" t="n"/>
      <c r="D65" s="576" t="n"/>
      <c r="E65" s="576" t="n"/>
      <c r="F65" s="576" t="n"/>
      <c r="G65" s="576" t="n"/>
      <c r="H65" s="576" t="n"/>
      <c r="I65" s="576" t="n"/>
      <c r="J65" s="576" t="n"/>
      <c r="K65" s="576" t="n"/>
      <c r="L65" s="576" t="n"/>
      <c r="M65" s="576" t="n"/>
      <c r="N65" s="576" t="n"/>
    </row>
    <row r="66" ht="15" customHeight="1" s="632" thickBot="1">
      <c r="A66" s="248" t="inlineStr">
        <is>
          <t>EBITDA</t>
        </is>
      </c>
      <c r="B66" s="826">
        <f>"Second largest driver of FY2033E EBITDA. A 10% adverse move is worth Rs "&amp;TEXT(-'Sensitivity Analysis'!$E$98,"#,##0")&amp;" cr, or "&amp;TEXT(-'Sensitivity Analysis'!$F$98,"0.0%")&amp;" - see 22 Sensitivity Analysis row 98."</f>
        <v/>
      </c>
      <c r="C66" s="576" t="n"/>
      <c r="D66" s="576" t="n"/>
      <c r="E66" s="576" t="n"/>
      <c r="F66" s="576" t="n"/>
      <c r="G66" s="576" t="n"/>
      <c r="H66" s="576" t="n"/>
      <c r="I66" s="576" t="n"/>
      <c r="J66" s="576" t="n"/>
      <c r="K66" s="576" t="n"/>
      <c r="L66" s="576" t="n"/>
      <c r="M66" s="576" t="n"/>
      <c r="N66" s="576" t="n"/>
    </row>
    <row r="67">
      <c r="A67" s="576" t="n"/>
      <c r="B67" s="576" t="n"/>
      <c r="C67" s="576" t="n"/>
      <c r="D67" s="576" t="n"/>
      <c r="E67" s="576" t="n"/>
      <c r="F67" s="576" t="n"/>
      <c r="G67" s="576" t="n"/>
      <c r="H67" s="576" t="n"/>
      <c r="I67" s="576" t="n"/>
      <c r="J67" s="576" t="n"/>
      <c r="K67" s="576" t="n"/>
      <c r="L67" s="576" t="n"/>
      <c r="M67" s="576" t="n"/>
      <c r="N67" s="576" t="n"/>
    </row>
    <row r="68">
      <c r="A68" s="576" t="n"/>
      <c r="B68" s="576" t="n"/>
      <c r="C68" s="576" t="n"/>
      <c r="D68" s="576" t="n"/>
      <c r="E68" s="576" t="n"/>
      <c r="F68" s="576" t="n"/>
      <c r="G68" s="576" t="n"/>
      <c r="H68" s="576" t="n"/>
      <c r="I68" s="576" t="n"/>
      <c r="J68" s="576" t="n"/>
      <c r="K68" s="576" t="n"/>
      <c r="L68" s="576" t="n"/>
      <c r="M68" s="576" t="n"/>
      <c r="N68" s="576" t="n"/>
    </row>
    <row r="69" ht="16.2" customHeight="1" s="632" thickBot="1">
      <c r="A69" s="493" t="inlineStr">
        <is>
          <t>Commodity Environment</t>
        </is>
      </c>
      <c r="J69" s="576" t="n"/>
      <c r="K69" s="576" t="n"/>
      <c r="L69" s="576" t="n"/>
      <c r="M69" s="576" t="n"/>
      <c r="N69" s="576" t="n"/>
    </row>
    <row r="70" ht="15" customHeight="1" s="632" thickBot="1">
      <c r="A70" s="525" t="inlineStr">
        <is>
          <t>Commodity</t>
        </is>
      </c>
      <c r="B70" s="567" t="inlineStr">
        <is>
          <t>Current</t>
        </is>
      </c>
      <c r="C70" s="567" t="inlineStr">
        <is>
          <t>Forecast</t>
        </is>
      </c>
      <c r="D70" s="560" t="inlineStr">
        <is>
          <t>Trend</t>
        </is>
      </c>
      <c r="E70" s="576" t="n"/>
      <c r="F70" s="707" t="inlineStr">
        <is>
          <t>Ref</t>
        </is>
      </c>
      <c r="G70" s="576" t="n"/>
      <c r="H70" s="576" t="n"/>
      <c r="I70" s="576" t="n"/>
      <c r="J70" s="576" t="n"/>
      <c r="K70" s="576" t="n"/>
      <c r="L70" s="576" t="n"/>
      <c r="M70" s="576" t="n"/>
      <c r="N70" s="576" t="n"/>
    </row>
    <row r="71" ht="15" customHeight="1" s="632" thickTop="1">
      <c r="A71" s="246" t="inlineStr">
        <is>
          <t>Brent Oil</t>
        </is>
      </c>
      <c r="B71" s="827">
        <f>$B$23</f>
        <v/>
      </c>
      <c r="C71" s="827">
        <f>$I$23</f>
        <v/>
      </c>
      <c r="D71" s="718">
        <f>IF($I$23&gt;$B$23*1.05,"Rising",IF($I$23&lt;$B$23*0.95,"Falling","Broadly flat"))</f>
        <v/>
      </c>
      <c r="E71" s="576" t="n"/>
      <c r="F71" s="576" t="n"/>
      <c r="G71" s="576" t="n"/>
      <c r="H71" s="576" t="n"/>
      <c r="I71" s="576" t="n"/>
      <c r="J71" s="576" t="n"/>
      <c r="K71" s="576" t="n"/>
      <c r="L71" s="576" t="n"/>
      <c r="M71" s="576" t="n"/>
      <c r="N71" s="576" t="n"/>
    </row>
    <row r="72">
      <c r="A72" s="247" t="inlineStr">
        <is>
          <t>Iron Ore</t>
        </is>
      </c>
      <c r="B72" s="828">
        <f>'Raw Material Forecast'!$C$85</f>
        <v/>
      </c>
      <c r="C72" s="828">
        <f>'Raw Material Forecast'!$J$85</f>
        <v/>
      </c>
      <c r="D72" s="719">
        <f>IF('Raw Material Forecast'!$J$85&gt;'Raw Material Forecast'!$C$85*1.05,"Rising",IF('Raw Material Forecast'!$J$85&lt;'Raw Material Forecast'!$C$85*0.95,"Falling","Broadly flat"))</f>
        <v/>
      </c>
      <c r="E72" s="576" t="n"/>
      <c r="F72" s="576" t="n"/>
      <c r="G72" s="576" t="n"/>
      <c r="H72" s="576" t="n"/>
      <c r="I72" s="576" t="n"/>
      <c r="J72" s="576" t="n"/>
      <c r="K72" s="576" t="n"/>
      <c r="L72" s="576" t="n"/>
      <c r="M72" s="576" t="n"/>
      <c r="N72" s="576" t="n"/>
    </row>
    <row r="73">
      <c r="A73" s="247" t="inlineStr">
        <is>
          <t>HCC Coal</t>
        </is>
      </c>
      <c r="B73" s="828">
        <f>'Raw Material Forecast'!$C$86</f>
        <v/>
      </c>
      <c r="C73" s="828">
        <f>'Raw Material Forecast'!$J$86</f>
        <v/>
      </c>
      <c r="D73" s="719">
        <f>IF('Raw Material Forecast'!$J$86&gt;'Raw Material Forecast'!$C$86*1.05,"Rising",IF('Raw Material Forecast'!$J$86&lt;'Raw Material Forecast'!$C$86*0.95,"Falling","Broadly flat"))</f>
        <v/>
      </c>
      <c r="E73" s="576" t="n"/>
      <c r="F73" s="576" t="n"/>
      <c r="G73" s="576" t="n"/>
      <c r="H73" s="576" t="n"/>
      <c r="I73" s="576" t="n"/>
      <c r="J73" s="576" t="n"/>
      <c r="K73" s="576" t="n"/>
      <c r="L73" s="576" t="n"/>
      <c r="M73" s="576" t="n"/>
      <c r="N73" s="576" t="n"/>
    </row>
    <row r="74" ht="15" customHeight="1" s="632" thickBot="1">
      <c r="A74" s="248" t="inlineStr">
        <is>
          <t>Thermal Coal</t>
        </is>
      </c>
      <c r="B74" s="829" t="n">
        <v>111.5</v>
      </c>
      <c r="C74" s="830" t="n"/>
      <c r="D74" s="831" t="n"/>
      <c r="E74" s="576" t="n"/>
      <c r="F74" s="708" t="inlineStr">
        <is>
          <t>MM44</t>
        </is>
      </c>
      <c r="G74" s="576" t="n"/>
      <c r="H74" s="576" t="n"/>
      <c r="I74" s="576" t="n"/>
      <c r="J74" s="576" t="n"/>
      <c r="K74" s="576" t="n"/>
      <c r="L74" s="576" t="n"/>
      <c r="M74" s="576" t="n"/>
      <c r="N74" s="576" t="n"/>
    </row>
    <row r="75">
      <c r="A75" s="576" t="n"/>
      <c r="B75" s="576" t="n"/>
      <c r="C75" s="576" t="n"/>
      <c r="D75" s="576" t="n"/>
      <c r="E75" s="576" t="n"/>
      <c r="F75" s="576" t="n"/>
      <c r="G75" s="576" t="n"/>
      <c r="H75" s="576" t="n"/>
      <c r="I75" s="576" t="n"/>
      <c r="J75" s="576" t="n"/>
      <c r="K75" s="576" t="n"/>
      <c r="L75" s="576" t="n"/>
      <c r="M75" s="576" t="n"/>
      <c r="N75" s="576" t="n"/>
    </row>
    <row r="76">
      <c r="A76" s="576" t="n"/>
      <c r="B76" s="576" t="n"/>
      <c r="C76" s="576" t="n"/>
      <c r="D76" s="576" t="n"/>
      <c r="E76" s="576" t="n"/>
      <c r="F76" s="576" t="n"/>
      <c r="G76" s="576" t="n"/>
      <c r="H76" s="576" t="n"/>
      <c r="I76" s="576" t="n"/>
      <c r="J76" s="576" t="n"/>
      <c r="K76" s="576" t="n"/>
      <c r="L76" s="576" t="n"/>
      <c r="M76" s="576" t="n"/>
      <c r="N76" s="576" t="n"/>
    </row>
    <row r="77" ht="15.6" customHeight="1" s="632">
      <c r="A77" s="493" t="inlineStr">
        <is>
          <t>Macro Outlook</t>
        </is>
      </c>
      <c r="J77" s="576" t="n"/>
      <c r="K77" s="576" t="n"/>
      <c r="L77" s="576" t="n"/>
      <c r="M77" s="576" t="n"/>
      <c r="N77" s="576" t="n"/>
    </row>
    <row r="78" ht="30" customHeight="1" s="632">
      <c r="A78" s="832" t="inlineStr">
        <is>
          <t>GROWTH. The RBI cut its FY2027 real GDP projection to 6.6% from 6.9% at the 05-Jun-2026 MPC, citing the West Asia conflict, energy prices and monsoon risk, against an estimated 7.6% for FY2026 and a Q4FY2026 actual of 7.7%. The base case adopts 6.6% unchanged and converges to a 6.5% steady state; it does not extrapolate the FY2026 outturn, which was flattered by a low base and front-loaded government capex.</t>
        </is>
      </c>
      <c r="B78" s="576" t="n"/>
      <c r="C78" s="576" t="n"/>
      <c r="D78" s="576" t="n"/>
      <c r="E78" s="576" t="n"/>
      <c r="F78" s="576" t="n"/>
      <c r="G78" s="576" t="n"/>
      <c r="H78" s="576" t="n"/>
      <c r="I78" s="576" t="n"/>
      <c r="J78" s="576" t="n"/>
      <c r="K78" s="576" t="n"/>
      <c r="L78" s="576" t="n"/>
      <c r="M78" s="576" t="n"/>
      <c r="N78" s="576" t="n"/>
    </row>
    <row r="79">
      <c r="A79" s="559" t="n"/>
      <c r="B79" s="576" t="n"/>
      <c r="C79" s="576" t="n"/>
      <c r="D79" s="576" t="n"/>
      <c r="E79" s="576" t="n"/>
      <c r="F79" s="576" t="n"/>
      <c r="G79" s="576" t="n"/>
      <c r="H79" s="576" t="n"/>
      <c r="I79" s="576" t="n"/>
      <c r="J79" s="576" t="n"/>
      <c r="K79" s="576" t="n"/>
      <c r="L79" s="576" t="n"/>
      <c r="M79" s="576" t="n"/>
      <c r="N79" s="576" t="n"/>
    </row>
    <row r="80" ht="30" customHeight="1" s="632">
      <c r="A80" s="832" t="inlineStr">
        <is>
          <t>PRICES AND POLICY. CPI is projected at 5.1% for FY2027, 50bps above the previous projection, converging to the 4.5% mid-point of the RBI target band. The repo rate was held at 5.25% and the 10-year G-sec was 6.833% on 31-Jul-2026. Conversion cost inflation in the model is anchored on this CPI path rather than on a separately asserted wage or power series.</t>
        </is>
      </c>
      <c r="B80" s="576" t="n"/>
      <c r="C80" s="576" t="n"/>
      <c r="D80" s="576" t="n"/>
      <c r="E80" s="576" t="n"/>
      <c r="F80" s="576" t="n"/>
      <c r="G80" s="576" t="n"/>
      <c r="H80" s="576" t="n"/>
      <c r="I80" s="576" t="n"/>
      <c r="J80" s="576" t="n"/>
      <c r="K80" s="576" t="n"/>
      <c r="L80" s="576" t="n"/>
      <c r="M80" s="576" t="n"/>
      <c r="N80" s="576" t="n"/>
    </row>
    <row r="81">
      <c r="A81" s="559" t="n"/>
      <c r="B81" s="576" t="n"/>
      <c r="C81" s="576" t="n"/>
      <c r="D81" s="576" t="n"/>
      <c r="E81" s="576" t="n"/>
      <c r="F81" s="576" t="n"/>
      <c r="G81" s="576" t="n"/>
      <c r="H81" s="576" t="n"/>
      <c r="I81" s="576" t="n"/>
      <c r="J81" s="576" t="n"/>
      <c r="K81" s="576" t="n"/>
      <c r="L81" s="576" t="n"/>
      <c r="M81" s="576" t="n"/>
      <c r="N81" s="576" t="n"/>
    </row>
    <row r="82" ht="30" customHeight="1" s="632">
      <c r="A82" s="832" t="inlineStr">
        <is>
          <t>CURRENCY. USD/INR averaged 88.4 in FY2026 and was 94 spot on 22-Jun-2026 within an 85 to 98 52-week range. The base case takes the rupee to 100.5 by FY2033E. This is the second largest single driver of industry EBITDA in the model, because iron ore and coking coal are priced in dollars while realisation is in rupees.</t>
        </is>
      </c>
      <c r="B82" s="576" t="n"/>
      <c r="C82" s="576" t="n"/>
      <c r="D82" s="576" t="n"/>
      <c r="E82" s="576" t="n"/>
      <c r="F82" s="576" t="n"/>
      <c r="G82" s="576" t="n"/>
      <c r="H82" s="576" t="n"/>
      <c r="I82" s="576" t="n"/>
      <c r="J82" s="576" t="n"/>
      <c r="K82" s="576" t="n"/>
      <c r="L82" s="576" t="n"/>
      <c r="M82" s="576" t="n"/>
      <c r="N82" s="576" t="n"/>
    </row>
    <row r="83">
      <c r="A83" s="559" t="n"/>
      <c r="B83" s="576" t="n"/>
      <c r="C83" s="576" t="n"/>
      <c r="D83" s="576" t="n"/>
      <c r="E83" s="576" t="n"/>
      <c r="F83" s="576" t="n"/>
      <c r="G83" s="576" t="n"/>
      <c r="H83" s="576" t="n"/>
      <c r="I83" s="576" t="n"/>
      <c r="J83" s="576" t="n"/>
      <c r="K83" s="576" t="n"/>
      <c r="L83" s="576" t="n"/>
      <c r="M83" s="576" t="n"/>
      <c r="N83" s="576" t="n"/>
    </row>
    <row r="84" ht="30" customHeight="1" s="632">
      <c r="A84" s="832" t="inlineStr">
        <is>
          <t>TRANSMISSION TO STEEL. Macro reaches steel demand through exactly one channel in this model: real GDP growth multiplied by a demand elasticity of 1.15x tapering to 1.05x. That elasticity is the realised FY2015-FY2026 outturn, not an assertion. Everything downstream - supply, utilisation, price, cost, margin, cash flow and valuation - follows from that single link, which is why the GDP and elasticity rows are the two most important cells in the workbook.</t>
        </is>
      </c>
      <c r="B84" s="576" t="n"/>
      <c r="C84" s="576" t="n"/>
      <c r="D84" s="576" t="n"/>
      <c r="E84" s="576" t="n"/>
      <c r="F84" s="576" t="n"/>
      <c r="G84" s="576" t="n"/>
      <c r="H84" s="576" t="n"/>
      <c r="I84" s="576" t="n"/>
      <c r="J84" s="576" t="n"/>
      <c r="K84" s="576" t="n"/>
      <c r="L84" s="576" t="n"/>
      <c r="M84" s="576" t="n"/>
      <c r="N84" s="576" t="n"/>
    </row>
    <row r="85">
      <c r="A85" s="559" t="n"/>
      <c r="B85" s="576" t="n"/>
      <c r="C85" s="576" t="n"/>
      <c r="D85" s="576" t="n"/>
      <c r="E85" s="576" t="n"/>
      <c r="F85" s="576" t="n"/>
      <c r="G85" s="576" t="n"/>
      <c r="H85" s="576" t="n"/>
      <c r="I85" s="576" t="n"/>
      <c r="J85" s="576" t="n"/>
      <c r="K85" s="576" t="n"/>
      <c r="L85" s="576" t="n"/>
      <c r="M85" s="576" t="n"/>
      <c r="N85" s="576" t="n"/>
    </row>
    <row r="86" ht="30" customHeight="1" s="632">
      <c r="A86" s="833" t="inlineStr">
        <is>
          <t>WHAT IS SOURCED AND WHAT IS MODELLED. Real GDP, CPI, the repo rate, USD/INR and Brent are sourced observations or RBI projections. Industrial production, manufacturing GVA, infrastructure, construction and automotive growth are MODELLED as documented betas to real GDP growth, and WPI as a spread to CPI, because no institution publishes an India path for any of them to FY2033. Each beta sits in column K beside its row, so it is a single visible number a reader can change. The leading-indicator block carries last observed readings where known and modelled values off the same betas where not. All of it is labelled Medium or Low confidence in the reference register, and none of it feeds the volume build: macro reaches steel demand through exactly one channel, real GDP growth times the elasticity.</t>
        </is>
      </c>
      <c r="B86" s="576" t="n"/>
      <c r="C86" s="576" t="n"/>
      <c r="D86" s="576" t="n"/>
      <c r="E86" s="576" t="n"/>
      <c r="F86" s="576" t="n"/>
      <c r="G86" s="576" t="n"/>
      <c r="H86" s="576" t="n"/>
      <c r="I86" s="576" t="n"/>
      <c r="J86" s="576" t="n"/>
      <c r="K86" s="576" t="n"/>
      <c r="L86" s="576" t="n"/>
      <c r="M86" s="576" t="n"/>
      <c r="N86" s="576" t="n"/>
    </row>
    <row r="87">
      <c r="A87" s="576" t="n"/>
      <c r="B87" s="576" t="n"/>
      <c r="C87" s="576" t="n"/>
      <c r="D87" s="576" t="n"/>
      <c r="E87" s="576" t="n"/>
      <c r="F87" s="576" t="n"/>
      <c r="G87" s="576" t="n"/>
      <c r="H87" s="576" t="n"/>
      <c r="I87" s="576" t="n"/>
      <c r="J87" s="576" t="n"/>
      <c r="K87" s="576" t="n"/>
      <c r="L87" s="576" t="n"/>
      <c r="M87" s="576" t="n"/>
      <c r="N87" s="576" t="n"/>
    </row>
    <row r="88" ht="16.2" customHeight="1" s="632" thickBot="1">
      <c r="A88" s="493" t="inlineStr">
        <is>
          <t>Outputs to Downstream Models</t>
        </is>
      </c>
      <c r="J88" s="576" t="n"/>
      <c r="K88" s="576" t="n"/>
      <c r="L88" s="576" t="n"/>
      <c r="M88" s="576" t="n"/>
      <c r="N88" s="576" t="n"/>
    </row>
    <row r="89" ht="15" customHeight="1" s="632" thickBot="1">
      <c r="A89" s="525" t="inlineStr">
        <is>
          <t>Output Variable</t>
        </is>
      </c>
      <c r="B89" s="567" t="inlineStr">
        <is>
          <t>Destination</t>
        </is>
      </c>
      <c r="C89" s="697" t="n"/>
      <c r="D89" s="576" t="n"/>
      <c r="E89" s="576" t="n"/>
      <c r="F89" s="576" t="n"/>
      <c r="G89" s="576" t="n"/>
      <c r="H89" s="576" t="n"/>
      <c r="I89" s="576" t="n"/>
      <c r="J89" s="576" t="n"/>
      <c r="K89" s="576" t="n"/>
      <c r="L89" s="576" t="n"/>
      <c r="M89" s="576" t="n"/>
      <c r="N89" s="576" t="n"/>
    </row>
    <row r="90" ht="15" customHeight="1" s="632" thickTop="1">
      <c r="A90" s="246" t="inlineStr">
        <is>
          <t>GDP Growth</t>
        </is>
      </c>
      <c r="B90" s="566" t="inlineStr">
        <is>
          <t>Demand Model</t>
        </is>
      </c>
      <c r="C90" s="834" t="n"/>
      <c r="D90" s="576" t="n"/>
      <c r="E90" s="576" t="n"/>
      <c r="F90" s="576" t="n"/>
      <c r="G90" s="576" t="n"/>
      <c r="H90" s="576" t="n"/>
      <c r="I90" s="576" t="n"/>
      <c r="J90" s="576" t="n"/>
      <c r="K90" s="576" t="n"/>
      <c r="L90" s="576" t="n"/>
      <c r="M90" s="576" t="n"/>
      <c r="N90" s="576" t="n"/>
    </row>
    <row r="91">
      <c r="A91" s="247" t="inlineStr">
        <is>
          <t>Construction Growth</t>
        </is>
      </c>
      <c r="B91" s="670" t="inlineStr">
        <is>
          <t>Demand Model</t>
        </is>
      </c>
      <c r="C91" s="729" t="n"/>
      <c r="D91" s="576" t="n"/>
      <c r="E91" s="576" t="n"/>
      <c r="F91" s="576" t="n"/>
      <c r="G91" s="576" t="n"/>
      <c r="H91" s="576" t="n"/>
      <c r="I91" s="576" t="n"/>
      <c r="J91" s="576" t="n"/>
      <c r="K91" s="576" t="n"/>
      <c r="L91" s="576" t="n"/>
      <c r="M91" s="576" t="n"/>
      <c r="N91" s="576" t="n"/>
    </row>
    <row r="92">
      <c r="A92" s="247" t="inlineStr">
        <is>
          <t>Auto Growth</t>
        </is>
      </c>
      <c r="B92" s="670" t="inlineStr">
        <is>
          <t>Demand Model</t>
        </is>
      </c>
      <c r="C92" s="729" t="n"/>
      <c r="D92" s="576" t="n"/>
      <c r="E92" s="576" t="n"/>
      <c r="F92" s="576" t="n"/>
      <c r="G92" s="576" t="n"/>
      <c r="H92" s="576" t="n"/>
      <c r="I92" s="576" t="n"/>
      <c r="J92" s="576" t="n"/>
      <c r="K92" s="576" t="n"/>
      <c r="L92" s="576" t="n"/>
      <c r="M92" s="576" t="n"/>
      <c r="N92" s="576" t="n"/>
    </row>
    <row r="93">
      <c r="A93" s="247" t="inlineStr">
        <is>
          <t>Infrastructure Growth</t>
        </is>
      </c>
      <c r="B93" s="670" t="inlineStr">
        <is>
          <t>Demand Model</t>
        </is>
      </c>
      <c r="C93" s="729" t="n"/>
      <c r="D93" s="576" t="n"/>
      <c r="E93" s="576" t="n"/>
      <c r="F93" s="576" t="n"/>
      <c r="G93" s="576" t="n"/>
      <c r="H93" s="576" t="n"/>
      <c r="I93" s="576" t="n"/>
      <c r="J93" s="576" t="n"/>
      <c r="K93" s="576" t="n"/>
      <c r="L93" s="576" t="n"/>
      <c r="M93" s="576" t="n"/>
      <c r="N93" s="576" t="n"/>
    </row>
    <row r="94">
      <c r="A94" s="247" t="inlineStr">
        <is>
          <t>Inflation</t>
        </is>
      </c>
      <c r="B94" s="670" t="inlineStr">
        <is>
          <t>Revenue Model</t>
        </is>
      </c>
      <c r="C94" s="729" t="n"/>
      <c r="D94" s="576" t="n"/>
      <c r="E94" s="576" t="n"/>
      <c r="F94" s="576" t="n"/>
      <c r="G94" s="576" t="n"/>
      <c r="H94" s="576" t="n"/>
      <c r="I94" s="576" t="n"/>
      <c r="J94" s="576" t="n"/>
      <c r="K94" s="576" t="n"/>
      <c r="L94" s="576" t="n"/>
      <c r="M94" s="576" t="n"/>
      <c r="N94" s="576" t="n"/>
    </row>
    <row r="95">
      <c r="A95" s="247" t="inlineStr">
        <is>
          <t>USD/INR</t>
        </is>
      </c>
      <c r="B95" s="670" t="inlineStr">
        <is>
          <t>Cost Model</t>
        </is>
      </c>
      <c r="C95" s="729" t="n"/>
      <c r="D95" s="576" t="n"/>
      <c r="E95" s="576" t="n"/>
      <c r="F95" s="576" t="n"/>
      <c r="G95" s="576" t="n"/>
      <c r="H95" s="576" t="n"/>
      <c r="I95" s="576" t="n"/>
      <c r="J95" s="576" t="n"/>
      <c r="K95" s="576" t="n"/>
      <c r="L95" s="576" t="n"/>
      <c r="M95" s="576" t="n"/>
      <c r="N95" s="576" t="n"/>
    </row>
    <row r="96" ht="15" customHeight="1" s="632" thickBot="1">
      <c r="A96" s="248" t="inlineStr">
        <is>
          <t>Repo Rate</t>
        </is>
      </c>
      <c r="B96" s="564" t="inlineStr">
        <is>
          <t>Valuation</t>
        </is>
      </c>
      <c r="C96" s="835" t="n"/>
      <c r="D96" s="576" t="n"/>
      <c r="E96" s="576" t="n"/>
      <c r="F96" s="576" t="n"/>
      <c r="G96" s="576" t="n"/>
      <c r="H96" s="576" t="n"/>
      <c r="I96" s="576" t="n"/>
      <c r="J96" s="576" t="n"/>
      <c r="K96" s="576" t="n"/>
      <c r="L96" s="576" t="n"/>
      <c r="M96" s="576" t="n"/>
      <c r="N96" s="576" t="n"/>
    </row>
    <row r="97">
      <c r="A97" s="576" t="n"/>
      <c r="B97" s="576" t="n"/>
      <c r="C97" s="576" t="n"/>
      <c r="D97" s="576" t="n"/>
      <c r="E97" s="576" t="n"/>
      <c r="F97" s="576" t="n"/>
      <c r="G97" s="576" t="n"/>
      <c r="H97" s="576" t="n"/>
      <c r="I97" s="576" t="n"/>
      <c r="J97" s="576" t="n"/>
      <c r="K97" s="576" t="n"/>
      <c r="L97" s="576" t="n"/>
      <c r="M97" s="576" t="n"/>
      <c r="N97" s="576" t="n"/>
    </row>
    <row r="98" ht="15" customHeight="1" s="632" thickBot="1">
      <c r="A98" s="371" t="n"/>
    </row>
    <row r="99">
      <c r="A99" s="63" t="inlineStr">
        <is>
          <t>Line item</t>
        </is>
      </c>
      <c r="B99" s="409" t="inlineStr">
        <is>
          <t>Unit</t>
        </is>
      </c>
      <c r="C99" s="65" t="inlineStr">
        <is>
          <t>FY2026A</t>
        </is>
      </c>
      <c r="D99" s="65" t="inlineStr">
        <is>
          <t>FY2027E</t>
        </is>
      </c>
      <c r="E99" s="65" t="inlineStr">
        <is>
          <t>FY2028E</t>
        </is>
      </c>
      <c r="F99" s="65" t="inlineStr">
        <is>
          <t>FY2029E</t>
        </is>
      </c>
      <c r="G99" s="65" t="inlineStr">
        <is>
          <t>FY2030E</t>
        </is>
      </c>
      <c r="H99" s="65" t="inlineStr">
        <is>
          <t>FY2031E</t>
        </is>
      </c>
      <c r="I99" s="65" t="inlineStr">
        <is>
          <t>FY2032E</t>
        </is>
      </c>
      <c r="J99" s="65" t="inlineStr">
        <is>
          <t>FY2033E</t>
        </is>
      </c>
      <c r="K99" s="65" t="inlineStr">
        <is>
          <t>CAGR</t>
        </is>
      </c>
      <c r="L99" s="409" t="inlineStr">
        <is>
          <t>Source</t>
        </is>
      </c>
      <c r="M99" s="65" t="inlineStr">
        <is>
          <t>Conf.</t>
        </is>
      </c>
      <c r="N99" s="410" t="inlineStr">
        <is>
          <t>Notes / methodology</t>
        </is>
      </c>
      <c r="P99" s="707" t="inlineStr">
        <is>
          <t>Ref</t>
        </is>
      </c>
    </row>
    <row r="100">
      <c r="A100" s="836" t="inlineStr">
        <is>
          <t>GROWTH AND PRICES</t>
        </is>
      </c>
      <c r="B100" s="837" t="n"/>
      <c r="C100" s="837" t="n"/>
      <c r="D100" s="837" t="n"/>
      <c r="E100" s="837" t="n"/>
      <c r="F100" s="837" t="n"/>
      <c r="G100" s="837" t="n"/>
      <c r="H100" s="837" t="n"/>
      <c r="I100" s="837" t="n"/>
      <c r="J100" s="837" t="n"/>
      <c r="K100" s="837" t="n"/>
      <c r="L100" s="837" t="n"/>
      <c r="M100" s="837" t="n"/>
      <c r="N100" s="838" t="n"/>
    </row>
    <row r="101" ht="48" customHeight="1" s="632">
      <c r="A101" s="69" t="inlineStr">
        <is>
          <t>India real GDP growth</t>
        </is>
      </c>
      <c r="B101" s="44" t="inlineStr">
        <is>
          <t>%</t>
        </is>
      </c>
      <c r="C101" s="839" t="n">
        <v>0.076</v>
      </c>
      <c r="D101" s="839">
        <f>'Model Assumptions'!E$8</f>
        <v/>
      </c>
      <c r="E101" s="839">
        <f>'Model Assumptions'!F$8</f>
        <v/>
      </c>
      <c r="F101" s="839">
        <f>'Model Assumptions'!G$8</f>
        <v/>
      </c>
      <c r="G101" s="839">
        <f>'Model Assumptions'!H$8</f>
        <v/>
      </c>
      <c r="H101" s="839">
        <f>'Model Assumptions'!I$8</f>
        <v/>
      </c>
      <c r="I101" s="839">
        <f>'Model Assumptions'!J$8</f>
        <v/>
      </c>
      <c r="J101" s="839">
        <f>'Model Assumptions'!K$8</f>
        <v/>
      </c>
      <c r="K101" s="45" t="n"/>
      <c r="L101" s="344" t="inlineStr">
        <is>
          <t>RBI MPC 05-Jun-2026</t>
        </is>
      </c>
      <c r="M101" s="352" t="inlineStr">
        <is>
          <t>High</t>
        </is>
      </c>
      <c r="N101" s="345" t="inlineStr">
        <is>
          <t>FY2026A of 7.6% is the RBI's own estimate for FY2026. FY2027E of 6.6% is the RBI projection, revised down from 6.9% on West Asia conflict, energy prices and monsoon risk. Beyond FY2027 the path converges to 6.5%.</t>
        </is>
      </c>
      <c r="P101" s="708" t="inlineStr">
        <is>
          <t>MM36</t>
        </is>
      </c>
    </row>
    <row r="102">
      <c r="A102" s="69" t="inlineStr">
        <is>
          <t>Real GDP index</t>
        </is>
      </c>
      <c r="B102" s="44" t="inlineStr">
        <is>
          <t>FY2026A=100</t>
        </is>
      </c>
      <c r="C102" s="840" t="n">
        <v>100</v>
      </c>
      <c r="D102" s="840">
        <f>C102*(1+D101)</f>
        <v/>
      </c>
      <c r="E102" s="840">
        <f>D102*(1+E101)</f>
        <v/>
      </c>
      <c r="F102" s="840">
        <f>E102*(1+F101)</f>
        <v/>
      </c>
      <c r="G102" s="840">
        <f>F102*(1+G101)</f>
        <v/>
      </c>
      <c r="H102" s="840">
        <f>G102*(1+H101)</f>
        <v/>
      </c>
      <c r="I102" s="840">
        <f>H102*(1+I101)</f>
        <v/>
      </c>
      <c r="J102" s="840">
        <f>I102*(1+J101)</f>
        <v/>
      </c>
      <c r="K102" s="839">
        <f>IFERROR(IF(AND(ISNUMBER(C102),ISNUMBER(J102),C102&gt;0),(J102/C102)^(1/7)-1,""),"")</f>
        <v/>
      </c>
      <c r="L102" s="344" t="inlineStr">
        <is>
          <t>Computed</t>
        </is>
      </c>
      <c r="M102" s="352" t="inlineStr">
        <is>
          <t>High</t>
        </is>
      </c>
      <c r="N102" s="345" t="inlineStr">
        <is>
          <t>Compounds the growth rate above.</t>
        </is>
      </c>
      <c r="P102" s="708" t="inlineStr">
        <is>
          <t>MM37</t>
        </is>
      </c>
    </row>
    <row r="103" ht="24" customHeight="1" s="632">
      <c r="A103" s="69" t="inlineStr">
        <is>
          <t>CPI inflation</t>
        </is>
      </c>
      <c r="B103" s="44" t="inlineStr">
        <is>
          <t>%</t>
        </is>
      </c>
      <c r="C103" s="839" t="n">
        <v>0.051</v>
      </c>
      <c r="D103" s="839">
        <f>'Model Assumptions'!E$11</f>
        <v/>
      </c>
      <c r="E103" s="839">
        <f>'Model Assumptions'!F$11</f>
        <v/>
      </c>
      <c r="F103" s="839">
        <f>'Model Assumptions'!G$11</f>
        <v/>
      </c>
      <c r="G103" s="839">
        <f>'Model Assumptions'!H$11</f>
        <v/>
      </c>
      <c r="H103" s="839">
        <f>'Model Assumptions'!I$11</f>
        <v/>
      </c>
      <c r="I103" s="839">
        <f>'Model Assumptions'!J$11</f>
        <v/>
      </c>
      <c r="J103" s="839">
        <f>'Model Assumptions'!K$11</f>
        <v/>
      </c>
      <c r="K103" s="45" t="n"/>
      <c r="L103" s="344" t="inlineStr">
        <is>
          <t>RBI MPC 05-Jun-2026</t>
        </is>
      </c>
      <c r="M103" s="352" t="inlineStr">
        <is>
          <t>High</t>
        </is>
      </c>
      <c r="N103" s="345" t="inlineStr">
        <is>
          <t>RBI raised its FY2027 CPI projection by 50bps to 5.1%. Converges to the 4.5% mid-point of the 4% plus or minus 2% target band.</t>
        </is>
      </c>
      <c r="P103" s="708" t="inlineStr">
        <is>
          <t>MM38</t>
        </is>
      </c>
    </row>
    <row r="104">
      <c r="A104" s="69" t="inlineStr">
        <is>
          <t>Nominal GDP index</t>
        </is>
      </c>
      <c r="B104" s="44" t="inlineStr">
        <is>
          <t>FY2026A=100</t>
        </is>
      </c>
      <c r="C104" s="840" t="n">
        <v>100</v>
      </c>
      <c r="D104" s="840">
        <f>C104*(1+D101)*(1+D103)</f>
        <v/>
      </c>
      <c r="E104" s="840">
        <f>D104*(1+E101)*(1+E103)</f>
        <v/>
      </c>
      <c r="F104" s="840">
        <f>E104*(1+F101)*(1+F103)</f>
        <v/>
      </c>
      <c r="G104" s="840">
        <f>F104*(1+G101)*(1+G103)</f>
        <v/>
      </c>
      <c r="H104" s="840">
        <f>G104*(1+H101)*(1+H103)</f>
        <v/>
      </c>
      <c r="I104" s="840">
        <f>H104*(1+I101)*(1+I103)</f>
        <v/>
      </c>
      <c r="J104" s="840">
        <f>I104*(1+J101)*(1+J103)</f>
        <v/>
      </c>
      <c r="K104" s="839">
        <f>IFERROR(IF(AND(ISNUMBER(C104),ISNUMBER(J104),C104&gt;0),(J104/C104)^(1/7)-1,""),"")</f>
        <v/>
      </c>
      <c r="L104" s="344" t="inlineStr">
        <is>
          <t>Computed</t>
        </is>
      </c>
      <c r="M104" s="352" t="inlineStr">
        <is>
          <t>High</t>
        </is>
      </c>
      <c r="N104" s="345" t="inlineStr">
        <is>
          <t>Real growth compounded with inflation.</t>
        </is>
      </c>
      <c r="P104" s="708" t="inlineStr">
        <is>
          <t>MM39</t>
        </is>
      </c>
    </row>
    <row r="105">
      <c r="A105" s="836" t="inlineStr">
        <is>
          <t>EXCHANGE RATE AND INTEREST RATES</t>
        </is>
      </c>
      <c r="B105" s="837" t="n"/>
      <c r="C105" s="837" t="n"/>
      <c r="D105" s="837" t="n"/>
      <c r="E105" s="837" t="n"/>
      <c r="F105" s="837" t="n"/>
      <c r="G105" s="837" t="n"/>
      <c r="H105" s="837" t="n"/>
      <c r="I105" s="837" t="n"/>
      <c r="J105" s="837" t="n"/>
      <c r="K105" s="837" t="n"/>
      <c r="L105" s="837" t="n"/>
      <c r="M105" s="837" t="n"/>
      <c r="N105" s="838" t="n"/>
    </row>
    <row r="106" ht="72" customHeight="1" s="632">
      <c r="A106" s="69" t="inlineStr">
        <is>
          <t>USD/INR (average)</t>
        </is>
      </c>
      <c r="B106" s="44" t="inlineStr">
        <is>
          <t>Rs/US$</t>
        </is>
      </c>
      <c r="C106" s="841" t="n">
        <v>88.40000000000001</v>
      </c>
      <c r="D106" s="841">
        <f>'Model Assumptions'!E$10</f>
        <v/>
      </c>
      <c r="E106" s="841">
        <f>'Model Assumptions'!F$10</f>
        <v/>
      </c>
      <c r="F106" s="841">
        <f>'Model Assumptions'!G$10</f>
        <v/>
      </c>
      <c r="G106" s="841">
        <f>'Model Assumptions'!H$10</f>
        <v/>
      </c>
      <c r="H106" s="841">
        <f>'Model Assumptions'!I$10</f>
        <v/>
      </c>
      <c r="I106" s="841">
        <f>'Model Assumptions'!J$10</f>
        <v/>
      </c>
      <c r="J106" s="841">
        <f>'Model Assumptions'!K$10</f>
        <v/>
      </c>
      <c r="K106" s="839">
        <f>IFERROR(IF(AND(ISNUMBER(C106),ISNUMBER(J106),C106&gt;0),(J106/C106)^(1/7)-1,""),"")</f>
        <v/>
      </c>
      <c r="L106" s="344" t="inlineStr">
        <is>
          <t>IDBI Capital 22-Jun-2026</t>
        </is>
      </c>
      <c r="M106" s="352" t="inlineStr">
        <is>
          <t>High</t>
        </is>
      </c>
      <c r="N106" s="345" t="inlineStr">
        <is>
          <t>FY2026A of 88.4 is DERIVED from Tata Steel's dual-currency disclosure in the database - consolidated EBITDA/t of Rs 10,900 against US$124 gives 87.90, India EBITDA/t of Rs 15,213 against US$172 gives 88.45, and group turnover of Rs 2,32,140 cr against US$26bn gives 89.28. Spot was 94 on 22-Jun-2026 with a 52-week range of 85 to 98.</t>
        </is>
      </c>
      <c r="P106" s="708" t="inlineStr">
        <is>
          <t>MM40</t>
        </is>
      </c>
    </row>
    <row r="107" ht="36" customHeight="1" s="632">
      <c r="A107" s="69" t="inlineStr">
        <is>
          <t>INR depreciation</t>
        </is>
      </c>
      <c r="B107" s="44" t="inlineStr">
        <is>
          <t>%</t>
        </is>
      </c>
      <c r="C107" s="45" t="n"/>
      <c r="D107" s="839">
        <f>D106/C106-1</f>
        <v/>
      </c>
      <c r="E107" s="839">
        <f>E106/D106-1</f>
        <v/>
      </c>
      <c r="F107" s="839">
        <f>F106/E106-1</f>
        <v/>
      </c>
      <c r="G107" s="839">
        <f>G106/F106-1</f>
        <v/>
      </c>
      <c r="H107" s="839">
        <f>H106/G106-1</f>
        <v/>
      </c>
      <c r="I107" s="839">
        <f>I106/H106-1</f>
        <v/>
      </c>
      <c r="J107" s="839">
        <f>J106/I106-1</f>
        <v/>
      </c>
      <c r="K107" s="45" t="n"/>
      <c r="L107" s="344" t="inlineStr">
        <is>
          <t>Computed</t>
        </is>
      </c>
      <c r="M107" s="352" t="inlineStr">
        <is>
          <t>High</t>
        </is>
      </c>
      <c r="N107" s="345" t="inlineStr">
        <is>
          <t>Positive equals depreciation, which raises rupee raw-material cost but also raises the rupee landed cost of imports and therefore supports domestic realisations.</t>
        </is>
      </c>
      <c r="P107" s="708" t="inlineStr">
        <is>
          <t>MM41</t>
        </is>
      </c>
    </row>
    <row r="108" ht="36.6" customHeight="1" s="632" thickBot="1">
      <c r="A108" s="69" t="inlineStr">
        <is>
          <t>10-year G-sec yield</t>
        </is>
      </c>
      <c r="B108" s="44" t="inlineStr">
        <is>
          <t>%</t>
        </is>
      </c>
      <c r="C108" s="839" t="n">
        <v>0.0683</v>
      </c>
      <c r="D108" s="839">
        <f>'Model Assumptions'!$D$159</f>
        <v/>
      </c>
      <c r="E108" s="839">
        <f>'Model Assumptions'!$D$159</f>
        <v/>
      </c>
      <c r="F108" s="839">
        <f>'Model Assumptions'!$D$159</f>
        <v/>
      </c>
      <c r="G108" s="839">
        <f>'Model Assumptions'!$D$159</f>
        <v/>
      </c>
      <c r="H108" s="839">
        <f>'Model Assumptions'!$D$159</f>
        <v/>
      </c>
      <c r="I108" s="839">
        <f>'Model Assumptions'!$D$159</f>
        <v/>
      </c>
      <c r="J108" s="839">
        <f>'Model Assumptions'!$D$159</f>
        <v/>
      </c>
      <c r="K108" s="45" t="n"/>
      <c r="L108" s="344" t="inlineStr">
        <is>
          <t>investing.com 31-Jul-2026</t>
        </is>
      </c>
      <c r="M108" s="352" t="inlineStr">
        <is>
          <t>High</t>
        </is>
      </c>
      <c r="N108" s="345" t="inlineStr">
        <is>
          <t>6.833% on 31-Jul-2026. Trading Economics expects 6.78% at quarter end. Held flat across the horizon - a term-structure forecast is not attempted.</t>
        </is>
      </c>
      <c r="P108" s="708" t="inlineStr">
        <is>
          <t>MM42</t>
        </is>
      </c>
    </row>
    <row r="109" ht="24.6" customHeight="1" s="632" thickBot="1">
      <c r="A109" s="72" t="inlineStr">
        <is>
          <t>WACC (nominal, INR)</t>
        </is>
      </c>
      <c r="B109" s="73" t="inlineStr">
        <is>
          <t>%</t>
        </is>
      </c>
      <c r="C109" s="74" t="n"/>
      <c r="D109" s="842">
        <f>'Model Assumptions'!E$27</f>
        <v/>
      </c>
      <c r="E109" s="842">
        <f>'Model Assumptions'!F$27</f>
        <v/>
      </c>
      <c r="F109" s="842">
        <f>'Model Assumptions'!G$27</f>
        <v/>
      </c>
      <c r="G109" s="842">
        <f>'Model Assumptions'!H$27</f>
        <v/>
      </c>
      <c r="H109" s="842">
        <f>'Model Assumptions'!I$27</f>
        <v/>
      </c>
      <c r="I109" s="842">
        <f>'Model Assumptions'!J$27</f>
        <v/>
      </c>
      <c r="J109" s="842">
        <f>'Model Assumptions'!K$27</f>
        <v/>
      </c>
      <c r="K109" s="74" t="n"/>
      <c r="L109" s="346" t="inlineStr">
        <is>
          <t>Composite - see 02 Section D</t>
        </is>
      </c>
      <c r="M109" s="353" t="inlineStr">
        <is>
          <t>Medium</t>
        </is>
      </c>
      <c r="N109" s="347" t="inlineStr">
        <is>
          <t>Used for discounting on 23 Comparable Valuation. Cross-checked against the build-up on 02 Section D by 25 Audit Checks.</t>
        </is>
      </c>
      <c r="P109" s="708" t="inlineStr">
        <is>
          <t>MM43</t>
        </is>
      </c>
    </row>
    <row r="110"/>
    <row r="111">
      <c r="A111" s="383" t="inlineStr">
        <is>
          <t>Macro drivers are scenario-dependent: the stress case applies a 220bps FY2027 GDP shock and takes USD/INR beyond its 52-week low.</t>
        </is>
      </c>
    </row>
  </sheetData>
  <mergeCells count="24">
    <mergeCell ref="B91:C91"/>
    <mergeCell ref="A9:N9"/>
    <mergeCell ref="B90:C90"/>
    <mergeCell ref="A37:I37"/>
    <mergeCell ref="B93:C93"/>
    <mergeCell ref="B96:C96"/>
    <mergeCell ref="A26:I26"/>
    <mergeCell ref="A1:N1"/>
    <mergeCell ref="A2:F2"/>
    <mergeCell ref="A7:N7"/>
    <mergeCell ref="A105:N105"/>
    <mergeCell ref="A77:I77"/>
    <mergeCell ref="A5:N5"/>
    <mergeCell ref="B92:C92"/>
    <mergeCell ref="A11:I11"/>
    <mergeCell ref="A49:I49"/>
    <mergeCell ref="A100:N100"/>
    <mergeCell ref="A60:I60"/>
    <mergeCell ref="B95:C95"/>
    <mergeCell ref="B89:C89"/>
    <mergeCell ref="A88:I88"/>
    <mergeCell ref="B94:C94"/>
    <mergeCell ref="A69:I69"/>
    <mergeCell ref="A111:N111"/>
  </mergeCells>
  <hyperlinks>
    <hyperlink ref="M13" location="'Audit Checks'!A191" tooltip="Open the reference register on 25 Audit Checks"/>
    <hyperlink ref="M14" location="'Audit Checks'!A191" tooltip="Open the reference register on 25 Audit Checks"/>
    <hyperlink ref="M15" location="'Audit Checks'!A191" tooltip="Open the reference register on 25 Audit Checks"/>
    <hyperlink ref="M16" location="'Audit Checks'!A191" tooltip="Open the reference register on 25 Audit Checks"/>
    <hyperlink ref="M17" location="'Audit Checks'!A191" tooltip="Open the reference register on 25 Audit Checks"/>
    <hyperlink ref="M18" location="'Audit Checks'!A191" tooltip="Open the reference register on 25 Audit Checks"/>
    <hyperlink ref="M19" location="'Audit Checks'!A191" tooltip="Open the reference register on 25 Audit Checks"/>
    <hyperlink ref="M20" location="'Audit Checks'!A191" tooltip="Open the reference register on 25 Audit Checks"/>
    <hyperlink ref="M21" location="'Audit Checks'!A191" tooltip="Open the reference register on 25 Audit Checks"/>
    <hyperlink ref="M22" location="'Audit Checks'!A191" tooltip="Open the reference register on 25 Audit Checks"/>
    <hyperlink ref="M23" location="'Audit Checks'!A191" tooltip="Open the reference register on 25 Audit Checks"/>
    <hyperlink ref="F28" location="'Audit Checks'!A191" tooltip="Open the reference register on 25 Audit Checks"/>
    <hyperlink ref="F29" location="'Audit Checks'!A191" tooltip="Open the reference register on 25 Audit Checks"/>
    <hyperlink ref="F30" location="'Audit Checks'!A191" tooltip="Open the reference register on 25 Audit Checks"/>
    <hyperlink ref="F31" location="'Audit Checks'!A191" tooltip="Open the reference register on 25 Audit Checks"/>
    <hyperlink ref="F32" location="'Audit Checks'!A191" tooltip="Open the reference register on 25 Audit Checks"/>
    <hyperlink ref="F33" location="'Audit Checks'!A191" tooltip="Open the reference register on 25 Audit Checks"/>
    <hyperlink ref="F34" location="'Audit Checks'!A191" tooltip="Open the reference register on 25 Audit Checks"/>
    <hyperlink ref="M39" location="'Audit Checks'!A191" tooltip="Open the reference register on 25 Audit Checks"/>
    <hyperlink ref="M40" location="'Audit Checks'!A191" tooltip="Open the reference register on 25 Audit Checks"/>
    <hyperlink ref="M41" location="'Audit Checks'!A191" tooltip="Open the reference register on 25 Audit Checks"/>
    <hyperlink ref="M42" location="'Audit Checks'!A191" tooltip="Open the reference register on 25 Audit Checks"/>
    <hyperlink ref="M43" location="'Audit Checks'!A191" tooltip="Open the reference register on 25 Audit Checks"/>
    <hyperlink ref="M44" location="'Audit Checks'!A191" tooltip="Open the reference register on 25 Audit Checks"/>
    <hyperlink ref="M45" location="'Audit Checks'!A191" tooltip="Open the reference register on 25 Audit Checks"/>
    <hyperlink ref="M46" location="'Audit Checks'!A191" tooltip="Open the reference register on 25 Audit Checks"/>
    <hyperlink ref="F51" location="'Audit Checks'!A191" tooltip="Open the reference register on 25 Audit Checks"/>
    <hyperlink ref="F52" location="'Audit Checks'!A191" tooltip="Open the reference register on 25 Audit Checks"/>
    <hyperlink ref="F53" location="'Audit Checks'!A191" tooltip="Open the reference register on 25 Audit Checks"/>
    <hyperlink ref="F54" location="'Audit Checks'!A191" tooltip="Open the reference register on 25 Audit Checks"/>
    <hyperlink ref="F55" location="'Audit Checks'!A191" tooltip="Open the reference register on 25 Audit Checks"/>
    <hyperlink ref="F56" location="'Audit Checks'!A191" tooltip="Open the reference register on 25 Audit Checks"/>
    <hyperlink ref="F57" location="'Audit Checks'!A191" tooltip="Open the reference register on 25 Audit Checks"/>
    <hyperlink ref="F74" location="'Audit Checks'!A191" tooltip="Open the reference register on 25 Audit Checks"/>
    <hyperlink ref="P101" location="'Audit Checks'!A191" tooltip="Open the reference register on 25 Audit Checks"/>
    <hyperlink ref="P102" location="'Audit Checks'!A191" tooltip="Open the reference register on 25 Audit Checks"/>
    <hyperlink ref="P103" location="'Audit Checks'!A191" tooltip="Open the reference register on 25 Audit Checks"/>
    <hyperlink ref="P104" location="'Audit Checks'!A191" tooltip="Open the reference register on 25 Audit Checks"/>
    <hyperlink ref="P106" location="'Audit Checks'!A191" tooltip="Open the reference register on 25 Audit Checks"/>
    <hyperlink ref="P107" location="'Audit Checks'!A191" tooltip="Open the reference register on 25 Audit Checks"/>
    <hyperlink ref="P108" location="'Audit Checks'!A191" tooltip="Open the reference register on 25 Audit Checks"/>
    <hyperlink ref="P109" location="'Audit Checks'!A191" tooltip="Open the reference register on 25 Audit Checks"/>
  </hyperlinks>
  <pageMargins left="0.7" right="0.7" top="0.75" bottom="0.75" header="0.3" footer="0.3"/>
</worksheet>
</file>

<file path=xl/worksheets/sheet9.xml><?xml version="1.0" encoding="utf-8"?>
<worksheet xmlns="http://schemas.openxmlformats.org/spreadsheetml/2006/main">
  <sheetPr codeName="Sheet9">
    <tabColor rgb="FF002060"/>
    <outlinePr summaryBelow="1" summaryRight="1"/>
    <pageSetUpPr/>
  </sheetPr>
  <dimension ref="A1:P123"/>
  <sheetViews>
    <sheetView showGridLines="0" zoomScaleNormal="100" workbookViewId="0">
      <selection activeCell="A3" sqref="A3"/>
    </sheetView>
  </sheetViews>
  <sheetFormatPr baseColWidth="8" defaultRowHeight="14.4"/>
  <cols>
    <col width="30.88671875" customWidth="1" style="632" min="1" max="1"/>
    <col width="12.88671875" customWidth="1" style="320" min="2" max="9"/>
    <col width="7" customWidth="1" style="632" min="6" max="6"/>
    <col width="7" customWidth="1" style="632" min="7" max="7"/>
    <col width="12.5546875" customWidth="1" style="632" min="10" max="10"/>
    <col width="9.5546875" customWidth="1" style="632" min="11" max="11"/>
    <col width="15.44140625" customWidth="1" style="632" min="12" max="12"/>
    <col width="9.33203125" customWidth="1" style="632" min="13" max="13"/>
    <col width="58.77734375" customWidth="1" style="632" min="14" max="14"/>
    <col width="7" customWidth="1" style="632" min="16" max="16"/>
  </cols>
  <sheetData>
    <row r="1" ht="25.8" customHeight="1" s="632">
      <c r="A1" s="372" t="inlineStr">
        <is>
          <t>STEEL DEMAND MODEL</t>
        </is>
      </c>
    </row>
    <row r="2">
      <c r="A2" s="355" t="inlineStr">
        <is>
          <t>Industry Financial Model  |  Indian Steel Industry  |  Horizon FY2027E-FY2033E  |  Base year FY2026A</t>
        </is>
      </c>
    </row>
    <row r="3">
      <c r="A3" s="371" t="n"/>
    </row>
    <row r="4">
      <c r="A4" s="356" t="inlineStr">
        <is>
          <t>OBJECTIVE</t>
        </is>
      </c>
    </row>
    <row r="5">
      <c r="A5" s="576" t="inlineStr">
        <is>
          <t>Forecasts India's apparent finished steel consumption, the demand anchor for the whole model.</t>
        </is>
      </c>
    </row>
    <row r="6">
      <c r="A6" s="356" t="inlineStr">
        <is>
          <t>METHODOLOGY</t>
        </is>
      </c>
    </row>
    <row r="7" ht="30.6" customHeight="1" s="632">
      <c r="A7" s="576" t="inlineStr">
        <is>
          <t>Consumption growth equals real GDP growth multiplied by a steel demand elasticity. The elasticity is not assumed - it is calibrated to realised history: consumption compounded at 7.13% from 76.99 Mt in FY2015 to 164.19 Mt in FY2026 against real GDP CAGR of roughly 6.3-6.7%, giving 1.06x to 1.13x. It is set at 1.15x near term, consistent with worldsteel's Apr-2026 forecast of +7.4% in CY2026 and +9.2% in CY2027 against RBI GDP of 6.6%, then tapers to 1.05x on maturing intensity.</t>
        </is>
      </c>
    </row>
    <row r="8">
      <c r="A8" s="356" t="inlineStr">
        <is>
          <t>UNITS</t>
        </is>
      </c>
    </row>
    <row r="9">
      <c r="A9" s="576" t="inlineStr">
        <is>
          <t>Mt. Population in billions. Per capita in kg.</t>
        </is>
      </c>
    </row>
    <row r="10">
      <c r="A10" s="356" t="inlineStr">
        <is>
          <t>DEPENDENCIES</t>
        </is>
      </c>
    </row>
    <row r="11">
      <c r="A11" s="576" t="inlineStr">
        <is>
          <t>Reads 03 Macroeconomic Model and 02 Model Assumptions. Read by 05 Steel Supply.</t>
        </is>
      </c>
    </row>
    <row r="12">
      <c r="A12" s="576" t="n"/>
      <c r="B12" s="577" t="n"/>
      <c r="C12" s="577" t="n"/>
      <c r="D12" s="577" t="n"/>
      <c r="E12" s="577" t="n"/>
      <c r="F12" s="577" t="n"/>
      <c r="G12" s="577" t="n"/>
      <c r="H12" s="577" t="n"/>
      <c r="I12" s="577" t="n"/>
      <c r="J12" s="576" t="n"/>
      <c r="K12" s="576" t="n"/>
      <c r="L12" s="576" t="n"/>
      <c r="M12" s="576" t="n"/>
      <c r="N12" s="576" t="n"/>
    </row>
    <row r="13">
      <c r="A13" s="576" t="n"/>
      <c r="B13" s="577" t="n"/>
      <c r="C13" s="577" t="n"/>
      <c r="D13" s="577" t="n"/>
      <c r="E13" s="577" t="n"/>
      <c r="F13" s="577" t="n"/>
      <c r="G13" s="577" t="n"/>
      <c r="H13" s="577" t="n"/>
      <c r="I13" s="577" t="n"/>
      <c r="J13" s="576" t="n"/>
      <c r="K13" s="576" t="n"/>
      <c r="L13" s="576" t="n"/>
      <c r="M13" s="576" t="n"/>
      <c r="N13" s="576" t="n"/>
    </row>
    <row r="14" ht="16.2" customHeight="1" s="632" thickBot="1">
      <c r="A14" s="493" t="inlineStr">
        <is>
          <t>Executive Summary</t>
        </is>
      </c>
      <c r="J14" s="576" t="n"/>
      <c r="K14" s="576" t="n"/>
      <c r="L14" s="576" t="n"/>
      <c r="M14" s="576" t="n"/>
      <c r="N14" s="576" t="n"/>
    </row>
    <row r="15" ht="15" customHeight="1" s="632" thickBot="1">
      <c r="A15" s="525" t="inlineStr">
        <is>
          <t>Metric</t>
        </is>
      </c>
      <c r="B15" s="526" t="inlineStr">
        <is>
          <t>FY26A</t>
        </is>
      </c>
      <c r="C15" s="526" t="inlineStr">
        <is>
          <t>FY27E</t>
        </is>
      </c>
      <c r="D15" s="526" t="inlineStr">
        <is>
          <t>FY28E</t>
        </is>
      </c>
      <c r="E15" s="526" t="inlineStr">
        <is>
          <t>FY29E</t>
        </is>
      </c>
      <c r="F15" s="526" t="inlineStr">
        <is>
          <t>FY30E</t>
        </is>
      </c>
      <c r="G15" s="526" t="inlineStr">
        <is>
          <t>FY31E</t>
        </is>
      </c>
      <c r="H15" s="526" t="inlineStr">
        <is>
          <t>FY32E</t>
        </is>
      </c>
      <c r="I15" s="527" t="inlineStr">
        <is>
          <t>FY33E</t>
        </is>
      </c>
      <c r="J15" s="576" t="n"/>
      <c r="K15" s="576" t="n"/>
      <c r="L15" s="576" t="n"/>
      <c r="M15" s="576" t="n"/>
      <c r="N15" s="576" t="n"/>
    </row>
    <row r="16" ht="15" customHeight="1" s="632" thickTop="1">
      <c r="A16" s="246" t="inlineStr">
        <is>
          <t>Apparent Steel Consumption (Mt)</t>
        </is>
      </c>
      <c r="B16" s="843">
        <f>$C$116</f>
        <v/>
      </c>
      <c r="C16" s="843">
        <f>$D$116</f>
        <v/>
      </c>
      <c r="D16" s="843">
        <f>$E$116</f>
        <v/>
      </c>
      <c r="E16" s="843">
        <f>$F$116</f>
        <v/>
      </c>
      <c r="F16" s="843">
        <f>$G$116</f>
        <v/>
      </c>
      <c r="G16" s="843">
        <f>$H$116</f>
        <v/>
      </c>
      <c r="H16" s="843">
        <f>$I$116</f>
        <v/>
      </c>
      <c r="I16" s="844">
        <f>$J$116</f>
        <v/>
      </c>
      <c r="J16" s="576" t="n"/>
      <c r="K16" s="576" t="n"/>
      <c r="L16" s="576" t="n"/>
      <c r="M16" s="576" t="n"/>
      <c r="N16" s="576" t="n"/>
    </row>
    <row r="17">
      <c r="A17" s="247" t="inlineStr">
        <is>
          <t>Demand Growth (%)</t>
        </is>
      </c>
      <c r="B17" s="845">
        <f>$C$115</f>
        <v/>
      </c>
      <c r="C17" s="845">
        <f>$D$115</f>
        <v/>
      </c>
      <c r="D17" s="845">
        <f>$E$115</f>
        <v/>
      </c>
      <c r="E17" s="845">
        <f>$F$115</f>
        <v/>
      </c>
      <c r="F17" s="845">
        <f>$G$115</f>
        <v/>
      </c>
      <c r="G17" s="845">
        <f>$H$115</f>
        <v/>
      </c>
      <c r="H17" s="845">
        <f>$I$115</f>
        <v/>
      </c>
      <c r="I17" s="846">
        <f>$J$115</f>
        <v/>
      </c>
      <c r="J17" s="576" t="n"/>
      <c r="K17" s="576" t="n"/>
      <c r="L17" s="576" t="n"/>
      <c r="M17" s="576" t="n"/>
      <c r="N17" s="576" t="n"/>
    </row>
    <row r="18">
      <c r="A18" s="247" t="inlineStr">
        <is>
          <t>Per Capita Consumption (kg)</t>
        </is>
      </c>
      <c r="B18" s="847">
        <f>$C$121</f>
        <v/>
      </c>
      <c r="C18" s="847">
        <f>$D$121</f>
        <v/>
      </c>
      <c r="D18" s="847">
        <f>$E$121</f>
        <v/>
      </c>
      <c r="E18" s="847">
        <f>$F$121</f>
        <v/>
      </c>
      <c r="F18" s="847">
        <f>$G$121</f>
        <v/>
      </c>
      <c r="G18" s="847">
        <f>$H$121</f>
        <v/>
      </c>
      <c r="H18" s="847">
        <f>$I$121</f>
        <v/>
      </c>
      <c r="I18" s="848">
        <f>$J$121</f>
        <v/>
      </c>
      <c r="J18" s="576" t="n"/>
      <c r="K18" s="576" t="n"/>
      <c r="L18" s="576" t="n"/>
      <c r="M18" s="576" t="n"/>
      <c r="N18" s="576" t="n"/>
    </row>
    <row r="19">
      <c r="A19" s="247" t="inlineStr">
        <is>
          <t>Domestic Demand Share (%)</t>
        </is>
      </c>
      <c r="B19" s="813">
        <f>IFERROR(C116/(C116+'Trade Model'!C78),"")</f>
        <v/>
      </c>
      <c r="C19" s="813">
        <f>IFERROR(D116/(D116+'Trade Model'!D78),"")</f>
        <v/>
      </c>
      <c r="D19" s="813">
        <f>IFERROR(E116/(E116+'Trade Model'!E78),"")</f>
        <v/>
      </c>
      <c r="E19" s="813">
        <f>IFERROR(F116/(F116+'Trade Model'!F78),"")</f>
        <v/>
      </c>
      <c r="F19" s="813">
        <f>IFERROR(G116/(G116+'Trade Model'!G78),"")</f>
        <v/>
      </c>
      <c r="G19" s="813">
        <f>IFERROR(H116/(H116+'Trade Model'!H78),"")</f>
        <v/>
      </c>
      <c r="H19" s="813">
        <f>IFERROR(I116/(I116+'Trade Model'!I78),"")</f>
        <v/>
      </c>
      <c r="I19" s="849">
        <f>IFERROR(J116/(J116+'Trade Model'!J78),"")</f>
        <v/>
      </c>
      <c r="J19" s="576" t="n"/>
      <c r="K19" s="576" t="n"/>
      <c r="L19" s="576" t="n"/>
      <c r="M19" s="576" t="n"/>
      <c r="N19" s="576" t="n"/>
    </row>
    <row r="20" ht="15" customHeight="1" s="632" thickBot="1">
      <c r="A20" s="248" t="inlineStr">
        <is>
          <t>CAGR (FY26–FY33)</t>
        </is>
      </c>
      <c r="B20" s="850">
        <f>$K$116</f>
        <v/>
      </c>
      <c r="C20" s="791">
        <f>IFERROR((D116/$C$116)^(1/1)-1,"")</f>
        <v/>
      </c>
      <c r="D20" s="791">
        <f>IFERROR((E116/$C$116)^(1/2)-1,"")</f>
        <v/>
      </c>
      <c r="E20" s="791">
        <f>IFERROR((F116/$C$116)^(1/3)-1,"")</f>
        <v/>
      </c>
      <c r="F20" s="791">
        <f>IFERROR((G116/$C$116)^(1/4)-1,"")</f>
        <v/>
      </c>
      <c r="G20" s="791">
        <f>IFERROR((H116/$C$116)^(1/5)-1,"")</f>
        <v/>
      </c>
      <c r="H20" s="791">
        <f>IFERROR((I116/$C$116)^(1/6)-1,"")</f>
        <v/>
      </c>
      <c r="I20" s="851">
        <f>IFERROR((J116/$C$116)^(1/7)-1,"")</f>
        <v/>
      </c>
      <c r="J20" s="576" t="n"/>
      <c r="K20" s="576" t="n"/>
      <c r="L20" s="576" t="n"/>
      <c r="M20" s="576" t="n"/>
      <c r="N20" s="576" t="n"/>
    </row>
    <row r="21">
      <c r="A21" s="576" t="n"/>
      <c r="B21" s="577" t="n"/>
      <c r="C21" s="577" t="n"/>
      <c r="D21" s="577" t="n"/>
      <c r="E21" s="577" t="n"/>
      <c r="F21" s="577" t="n"/>
      <c r="G21" s="577" t="n"/>
      <c r="H21" s="577" t="n"/>
      <c r="I21" s="577" t="n"/>
      <c r="J21" s="576" t="n"/>
      <c r="K21" s="576" t="n"/>
      <c r="L21" s="576" t="n"/>
      <c r="M21" s="576" t="n"/>
      <c r="N21" s="576" t="n"/>
    </row>
    <row r="22">
      <c r="A22" s="576" t="n"/>
      <c r="B22" s="577" t="n"/>
      <c r="C22" s="577" t="n"/>
      <c r="D22" s="577" t="n"/>
      <c r="E22" s="577" t="n"/>
      <c r="F22" s="577" t="n"/>
      <c r="G22" s="577" t="n"/>
      <c r="H22" s="577" t="n"/>
      <c r="I22" s="577" t="n"/>
      <c r="J22" s="576" t="n"/>
      <c r="K22" s="576" t="n"/>
      <c r="L22" s="576" t="n"/>
      <c r="M22" s="576" t="n"/>
      <c r="N22" s="576" t="n"/>
    </row>
    <row r="23" ht="16.2" customHeight="1" s="632" thickBot="1">
      <c r="A23" s="493" t="inlineStr">
        <is>
          <t>Historical Demand</t>
        </is>
      </c>
      <c r="J23" s="576" t="n"/>
      <c r="K23" s="576" t="n"/>
      <c r="L23" s="576" t="n"/>
      <c r="M23" s="576" t="n"/>
      <c r="N23" s="576" t="n"/>
    </row>
    <row r="24" ht="29.4" customHeight="1" s="632" thickBot="1">
      <c r="A24" s="525" t="inlineStr">
        <is>
          <t>Year</t>
        </is>
      </c>
      <c r="B24" s="526" t="inlineStr">
        <is>
          <t>Consumption (Mt)</t>
        </is>
      </c>
      <c r="C24" s="526" t="inlineStr">
        <is>
          <t>Growth %</t>
        </is>
      </c>
      <c r="D24" s="527" t="inlineStr">
        <is>
          <t>Source</t>
        </is>
      </c>
      <c r="E24" s="577" t="n"/>
      <c r="F24" s="707" t="inlineStr">
        <is>
          <t>Ref</t>
        </is>
      </c>
      <c r="G24" s="577" t="n"/>
      <c r="H24" s="577" t="n"/>
      <c r="I24" s="577" t="n"/>
      <c r="J24" s="576" t="n"/>
      <c r="K24" s="576" t="n"/>
      <c r="L24" s="576" t="n"/>
      <c r="M24" s="576" t="n"/>
      <c r="N24" s="576" t="n"/>
    </row>
    <row r="25" ht="15" customHeight="1" s="632" thickTop="1">
      <c r="A25" s="246" t="inlineStr">
        <is>
          <t>FY21</t>
        </is>
      </c>
      <c r="B25" s="852" t="n">
        <v>94.89</v>
      </c>
      <c r="C25" s="853" t="n">
        <v>-0.0527</v>
      </c>
      <c r="D25" s="854" t="inlineStr">
        <is>
          <t>JPC / Ministry of Steel</t>
        </is>
      </c>
      <c r="E25" s="577" t="n"/>
      <c r="F25" s="577" t="n"/>
      <c r="G25" s="577" t="n"/>
      <c r="H25" s="577" t="n"/>
      <c r="I25" s="577" t="n"/>
      <c r="J25" s="576" t="n"/>
      <c r="K25" s="576" t="n"/>
      <c r="L25" s="576" t="n"/>
      <c r="M25" s="576" t="n"/>
      <c r="N25" s="576" t="n"/>
    </row>
    <row r="26">
      <c r="A26" s="247" t="inlineStr">
        <is>
          <t>FY22</t>
        </is>
      </c>
      <c r="B26" s="855" t="n">
        <v>105.75</v>
      </c>
      <c r="C26" s="856" t="n">
        <v>0.1144</v>
      </c>
      <c r="D26" s="857" t="inlineStr">
        <is>
          <t>JPC / Ministry of Steel</t>
        </is>
      </c>
      <c r="E26" s="577" t="n"/>
      <c r="F26" s="577" t="n"/>
      <c r="G26" s="577" t="n"/>
      <c r="H26" s="577" t="n"/>
      <c r="I26" s="577" t="n"/>
      <c r="J26" s="576" t="n"/>
      <c r="K26" s="576" t="n"/>
      <c r="L26" s="576" t="n"/>
      <c r="M26" s="576" t="n"/>
      <c r="N26" s="576" t="n"/>
    </row>
    <row r="27">
      <c r="A27" s="247" t="inlineStr">
        <is>
          <t>FY23</t>
        </is>
      </c>
      <c r="B27" s="855" t="n">
        <v>119.89</v>
      </c>
      <c r="C27" s="856" t="n">
        <v>0.1337</v>
      </c>
      <c r="D27" s="857" t="inlineStr">
        <is>
          <t>JPC / Ministry of Steel</t>
        </is>
      </c>
      <c r="E27" s="577" t="n"/>
      <c r="F27" s="577" t="n"/>
      <c r="G27" s="577" t="n"/>
      <c r="H27" s="577" t="n"/>
      <c r="I27" s="577" t="n"/>
      <c r="J27" s="576" t="n"/>
      <c r="K27" s="576" t="n"/>
      <c r="L27" s="576" t="n"/>
      <c r="M27" s="576" t="n"/>
      <c r="N27" s="576" t="n"/>
    </row>
    <row r="28">
      <c r="A28" s="247" t="inlineStr">
        <is>
          <t>FY24</t>
        </is>
      </c>
      <c r="B28" s="855" t="n">
        <v>136.29</v>
      </c>
      <c r="C28" s="856" t="n">
        <v>0.137</v>
      </c>
      <c r="D28" s="857" t="inlineStr">
        <is>
          <t>JPC / Ministry of Steel</t>
        </is>
      </c>
      <c r="E28" s="577" t="n"/>
      <c r="F28" s="577" t="n"/>
      <c r="G28" s="577" t="n"/>
      <c r="H28" s="577" t="n"/>
      <c r="I28" s="577" t="n"/>
      <c r="J28" s="576" t="n"/>
      <c r="K28" s="576" t="n"/>
      <c r="L28" s="576" t="n"/>
      <c r="M28" s="576" t="n"/>
      <c r="N28" s="576" t="n"/>
    </row>
    <row r="29">
      <c r="A29" s="247" t="inlineStr">
        <is>
          <t>FY25</t>
        </is>
      </c>
      <c r="B29" s="855" t="n">
        <v>152.13</v>
      </c>
      <c r="C29" s="856" t="n">
        <v>0.1162</v>
      </c>
      <c r="D29" s="857" t="inlineStr">
        <is>
          <t>JPC / Ministry of Steel</t>
        </is>
      </c>
      <c r="E29" s="577" t="n"/>
      <c r="F29" s="577" t="n"/>
      <c r="G29" s="577" t="n"/>
      <c r="H29" s="577" t="n"/>
      <c r="I29" s="577" t="n"/>
      <c r="J29" s="576" t="n"/>
      <c r="K29" s="576" t="n"/>
      <c r="L29" s="576" t="n"/>
      <c r="M29" s="576" t="n"/>
      <c r="N29" s="576" t="n"/>
    </row>
    <row r="30" ht="15" customHeight="1" s="632" thickBot="1">
      <c r="A30" s="248" t="inlineStr">
        <is>
          <t>FY26</t>
        </is>
      </c>
      <c r="B30" s="858" t="n">
        <v>164.19</v>
      </c>
      <c r="C30" s="859" t="n">
        <v>0.079</v>
      </c>
      <c r="D30" s="860" t="inlineStr">
        <is>
          <t>JPC / Ministry of Steel</t>
        </is>
      </c>
      <c r="E30" s="577" t="n"/>
      <c r="F30" s="708" t="inlineStr">
        <is>
          <t>DM01</t>
        </is>
      </c>
      <c r="G30" s="577" t="n"/>
      <c r="H30" s="577" t="n"/>
      <c r="I30" s="577" t="n"/>
      <c r="J30" s="576" t="n"/>
      <c r="K30" s="576" t="n"/>
      <c r="L30" s="576" t="n"/>
      <c r="M30" s="576" t="n"/>
      <c r="N30" s="576" t="n"/>
    </row>
    <row r="31">
      <c r="A31" s="576" t="n"/>
      <c r="B31" s="577" t="n"/>
      <c r="C31" s="577" t="n"/>
      <c r="D31" s="577" t="n"/>
      <c r="E31" s="577" t="n"/>
      <c r="F31" s="577" t="n"/>
      <c r="G31" s="577" t="n"/>
      <c r="H31" s="577" t="n"/>
      <c r="I31" s="577" t="n"/>
      <c r="J31" s="576" t="n"/>
      <c r="K31" s="576" t="n"/>
      <c r="L31" s="576" t="n"/>
      <c r="M31" s="576" t="n"/>
      <c r="N31" s="576" t="n"/>
    </row>
    <row r="32">
      <c r="A32" s="576" t="n"/>
      <c r="B32" s="577" t="n"/>
      <c r="C32" s="577" t="n"/>
      <c r="D32" s="577" t="n"/>
      <c r="E32" s="577" t="n"/>
      <c r="F32" s="577" t="n"/>
      <c r="G32" s="577" t="n"/>
      <c r="H32" s="577" t="n"/>
      <c r="I32" s="577" t="n"/>
      <c r="J32" s="576" t="n"/>
      <c r="K32" s="576" t="n"/>
      <c r="L32" s="576" t="n"/>
      <c r="M32" s="576" t="n"/>
      <c r="N32" s="576" t="n"/>
    </row>
    <row r="33" ht="16.2" customHeight="1" s="632" thickBot="1">
      <c r="A33" s="493" t="inlineStr">
        <is>
          <t>Sector Wise Demand</t>
        </is>
      </c>
      <c r="J33" s="576" t="n"/>
      <c r="K33" s="576" t="n"/>
      <c r="L33" s="576" t="n"/>
      <c r="M33" s="576" t="n"/>
      <c r="N33" s="576" t="n"/>
    </row>
    <row r="34" ht="15" customHeight="1" s="632" thickBot="1">
      <c r="A34" s="525" t="inlineStr">
        <is>
          <t>Sector</t>
        </is>
      </c>
      <c r="B34" s="526" t="inlineStr">
        <is>
          <t>FY26A Share</t>
        </is>
      </c>
      <c r="C34" s="526" t="inlineStr">
        <is>
          <t>FY27E</t>
        </is>
      </c>
      <c r="D34" s="526" t="inlineStr">
        <is>
          <t>FY28E</t>
        </is>
      </c>
      <c r="E34" s="526" t="inlineStr">
        <is>
          <t>FY29E</t>
        </is>
      </c>
      <c r="F34" s="526" t="inlineStr">
        <is>
          <t>FY30E</t>
        </is>
      </c>
      <c r="G34" s="526" t="inlineStr">
        <is>
          <t>FY31E</t>
        </is>
      </c>
      <c r="H34" s="526" t="inlineStr">
        <is>
          <t>FY32E</t>
        </is>
      </c>
      <c r="I34" s="527" t="inlineStr">
        <is>
          <t>FY33E</t>
        </is>
      </c>
      <c r="J34" s="576" t="n"/>
      <c r="K34" s="576" t="n"/>
      <c r="L34" s="576" t="n"/>
      <c r="M34" s="707" t="inlineStr">
        <is>
          <t>Ref</t>
        </is>
      </c>
      <c r="N34" s="576" t="n"/>
    </row>
    <row r="35" ht="15" customHeight="1" s="632" thickTop="1">
      <c r="A35" s="246" t="inlineStr">
        <is>
          <t>Construction</t>
        </is>
      </c>
      <c r="B35" s="861" t="n">
        <v>0.34</v>
      </c>
      <c r="C35" s="862">
        <f>($B$35+($K$35-$B$35)*1/7)/SUM($B$35:$B$44)</f>
        <v/>
      </c>
      <c r="D35" s="862">
        <f>($B$35+($K$35-$B$35)*2/7)/SUM($B$35:$B$44)</f>
        <v/>
      </c>
      <c r="E35" s="862">
        <f>($B$35+($K$35-$B$35)*3/7)/SUM($B$35:$B$44)</f>
        <v/>
      </c>
      <c r="F35" s="862">
        <f>($B$35+($K$35-$B$35)*4/7)/SUM($B$35:$B$44)</f>
        <v/>
      </c>
      <c r="G35" s="862">
        <f>($B$35+($K$35-$B$35)*5/7)/SUM($B$35:$B$44)</f>
        <v/>
      </c>
      <c r="H35" s="862">
        <f>($B$35+($K$35-$B$35)*6/7)/SUM($B$35:$B$44)</f>
        <v/>
      </c>
      <c r="I35" s="863">
        <f>($B$35+($K$35-$B$35)*7/7)/SUM($B$35:$B$44)</f>
        <v/>
      </c>
      <c r="J35" s="576" t="n"/>
      <c r="K35" s="864" t="n">
        <v>0.32</v>
      </c>
      <c r="L35" s="576" t="n"/>
      <c r="M35" s="708" t="inlineStr">
        <is>
          <t>DM02</t>
        </is>
      </c>
      <c r="N35" s="576" t="n"/>
    </row>
    <row r="36">
      <c r="A36" s="247" t="inlineStr">
        <is>
          <t>Infrastructure</t>
        </is>
      </c>
      <c r="B36" s="865" t="n">
        <v>0.19</v>
      </c>
      <c r="C36" s="866">
        <f>($B$36+($K$36-$B$36)*1/7)/SUM($B$35:$B$44)</f>
        <v/>
      </c>
      <c r="D36" s="866">
        <f>($B$36+($K$36-$B$36)*2/7)/SUM($B$35:$B$44)</f>
        <v/>
      </c>
      <c r="E36" s="866">
        <f>($B$36+($K$36-$B$36)*3/7)/SUM($B$35:$B$44)</f>
        <v/>
      </c>
      <c r="F36" s="866">
        <f>($B$36+($K$36-$B$36)*4/7)/SUM($B$35:$B$44)</f>
        <v/>
      </c>
      <c r="G36" s="866">
        <f>($B$36+($K$36-$B$36)*5/7)/SUM($B$35:$B$44)</f>
        <v/>
      </c>
      <c r="H36" s="866">
        <f>($B$36+($K$36-$B$36)*6/7)/SUM($B$35:$B$44)</f>
        <v/>
      </c>
      <c r="I36" s="867">
        <f>($B$36+($K$36-$B$36)*7/7)/SUM($B$35:$B$44)</f>
        <v/>
      </c>
      <c r="J36" s="576" t="n"/>
      <c r="K36" s="864" t="n">
        <v>0.22</v>
      </c>
      <c r="L36" s="576" t="n"/>
      <c r="M36" s="708" t="inlineStr">
        <is>
          <t>DM02</t>
        </is>
      </c>
      <c r="N36" s="576" t="n"/>
    </row>
    <row r="37">
      <c r="A37" s="247" t="inlineStr">
        <is>
          <t>Automotive</t>
        </is>
      </c>
      <c r="B37" s="865" t="n">
        <v>0.09</v>
      </c>
      <c r="C37" s="866">
        <f>($B$37+($K$37-$B$37)*1/7)/SUM($B$35:$B$44)</f>
        <v/>
      </c>
      <c r="D37" s="866">
        <f>($B$37+($K$37-$B$37)*2/7)/SUM($B$35:$B$44)</f>
        <v/>
      </c>
      <c r="E37" s="866">
        <f>($B$37+($K$37-$B$37)*3/7)/SUM($B$35:$B$44)</f>
        <v/>
      </c>
      <c r="F37" s="866">
        <f>($B$37+($K$37-$B$37)*4/7)/SUM($B$35:$B$44)</f>
        <v/>
      </c>
      <c r="G37" s="866">
        <f>($B$37+($K$37-$B$37)*5/7)/SUM($B$35:$B$44)</f>
        <v/>
      </c>
      <c r="H37" s="866">
        <f>($B$37+($K$37-$B$37)*6/7)/SUM($B$35:$B$44)</f>
        <v/>
      </c>
      <c r="I37" s="867">
        <f>($B$37+($K$37-$B$37)*7/7)/SUM($B$35:$B$44)</f>
        <v/>
      </c>
      <c r="J37" s="576" t="n"/>
      <c r="K37" s="864" t="n">
        <v>0.09</v>
      </c>
      <c r="L37" s="576" t="n"/>
      <c r="M37" s="708" t="inlineStr">
        <is>
          <t>DM02</t>
        </is>
      </c>
      <c r="N37" s="576" t="n"/>
    </row>
    <row r="38">
      <c r="A38" s="247" t="inlineStr">
        <is>
          <t>Engineering</t>
        </is>
      </c>
      <c r="B38" s="865" t="n">
        <v>0.08</v>
      </c>
      <c r="C38" s="866">
        <f>($B$38+($K$38-$B$38)*1/7)/SUM($B$35:$B$44)</f>
        <v/>
      </c>
      <c r="D38" s="866">
        <f>($B$38+($K$38-$B$38)*2/7)/SUM($B$35:$B$44)</f>
        <v/>
      </c>
      <c r="E38" s="866">
        <f>($B$38+($K$38-$B$38)*3/7)/SUM($B$35:$B$44)</f>
        <v/>
      </c>
      <c r="F38" s="866">
        <f>($B$38+($K$38-$B$38)*4/7)/SUM($B$35:$B$44)</f>
        <v/>
      </c>
      <c r="G38" s="866">
        <f>($B$38+($K$38-$B$38)*5/7)/SUM($B$35:$B$44)</f>
        <v/>
      </c>
      <c r="H38" s="866">
        <f>($B$38+($K$38-$B$38)*6/7)/SUM($B$35:$B$44)</f>
        <v/>
      </c>
      <c r="I38" s="867">
        <f>($B$38+($K$38-$B$38)*7/7)/SUM($B$35:$B$44)</f>
        <v/>
      </c>
      <c r="J38" s="576" t="n"/>
      <c r="K38" s="864" t="n">
        <v>0.08</v>
      </c>
      <c r="L38" s="576" t="n"/>
      <c r="M38" s="708" t="inlineStr">
        <is>
          <t>DM02</t>
        </is>
      </c>
      <c r="N38" s="576" t="n"/>
    </row>
    <row r="39">
      <c r="A39" s="247" t="inlineStr">
        <is>
          <t>Capital Goods</t>
        </is>
      </c>
      <c r="B39" s="865" t="n">
        <v>0.07000000000000001</v>
      </c>
      <c r="C39" s="866">
        <f>($B$39+($K$39-$B$39)*1/7)/SUM($B$35:$B$44)</f>
        <v/>
      </c>
      <c r="D39" s="866">
        <f>($B$39+($K$39-$B$39)*2/7)/SUM($B$35:$B$44)</f>
        <v/>
      </c>
      <c r="E39" s="866">
        <f>($B$39+($K$39-$B$39)*3/7)/SUM($B$35:$B$44)</f>
        <v/>
      </c>
      <c r="F39" s="866">
        <f>($B$39+($K$39-$B$39)*4/7)/SUM($B$35:$B$44)</f>
        <v/>
      </c>
      <c r="G39" s="866">
        <f>($B$39+($K$39-$B$39)*5/7)/SUM($B$35:$B$44)</f>
        <v/>
      </c>
      <c r="H39" s="866">
        <f>($B$39+($K$39-$B$39)*6/7)/SUM($B$35:$B$44)</f>
        <v/>
      </c>
      <c r="I39" s="867">
        <f>($B$39+($K$39-$B$39)*7/7)/SUM($B$35:$B$44)</f>
        <v/>
      </c>
      <c r="J39" s="576" t="n"/>
      <c r="K39" s="864" t="n">
        <v>0.07000000000000001</v>
      </c>
      <c r="L39" s="576" t="n"/>
      <c r="M39" s="708" t="inlineStr">
        <is>
          <t>DM02</t>
        </is>
      </c>
      <c r="N39" s="576" t="n"/>
    </row>
    <row r="40">
      <c r="A40" s="247" t="inlineStr">
        <is>
          <t>Railways</t>
        </is>
      </c>
      <c r="B40" s="865" t="n">
        <v>0.04</v>
      </c>
      <c r="C40" s="866">
        <f>($B$40+($K$40-$B$40)*1/7)/SUM($B$35:$B$44)</f>
        <v/>
      </c>
      <c r="D40" s="866">
        <f>($B$40+($K$40-$B$40)*2/7)/SUM($B$35:$B$44)</f>
        <v/>
      </c>
      <c r="E40" s="866">
        <f>($B$40+($K$40-$B$40)*3/7)/SUM($B$35:$B$44)</f>
        <v/>
      </c>
      <c r="F40" s="866">
        <f>($B$40+($K$40-$B$40)*4/7)/SUM($B$35:$B$44)</f>
        <v/>
      </c>
      <c r="G40" s="866">
        <f>($B$40+($K$40-$B$40)*5/7)/SUM($B$35:$B$44)</f>
        <v/>
      </c>
      <c r="H40" s="866">
        <f>($B$40+($K$40-$B$40)*6/7)/SUM($B$35:$B$44)</f>
        <v/>
      </c>
      <c r="I40" s="867">
        <f>($B$40+($K$40-$B$40)*7/7)/SUM($B$35:$B$44)</f>
        <v/>
      </c>
      <c r="J40" s="576" t="n"/>
      <c r="K40" s="864" t="n">
        <v>0.04</v>
      </c>
      <c r="L40" s="576" t="n"/>
      <c r="M40" s="708" t="inlineStr">
        <is>
          <t>DM02</t>
        </is>
      </c>
      <c r="N40" s="576" t="n"/>
    </row>
    <row r="41">
      <c r="A41" s="247" t="inlineStr">
        <is>
          <t>Oil &amp; Gas</t>
        </is>
      </c>
      <c r="B41" s="865" t="n">
        <v>0.04</v>
      </c>
      <c r="C41" s="866">
        <f>($B$41+($K$41-$B$41)*1/7)/SUM($B$35:$B$44)</f>
        <v/>
      </c>
      <c r="D41" s="866">
        <f>($B$41+($K$41-$B$41)*2/7)/SUM($B$35:$B$44)</f>
        <v/>
      </c>
      <c r="E41" s="866">
        <f>($B$41+($K$41-$B$41)*3/7)/SUM($B$35:$B$44)</f>
        <v/>
      </c>
      <c r="F41" s="866">
        <f>($B$41+($K$41-$B$41)*4/7)/SUM($B$35:$B$44)</f>
        <v/>
      </c>
      <c r="G41" s="866">
        <f>($B$41+($K$41-$B$41)*5/7)/SUM($B$35:$B$44)</f>
        <v/>
      </c>
      <c r="H41" s="866">
        <f>($B$41+($K$41-$B$41)*6/7)/SUM($B$35:$B$44)</f>
        <v/>
      </c>
      <c r="I41" s="867">
        <f>($B$41+($K$41-$B$41)*7/7)/SUM($B$35:$B$44)</f>
        <v/>
      </c>
      <c r="J41" s="576" t="n"/>
      <c r="K41" s="864" t="n">
        <v>0.03</v>
      </c>
      <c r="L41" s="576" t="n"/>
      <c r="M41" s="708" t="inlineStr">
        <is>
          <t>DM02</t>
        </is>
      </c>
      <c r="N41" s="576" t="n"/>
    </row>
    <row r="42">
      <c r="A42" s="247" t="inlineStr">
        <is>
          <t>Consumer Durables</t>
        </is>
      </c>
      <c r="B42" s="865" t="n">
        <v>0.05</v>
      </c>
      <c r="C42" s="866">
        <f>($B$42+($K$42-$B$42)*1/7)/SUM($B$35:$B$44)</f>
        <v/>
      </c>
      <c r="D42" s="866">
        <f>($B$42+($K$42-$B$42)*2/7)/SUM($B$35:$B$44)</f>
        <v/>
      </c>
      <c r="E42" s="866">
        <f>($B$42+($K$42-$B$42)*3/7)/SUM($B$35:$B$44)</f>
        <v/>
      </c>
      <c r="F42" s="866">
        <f>($B$42+($K$42-$B$42)*4/7)/SUM($B$35:$B$44)</f>
        <v/>
      </c>
      <c r="G42" s="866">
        <f>($B$42+($K$42-$B$42)*5/7)/SUM($B$35:$B$44)</f>
        <v/>
      </c>
      <c r="H42" s="866">
        <f>($B$42+($K$42-$B$42)*6/7)/SUM($B$35:$B$44)</f>
        <v/>
      </c>
      <c r="I42" s="867">
        <f>($B$42+($K$42-$B$42)*7/7)/SUM($B$35:$B$44)</f>
        <v/>
      </c>
      <c r="J42" s="576" t="n"/>
      <c r="K42" s="864" t="n">
        <v>0.05</v>
      </c>
      <c r="L42" s="576" t="n"/>
      <c r="M42" s="708" t="inlineStr">
        <is>
          <t>DM02</t>
        </is>
      </c>
      <c r="N42" s="576" t="n"/>
    </row>
    <row r="43">
      <c r="A43" s="247" t="inlineStr">
        <is>
          <t>Renewable Energy</t>
        </is>
      </c>
      <c r="B43" s="865" t="n">
        <v>0.02</v>
      </c>
      <c r="C43" s="866">
        <f>($B$43+($K$43-$B$43)*1/7)/SUM($B$35:$B$44)</f>
        <v/>
      </c>
      <c r="D43" s="866">
        <f>($B$43+($K$43-$B$43)*2/7)/SUM($B$35:$B$44)</f>
        <v/>
      </c>
      <c r="E43" s="866">
        <f>($B$43+($K$43-$B$43)*3/7)/SUM($B$35:$B$44)</f>
        <v/>
      </c>
      <c r="F43" s="866">
        <f>($B$43+($K$43-$B$43)*4/7)/SUM($B$35:$B$44)</f>
        <v/>
      </c>
      <c r="G43" s="866">
        <f>($B$43+($K$43-$B$43)*5/7)/SUM($B$35:$B$44)</f>
        <v/>
      </c>
      <c r="H43" s="866">
        <f>($B$43+($K$43-$B$43)*6/7)/SUM($B$35:$B$44)</f>
        <v/>
      </c>
      <c r="I43" s="867">
        <f>($B$43+($K$43-$B$43)*7/7)/SUM($B$35:$B$44)</f>
        <v/>
      </c>
      <c r="J43" s="576" t="n"/>
      <c r="K43" s="864" t="n">
        <v>0.04</v>
      </c>
      <c r="L43" s="576" t="n"/>
      <c r="M43" s="708" t="inlineStr">
        <is>
          <t>DM02</t>
        </is>
      </c>
      <c r="N43" s="576" t="n"/>
    </row>
    <row r="44">
      <c r="A44" s="247" t="inlineStr">
        <is>
          <t>Others</t>
        </is>
      </c>
      <c r="B44" s="865" t="n">
        <v>0.08</v>
      </c>
      <c r="C44" s="866">
        <f>($B$44+($K$44-$B$44)*1/7)/SUM($B$35:$B$44)</f>
        <v/>
      </c>
      <c r="D44" s="866">
        <f>($B$44+($K$44-$B$44)*2/7)/SUM($B$35:$B$44)</f>
        <v/>
      </c>
      <c r="E44" s="866">
        <f>($B$44+($K$44-$B$44)*3/7)/SUM($B$35:$B$44)</f>
        <v/>
      </c>
      <c r="F44" s="866">
        <f>($B$44+($K$44-$B$44)*4/7)/SUM($B$35:$B$44)</f>
        <v/>
      </c>
      <c r="G44" s="866">
        <f>($B$44+($K$44-$B$44)*5/7)/SUM($B$35:$B$44)</f>
        <v/>
      </c>
      <c r="H44" s="866">
        <f>($B$44+($K$44-$B$44)*6/7)/SUM($B$35:$B$44)</f>
        <v/>
      </c>
      <c r="I44" s="867">
        <f>($B$44+($K$44-$B$44)*7/7)/SUM($B$35:$B$44)</f>
        <v/>
      </c>
      <c r="J44" s="576" t="n"/>
      <c r="K44" s="864" t="n">
        <v>0.06</v>
      </c>
      <c r="L44" s="576" t="n"/>
      <c r="M44" s="708" t="inlineStr">
        <is>
          <t>DM02</t>
        </is>
      </c>
      <c r="N44" s="576" t="n"/>
    </row>
    <row r="45" ht="15" customHeight="1" s="632" thickBot="1">
      <c r="A45" s="307" t="inlineStr">
        <is>
          <t>Total</t>
        </is>
      </c>
      <c r="B45" s="868">
        <f>SUM(B35:B44)</f>
        <v/>
      </c>
      <c r="C45" s="869">
        <f>SUM(C35:C44)</f>
        <v/>
      </c>
      <c r="D45" s="869">
        <f>SUM(D35:D44)</f>
        <v/>
      </c>
      <c r="E45" s="869">
        <f>SUM(E35:E44)</f>
        <v/>
      </c>
      <c r="F45" s="869">
        <f>SUM(F35:F44)</f>
        <v/>
      </c>
      <c r="G45" s="869">
        <f>SUM(G35:G44)</f>
        <v/>
      </c>
      <c r="H45" s="869">
        <f>SUM(H35:H44)</f>
        <v/>
      </c>
      <c r="I45" s="870">
        <f>SUM(I35:I44)</f>
        <v/>
      </c>
      <c r="J45" s="576" t="n"/>
      <c r="K45" s="576" t="n"/>
      <c r="L45" s="576" t="n"/>
      <c r="M45" s="576" t="n"/>
      <c r="N45" s="576" t="n"/>
    </row>
    <row r="46">
      <c r="A46" s="576" t="n"/>
      <c r="B46" s="577" t="n"/>
      <c r="C46" s="577" t="n"/>
      <c r="D46" s="577" t="n"/>
      <c r="E46" s="577" t="n"/>
      <c r="F46" s="577" t="n"/>
      <c r="G46" s="577" t="n"/>
      <c r="H46" s="577" t="n"/>
      <c r="I46" s="577" t="n"/>
      <c r="J46" s="576" t="n"/>
      <c r="K46" s="576" t="n"/>
      <c r="L46" s="576" t="n"/>
      <c r="M46" s="576" t="n"/>
      <c r="N46" s="576" t="n"/>
    </row>
    <row r="47">
      <c r="A47" s="576" t="n"/>
      <c r="B47" s="577" t="n"/>
      <c r="C47" s="577" t="n"/>
      <c r="D47" s="577" t="n"/>
      <c r="E47" s="577" t="n"/>
      <c r="F47" s="577" t="n"/>
      <c r="G47" s="577" t="n"/>
      <c r="H47" s="577" t="n"/>
      <c r="I47" s="577" t="n"/>
      <c r="J47" s="576" t="n"/>
      <c r="K47" s="576" t="n"/>
      <c r="L47" s="576" t="n"/>
      <c r="M47" s="576" t="n"/>
      <c r="N47" s="576" t="n"/>
    </row>
    <row r="48" ht="16.2" customHeight="1" s="632" thickBot="1">
      <c r="A48" s="493" t="inlineStr">
        <is>
          <t>Demand Drivers</t>
        </is>
      </c>
      <c r="K48" s="576" t="n"/>
      <c r="L48" s="576" t="n"/>
      <c r="M48" s="576" t="n"/>
      <c r="N48" s="576" t="n"/>
    </row>
    <row r="49" ht="15" customHeight="1" s="632" thickBot="1">
      <c r="A49" s="525" t="inlineStr">
        <is>
          <t>Driver</t>
        </is>
      </c>
      <c r="B49" s="567" t="inlineStr">
        <is>
          <t>Weight</t>
        </is>
      </c>
      <c r="C49" s="567" t="inlineStr">
        <is>
          <t>FY27E</t>
        </is>
      </c>
      <c r="D49" s="567" t="inlineStr">
        <is>
          <t>FY28E</t>
        </is>
      </c>
      <c r="E49" s="567" t="inlineStr">
        <is>
          <t>FY29E</t>
        </is>
      </c>
      <c r="F49" s="526" t="inlineStr">
        <is>
          <t>FY30E</t>
        </is>
      </c>
      <c r="G49" s="526" t="inlineStr">
        <is>
          <t>FY31E</t>
        </is>
      </c>
      <c r="H49" s="526" t="inlineStr">
        <is>
          <t>FY32E</t>
        </is>
      </c>
      <c r="I49" s="526" t="inlineStr">
        <is>
          <t>FY33E</t>
        </is>
      </c>
      <c r="J49" s="560" t="inlineStr">
        <is>
          <t>Impact</t>
        </is>
      </c>
      <c r="K49" s="576" t="n"/>
      <c r="L49" s="707" t="inlineStr">
        <is>
          <t>Ref</t>
        </is>
      </c>
      <c r="M49" s="576" t="n"/>
      <c r="N49" s="576" t="n"/>
    </row>
    <row r="50" ht="15" customHeight="1" s="632" thickTop="1">
      <c r="A50" s="246" t="inlineStr">
        <is>
          <t>GDP Growth</t>
        </is>
      </c>
      <c r="B50" s="871" t="n">
        <v>0.3</v>
      </c>
      <c r="C50" s="872">
        <f>'Macroeconomic Model'!D$101</f>
        <v/>
      </c>
      <c r="D50" s="872">
        <f>'Macroeconomic Model'!E$101</f>
        <v/>
      </c>
      <c r="E50" s="872">
        <f>'Macroeconomic Model'!F$101</f>
        <v/>
      </c>
      <c r="F50" s="873">
        <f>'Macroeconomic Model'!G$101</f>
        <v/>
      </c>
      <c r="G50" s="873">
        <f>'Macroeconomic Model'!H$101</f>
        <v/>
      </c>
      <c r="H50" s="873">
        <f>'Macroeconomic Model'!I$101</f>
        <v/>
      </c>
      <c r="I50" s="873">
        <f>'Macroeconomic Model'!J$101</f>
        <v/>
      </c>
      <c r="J50" s="820">
        <f>"Every volume forecast in the workbook resolves from this row through an elasticity of "&amp;TEXT('Model Assumptions'!$E$9,"0.00")&amp;"x tapering to "&amp;TEXT('Model Assumptions'!$K$9,"0.00")&amp;"x."</f>
        <v/>
      </c>
      <c r="K50" s="576" t="n"/>
      <c r="L50" s="708" t="inlineStr">
        <is>
          <t>DM03</t>
        </is>
      </c>
      <c r="M50" s="576" t="n"/>
      <c r="N50" s="576" t="n"/>
    </row>
    <row r="51">
      <c r="A51" s="247" t="inlineStr">
        <is>
          <t>Construction Growth</t>
        </is>
      </c>
      <c r="B51" s="874" t="n">
        <v>0.2</v>
      </c>
      <c r="C51" s="875">
        <f>'Macroeconomic Model'!C17</f>
        <v/>
      </c>
      <c r="D51" s="875">
        <f>'Macroeconomic Model'!D17</f>
        <v/>
      </c>
      <c r="E51" s="875">
        <f>'Macroeconomic Model'!E17</f>
        <v/>
      </c>
      <c r="F51" s="845">
        <f>'Macroeconomic Model'!F17</f>
        <v/>
      </c>
      <c r="G51" s="845">
        <f>'Macroeconomic Model'!G17</f>
        <v/>
      </c>
      <c r="H51" s="845">
        <f>'Macroeconomic Model'!H17</f>
        <v/>
      </c>
      <c r="I51" s="845">
        <f>'Macroeconomic Model'!I17</f>
        <v/>
      </c>
      <c r="J51" s="823">
        <f>"Weight "&amp;TEXT($B51,"0%")&amp;". Contributes "&amp;TEXT($B51*I51,"0.0%")&amp;" to the FY2033E weighted signal."</f>
        <v/>
      </c>
      <c r="K51" s="576" t="n"/>
      <c r="L51" s="708" t="inlineStr">
        <is>
          <t>DM03</t>
        </is>
      </c>
      <c r="M51" s="576" t="n"/>
      <c r="N51" s="576" t="n"/>
    </row>
    <row r="52">
      <c r="A52" s="247" t="inlineStr">
        <is>
          <t>Infrastructure Spending</t>
        </is>
      </c>
      <c r="B52" s="874" t="n">
        <v>0.15</v>
      </c>
      <c r="C52" s="875">
        <f>'Macroeconomic Model'!C16</f>
        <v/>
      </c>
      <c r="D52" s="875">
        <f>'Macroeconomic Model'!D16</f>
        <v/>
      </c>
      <c r="E52" s="875">
        <f>'Macroeconomic Model'!E16</f>
        <v/>
      </c>
      <c r="F52" s="845">
        <f>'Macroeconomic Model'!F16</f>
        <v/>
      </c>
      <c r="G52" s="845">
        <f>'Macroeconomic Model'!G16</f>
        <v/>
      </c>
      <c r="H52" s="845">
        <f>'Macroeconomic Model'!H16</f>
        <v/>
      </c>
      <c r="I52" s="845">
        <f>'Macroeconomic Model'!I16</f>
        <v/>
      </c>
      <c r="J52" s="823">
        <f>"Weight "&amp;TEXT($B52,"0%")&amp;". Contributes "&amp;TEXT($B52*I52,"0.0%")&amp;" to the FY2033E weighted signal."</f>
        <v/>
      </c>
      <c r="K52" s="576" t="n"/>
      <c r="L52" s="708" t="inlineStr">
        <is>
          <t>DM03</t>
        </is>
      </c>
      <c r="M52" s="576" t="n"/>
      <c r="N52" s="576" t="n"/>
    </row>
    <row r="53">
      <c r="A53" s="247" t="inlineStr">
        <is>
          <t>Auto Production</t>
        </is>
      </c>
      <c r="B53" s="874" t="n">
        <v>0.1</v>
      </c>
      <c r="C53" s="875">
        <f>'Macroeconomic Model'!C18</f>
        <v/>
      </c>
      <c r="D53" s="875">
        <f>'Macroeconomic Model'!D18</f>
        <v/>
      </c>
      <c r="E53" s="875">
        <f>'Macroeconomic Model'!E18</f>
        <v/>
      </c>
      <c r="F53" s="845">
        <f>'Macroeconomic Model'!F18</f>
        <v/>
      </c>
      <c r="G53" s="845">
        <f>'Macroeconomic Model'!G18</f>
        <v/>
      </c>
      <c r="H53" s="845">
        <f>'Macroeconomic Model'!H18</f>
        <v/>
      </c>
      <c r="I53" s="845">
        <f>'Macroeconomic Model'!I18</f>
        <v/>
      </c>
      <c r="J53" s="823">
        <f>"Weight "&amp;TEXT($B53,"0%")&amp;". Contributes "&amp;TEXT($B53*I53,"0.0%")&amp;" to the FY2033E weighted signal."</f>
        <v/>
      </c>
      <c r="K53" s="576" t="n"/>
      <c r="L53" s="708" t="inlineStr">
        <is>
          <t>DM03</t>
        </is>
      </c>
      <c r="M53" s="576" t="n"/>
      <c r="N53" s="576" t="n"/>
    </row>
    <row r="54">
      <c r="A54" s="247" t="inlineStr">
        <is>
          <t>Manufacturing</t>
        </is>
      </c>
      <c r="B54" s="874" t="n">
        <v>0.1</v>
      </c>
      <c r="C54" s="875">
        <f>'Macroeconomic Model'!C15</f>
        <v/>
      </c>
      <c r="D54" s="875">
        <f>'Macroeconomic Model'!D15</f>
        <v/>
      </c>
      <c r="E54" s="875">
        <f>'Macroeconomic Model'!E15</f>
        <v/>
      </c>
      <c r="F54" s="845">
        <f>'Macroeconomic Model'!F15</f>
        <v/>
      </c>
      <c r="G54" s="845">
        <f>'Macroeconomic Model'!G15</f>
        <v/>
      </c>
      <c r="H54" s="845">
        <f>'Macroeconomic Model'!H15</f>
        <v/>
      </c>
      <c r="I54" s="845">
        <f>'Macroeconomic Model'!I15</f>
        <v/>
      </c>
      <c r="J54" s="823">
        <f>"Weight "&amp;TEXT($B54,"0%")&amp;". Contributes "&amp;TEXT($B54*I54,"0.0%")&amp;" to the FY2033E weighted signal."</f>
        <v/>
      </c>
      <c r="K54" s="576" t="n"/>
      <c r="L54" s="708" t="inlineStr">
        <is>
          <t>DM03</t>
        </is>
      </c>
      <c r="M54" s="576" t="n"/>
      <c r="N54" s="576" t="n"/>
    </row>
    <row r="55">
      <c r="A55" s="247" t="inlineStr">
        <is>
          <t>Government Capex</t>
        </is>
      </c>
      <c r="B55" s="874" t="n">
        <v>0.1</v>
      </c>
      <c r="C55" s="875">
        <f>'Macroeconomic Model'!C16</f>
        <v/>
      </c>
      <c r="D55" s="875">
        <f>'Macroeconomic Model'!D16</f>
        <v/>
      </c>
      <c r="E55" s="875">
        <f>'Macroeconomic Model'!E16</f>
        <v/>
      </c>
      <c r="F55" s="845">
        <f>'Macroeconomic Model'!F16</f>
        <v/>
      </c>
      <c r="G55" s="845">
        <f>'Macroeconomic Model'!G16</f>
        <v/>
      </c>
      <c r="H55" s="845">
        <f>'Macroeconomic Model'!H16</f>
        <v/>
      </c>
      <c r="I55" s="845">
        <f>'Macroeconomic Model'!I16</f>
        <v/>
      </c>
      <c r="J55" s="823">
        <f>"Weight "&amp;TEXT($B55,"0%")&amp;". Contributes "&amp;TEXT($B55*I55,"0.0%")&amp;" to the FY2033E weighted signal."</f>
        <v/>
      </c>
      <c r="K55" s="576" t="n"/>
      <c r="L55" s="708" t="inlineStr">
        <is>
          <t>DM03</t>
        </is>
      </c>
      <c r="M55" s="576" t="n"/>
      <c r="N55" s="576" t="n"/>
    </row>
    <row r="56" ht="15" customHeight="1" s="632" thickBot="1">
      <c r="A56" s="248" t="inlineStr">
        <is>
          <t>Exports</t>
        </is>
      </c>
      <c r="B56" s="876" t="n">
        <v>0.05</v>
      </c>
      <c r="C56" s="877">
        <f>'Trade Model'!D$78</f>
        <v/>
      </c>
      <c r="D56" s="877">
        <f>'Trade Model'!E$78</f>
        <v/>
      </c>
      <c r="E56" s="877">
        <f>'Trade Model'!F$78</f>
        <v/>
      </c>
      <c r="F56" s="878">
        <f>'Trade Model'!G$78</f>
        <v/>
      </c>
      <c r="G56" s="878">
        <f>'Trade Model'!H$78</f>
        <v/>
      </c>
      <c r="H56" s="878">
        <f>'Trade Model'!I$78</f>
        <v/>
      </c>
      <c r="I56" s="878">
        <f>'Trade Model'!J$78</f>
        <v/>
      </c>
      <c r="J56" s="826">
        <f>"Exports are "&amp;TEXT('Trade Model'!$C$84,"0.0%")&amp;" of finished production in FY2026A and "&amp;TEXT('Trade Model'!$J$84,"0.0%")&amp;" in FY2033E. India is a domestic market; exports are the residual, not the driver."</f>
        <v/>
      </c>
      <c r="K56" s="576" t="n"/>
      <c r="L56" s="708" t="inlineStr">
        <is>
          <t>DM03</t>
        </is>
      </c>
      <c r="M56" s="576" t="n"/>
      <c r="N56" s="576" t="n"/>
    </row>
    <row r="57">
      <c r="A57" s="576" t="n"/>
      <c r="B57" s="879">
        <f>SUM(B50:B56)</f>
        <v/>
      </c>
      <c r="C57" s="577" t="n"/>
      <c r="D57" s="577" t="n"/>
      <c r="E57" s="577" t="n"/>
      <c r="F57" s="577" t="n"/>
      <c r="G57" s="577" t="n"/>
      <c r="H57" s="577" t="n"/>
      <c r="I57" s="577" t="n"/>
      <c r="J57" s="880">
        <f>"Weights sum to "&amp;TEXT($B$57,"0%")&amp;". This table is presentational: the demand forecast itself runs off real GDP growth times the elasticity on row 114."</f>
        <v/>
      </c>
      <c r="K57" s="576" t="n"/>
      <c r="L57" s="576" t="n"/>
      <c r="M57" s="576" t="n"/>
      <c r="N57" s="576" t="n"/>
    </row>
    <row r="58">
      <c r="A58" s="576" t="n"/>
      <c r="B58" s="577" t="n"/>
      <c r="C58" s="577" t="n"/>
      <c r="D58" s="577" t="n"/>
      <c r="E58" s="577" t="n"/>
      <c r="F58" s="577" t="n"/>
      <c r="G58" s="577" t="n"/>
      <c r="H58" s="577" t="n"/>
      <c r="I58" s="577" t="n"/>
      <c r="J58" s="576" t="n"/>
      <c r="K58" s="576" t="n"/>
      <c r="L58" s="576" t="n"/>
      <c r="M58" s="576" t="n"/>
      <c r="N58" s="576" t="n"/>
    </row>
    <row r="59" ht="16.2" customHeight="1" s="632" thickBot="1">
      <c r="A59" s="493" t="inlineStr">
        <is>
          <t>Per Capita Analysis</t>
        </is>
      </c>
      <c r="J59" s="576" t="n"/>
      <c r="K59" s="576" t="n"/>
      <c r="L59" s="576" t="n"/>
      <c r="M59" s="576" t="n"/>
      <c r="N59" s="576" t="n"/>
    </row>
    <row r="60" ht="43.8" customHeight="1" s="632" thickBot="1">
      <c r="A60" s="525" t="inlineStr">
        <is>
          <t>Year</t>
        </is>
      </c>
      <c r="B60" s="567" t="inlineStr">
        <is>
          <t>Population (Mn)</t>
        </is>
      </c>
      <c r="C60" s="567" t="inlineStr">
        <is>
          <t>Steel Consumption (Mt)</t>
        </is>
      </c>
      <c r="D60" s="560" t="inlineStr">
        <is>
          <t>Per Capita (kg)</t>
        </is>
      </c>
      <c r="E60" s="577" t="n"/>
      <c r="F60" s="707" t="inlineStr">
        <is>
          <t>Ref</t>
        </is>
      </c>
      <c r="G60" s="577" t="n"/>
      <c r="H60" s="577" t="n"/>
      <c r="I60" s="577" t="n"/>
      <c r="J60" s="576" t="n"/>
      <c r="K60" s="576" t="n"/>
      <c r="L60" s="576" t="n"/>
      <c r="M60" s="576" t="n"/>
      <c r="N60" s="576" t="n"/>
    </row>
    <row r="61" ht="15" customHeight="1" s="632" thickTop="1">
      <c r="A61" s="246" t="inlineStr">
        <is>
          <t>FY26</t>
        </is>
      </c>
      <c r="B61" s="827">
        <f>$C$119*1000</f>
        <v/>
      </c>
      <c r="C61" s="827">
        <f>$C$116</f>
        <v/>
      </c>
      <c r="D61" s="881">
        <f>IFERROR(C61/B61*1000,"")</f>
        <v/>
      </c>
      <c r="E61" s="577" t="n"/>
      <c r="F61" s="577" t="n"/>
      <c r="G61" s="577" t="n"/>
      <c r="H61" s="577" t="n"/>
      <c r="I61" s="577" t="n"/>
      <c r="J61" s="576" t="n"/>
      <c r="K61" s="576" t="n"/>
      <c r="L61" s="576" t="n"/>
      <c r="M61" s="576" t="n"/>
      <c r="N61" s="576" t="n"/>
    </row>
    <row r="62">
      <c r="A62" s="247" t="inlineStr">
        <is>
          <t>FY27</t>
        </is>
      </c>
      <c r="B62" s="828">
        <f>$D$119*1000</f>
        <v/>
      </c>
      <c r="C62" s="828">
        <f>$D$116</f>
        <v/>
      </c>
      <c r="D62" s="882">
        <f>IFERROR(C62/B62*1000,"")</f>
        <v/>
      </c>
      <c r="E62" s="577" t="n"/>
      <c r="F62" s="577" t="n"/>
      <c r="G62" s="577" t="n"/>
      <c r="H62" s="577" t="n"/>
      <c r="I62" s="577" t="n"/>
      <c r="J62" s="576" t="n"/>
      <c r="K62" s="576" t="n"/>
      <c r="L62" s="576" t="n"/>
      <c r="M62" s="576" t="n"/>
      <c r="N62" s="576" t="n"/>
    </row>
    <row r="63">
      <c r="A63" s="247" t="inlineStr">
        <is>
          <t>FY28</t>
        </is>
      </c>
      <c r="B63" s="828">
        <f>$E$119*1000</f>
        <v/>
      </c>
      <c r="C63" s="828">
        <f>$E$116</f>
        <v/>
      </c>
      <c r="D63" s="882">
        <f>IFERROR(C63/B63*1000,"")</f>
        <v/>
      </c>
      <c r="E63" s="577" t="n"/>
      <c r="F63" s="577" t="n"/>
      <c r="G63" s="577" t="n"/>
      <c r="H63" s="577" t="n"/>
      <c r="I63" s="577" t="n"/>
      <c r="J63" s="576" t="n"/>
      <c r="K63" s="576" t="n"/>
      <c r="L63" s="576" t="n"/>
      <c r="M63" s="576" t="n"/>
      <c r="N63" s="576" t="n"/>
    </row>
    <row r="64">
      <c r="A64" s="247" t="inlineStr">
        <is>
          <t>FY29</t>
        </is>
      </c>
      <c r="B64" s="828">
        <f>$F$119*1000</f>
        <v/>
      </c>
      <c r="C64" s="828">
        <f>$F$116</f>
        <v/>
      </c>
      <c r="D64" s="882">
        <f>IFERROR(C64/B64*1000,"")</f>
        <v/>
      </c>
      <c r="E64" s="577" t="n"/>
      <c r="F64" s="577" t="n"/>
      <c r="G64" s="577" t="n"/>
      <c r="H64" s="577" t="n"/>
      <c r="I64" s="577" t="n"/>
      <c r="J64" s="576" t="n"/>
      <c r="K64" s="576" t="n"/>
      <c r="L64" s="576" t="n"/>
      <c r="M64" s="576" t="n"/>
      <c r="N64" s="576" t="n"/>
    </row>
    <row r="65">
      <c r="A65" s="247" t="inlineStr">
        <is>
          <t>FY30</t>
        </is>
      </c>
      <c r="B65" s="828">
        <f>$G$119*1000</f>
        <v/>
      </c>
      <c r="C65" s="828">
        <f>$G$116</f>
        <v/>
      </c>
      <c r="D65" s="882">
        <f>IFERROR(C65/B65*1000,"")</f>
        <v/>
      </c>
      <c r="E65" s="577" t="n"/>
      <c r="F65" s="577" t="n"/>
      <c r="G65" s="577" t="n"/>
      <c r="H65" s="577" t="n"/>
      <c r="I65" s="577" t="n"/>
      <c r="J65" s="576" t="n"/>
      <c r="K65" s="576" t="n"/>
      <c r="L65" s="576" t="n"/>
      <c r="M65" s="576" t="n"/>
      <c r="N65" s="576" t="n"/>
    </row>
    <row r="66">
      <c r="A66" s="247" t="inlineStr">
        <is>
          <t>FY31</t>
        </is>
      </c>
      <c r="B66" s="828">
        <f>$H$119*1000</f>
        <v/>
      </c>
      <c r="C66" s="828">
        <f>$H$116</f>
        <v/>
      </c>
      <c r="D66" s="882">
        <f>IFERROR(C66/B66*1000,"")</f>
        <v/>
      </c>
      <c r="E66" s="577" t="n"/>
      <c r="F66" s="577" t="n"/>
      <c r="G66" s="577" t="n"/>
      <c r="H66" s="577" t="n"/>
      <c r="I66" s="577" t="n"/>
      <c r="J66" s="576" t="n"/>
      <c r="K66" s="576" t="n"/>
      <c r="L66" s="576" t="n"/>
      <c r="M66" s="576" t="n"/>
      <c r="N66" s="576" t="n"/>
    </row>
    <row r="67">
      <c r="A67" s="247" t="inlineStr">
        <is>
          <t>FY32</t>
        </is>
      </c>
      <c r="B67" s="828">
        <f>$I$119*1000</f>
        <v/>
      </c>
      <c r="C67" s="828">
        <f>$I$116</f>
        <v/>
      </c>
      <c r="D67" s="882">
        <f>IFERROR(C67/B67*1000,"")</f>
        <v/>
      </c>
      <c r="E67" s="577" t="n"/>
      <c r="F67" s="577" t="n"/>
      <c r="G67" s="577" t="n"/>
      <c r="H67" s="577" t="n"/>
      <c r="I67" s="577" t="n"/>
      <c r="J67" s="576" t="n"/>
      <c r="K67" s="576" t="n"/>
      <c r="L67" s="576" t="n"/>
      <c r="M67" s="576" t="n"/>
      <c r="N67" s="576" t="n"/>
    </row>
    <row r="68" ht="15" customHeight="1" s="632" thickBot="1">
      <c r="A68" s="248" t="inlineStr">
        <is>
          <t>FY33</t>
        </is>
      </c>
      <c r="B68" s="877">
        <f>$J$119*1000</f>
        <v/>
      </c>
      <c r="C68" s="877">
        <f>$J$116</f>
        <v/>
      </c>
      <c r="D68" s="883">
        <f>IFERROR(C68/B68*1000,"")</f>
        <v/>
      </c>
      <c r="E68" s="577" t="n"/>
      <c r="F68" s="708" t="inlineStr">
        <is>
          <t>DM04</t>
        </is>
      </c>
      <c r="G68" s="577" t="n"/>
      <c r="H68" s="577" t="n"/>
      <c r="I68" s="577" t="n"/>
      <c r="J68" s="576" t="n"/>
      <c r="K68" s="576" t="n"/>
      <c r="L68" s="576" t="n"/>
      <c r="M68" s="576" t="n"/>
      <c r="N68" s="576" t="n"/>
    </row>
    <row r="69">
      <c r="A69" s="576" t="n"/>
      <c r="B69" s="577" t="n"/>
      <c r="C69" s="577" t="n"/>
      <c r="D69" s="577" t="n"/>
      <c r="E69" s="577" t="n"/>
      <c r="F69" s="577" t="n"/>
      <c r="G69" s="577" t="n"/>
      <c r="H69" s="577" t="n"/>
      <c r="I69" s="577" t="n"/>
      <c r="J69" s="576" t="n"/>
      <c r="K69" s="576" t="n"/>
      <c r="L69" s="576" t="n"/>
      <c r="M69" s="576" t="n"/>
      <c r="N69" s="576" t="n"/>
    </row>
    <row r="70">
      <c r="A70" s="576" t="n"/>
      <c r="B70" s="577" t="n"/>
      <c r="C70" s="577" t="n"/>
      <c r="D70" s="577" t="n"/>
      <c r="E70" s="577" t="n"/>
      <c r="F70" s="577" t="n"/>
      <c r="G70" s="577" t="n"/>
      <c r="H70" s="577" t="n"/>
      <c r="I70" s="577" t="n"/>
      <c r="J70" s="576" t="n"/>
      <c r="K70" s="576" t="n"/>
      <c r="L70" s="576" t="n"/>
      <c r="M70" s="576" t="n"/>
      <c r="N70" s="576" t="n"/>
    </row>
    <row r="71" ht="16.2" customHeight="1" s="632" thickBot="1">
      <c r="A71" s="493" t="inlineStr">
        <is>
          <t>International Comparision</t>
        </is>
      </c>
      <c r="J71" s="576" t="n"/>
      <c r="K71" s="576" t="n"/>
      <c r="L71" s="576" t="n"/>
      <c r="M71" s="576" t="n"/>
      <c r="N71" s="576" t="n"/>
    </row>
    <row r="72" ht="15" customHeight="1" s="632" thickBot="1">
      <c r="A72" s="525" t="inlineStr">
        <is>
          <t>Country</t>
        </is>
      </c>
      <c r="B72" s="560" t="inlineStr">
        <is>
          <t>Per Capita Steel Consumption (kg)</t>
        </is>
      </c>
      <c r="C72" s="884" t="n"/>
      <c r="D72" s="885" t="n"/>
      <c r="E72" s="577" t="n"/>
      <c r="F72" s="707" t="inlineStr">
        <is>
          <t>Ref</t>
        </is>
      </c>
      <c r="G72" s="577" t="n"/>
      <c r="H72" s="577" t="n"/>
      <c r="I72" s="577" t="n"/>
      <c r="J72" s="576" t="n"/>
      <c r="K72" s="576" t="n"/>
      <c r="L72" s="576" t="n"/>
      <c r="M72" s="576" t="n"/>
      <c r="N72" s="576" t="n"/>
    </row>
    <row r="73" ht="15" customHeight="1" s="632" thickTop="1">
      <c r="A73" s="246" t="inlineStr">
        <is>
          <t>India</t>
        </is>
      </c>
      <c r="B73" s="886" t="n">
        <v>115.7</v>
      </c>
      <c r="C73" s="699" t="n"/>
      <c r="D73" s="700" t="n"/>
      <c r="E73" s="577" t="n"/>
      <c r="F73" s="708" t="inlineStr">
        <is>
          <t>DM06</t>
        </is>
      </c>
      <c r="G73" s="577" t="n"/>
      <c r="H73" s="577" t="n"/>
      <c r="I73" s="577" t="n"/>
      <c r="J73" s="576" t="n"/>
      <c r="K73" s="576" t="n"/>
      <c r="L73" s="576" t="n"/>
      <c r="M73" s="576" t="n"/>
      <c r="N73" s="576" t="n"/>
    </row>
    <row r="74">
      <c r="A74" s="247" t="inlineStr">
        <is>
          <t>China</t>
        </is>
      </c>
      <c r="B74" s="887" t="n">
        <v>604</v>
      </c>
      <c r="C74" s="703" t="n"/>
      <c r="D74" s="704" t="n"/>
      <c r="E74" s="577" t="n"/>
      <c r="F74" s="577" t="n"/>
      <c r="G74" s="577" t="n"/>
      <c r="H74" s="577" t="n"/>
      <c r="I74" s="577" t="n"/>
      <c r="J74" s="576" t="n"/>
      <c r="K74" s="576" t="n"/>
      <c r="L74" s="576" t="n"/>
      <c r="M74" s="576" t="n"/>
      <c r="N74" s="576" t="n"/>
    </row>
    <row r="75">
      <c r="A75" s="247" t="inlineStr">
        <is>
          <t>Japan</t>
        </is>
      </c>
      <c r="B75" s="888" t="n">
        <v>460</v>
      </c>
      <c r="C75" s="703" t="n"/>
      <c r="D75" s="704" t="n"/>
      <c r="E75" s="577" t="n"/>
      <c r="F75" s="708" t="inlineStr">
        <is>
          <t>DM05</t>
        </is>
      </c>
      <c r="G75" s="577" t="n"/>
      <c r="H75" s="577" t="n"/>
      <c r="I75" s="577" t="n"/>
      <c r="J75" s="576" t="n"/>
      <c r="K75" s="576" t="n"/>
      <c r="L75" s="576" t="n"/>
      <c r="M75" s="576" t="n"/>
      <c r="N75" s="576" t="n"/>
    </row>
    <row r="76">
      <c r="A76" s="247" t="inlineStr">
        <is>
          <t>South Korea</t>
        </is>
      </c>
      <c r="B76" s="888" t="n">
        <v>930</v>
      </c>
      <c r="C76" s="703" t="n"/>
      <c r="D76" s="704" t="n"/>
      <c r="E76" s="577" t="n"/>
      <c r="F76" s="708" t="inlineStr">
        <is>
          <t>DM05</t>
        </is>
      </c>
      <c r="G76" s="577" t="n"/>
      <c r="H76" s="577" t="n"/>
      <c r="I76" s="577" t="n"/>
      <c r="J76" s="576" t="n"/>
      <c r="K76" s="576" t="n"/>
      <c r="L76" s="576" t="n"/>
      <c r="M76" s="576" t="n"/>
      <c r="N76" s="576" t="n"/>
    </row>
    <row r="77">
      <c r="A77" s="247" t="inlineStr">
        <is>
          <t>USA</t>
        </is>
      </c>
      <c r="B77" s="888" t="n">
        <v>280</v>
      </c>
      <c r="C77" s="703" t="n"/>
      <c r="D77" s="704" t="n"/>
      <c r="E77" s="577" t="n"/>
      <c r="F77" s="708" t="inlineStr">
        <is>
          <t>DM05</t>
        </is>
      </c>
      <c r="G77" s="577" t="n"/>
      <c r="H77" s="577" t="n"/>
      <c r="I77" s="577" t="n"/>
      <c r="J77" s="576" t="n"/>
      <c r="K77" s="576" t="n"/>
      <c r="L77" s="576" t="n"/>
      <c r="M77" s="576" t="n"/>
      <c r="N77" s="576" t="n"/>
    </row>
    <row r="78" ht="15" customHeight="1" s="632" thickBot="1">
      <c r="A78" s="248" t="inlineStr">
        <is>
          <t>Global Average</t>
        </is>
      </c>
      <c r="B78" s="889" t="n">
        <v>215</v>
      </c>
      <c r="C78" s="890" t="n"/>
      <c r="D78" s="891" t="n"/>
      <c r="E78" s="577" t="n"/>
      <c r="F78" s="577" t="n"/>
      <c r="G78" s="577" t="n"/>
      <c r="H78" s="577" t="n"/>
      <c r="I78" s="577" t="n"/>
      <c r="J78" s="576" t="n"/>
      <c r="K78" s="576" t="n"/>
      <c r="L78" s="576" t="n"/>
      <c r="M78" s="576" t="n"/>
      <c r="N78" s="576" t="n"/>
    </row>
    <row r="79">
      <c r="A79" s="576" t="n"/>
      <c r="B79" s="577" t="n"/>
      <c r="C79" s="577" t="n"/>
      <c r="D79" s="577" t="n"/>
      <c r="E79" s="577" t="n"/>
      <c r="F79" s="577" t="n"/>
      <c r="G79" s="577" t="n"/>
      <c r="H79" s="577" t="n"/>
      <c r="I79" s="577" t="n"/>
      <c r="J79" s="576" t="n"/>
      <c r="K79" s="576" t="n"/>
      <c r="L79" s="576" t="n"/>
      <c r="M79" s="576" t="n"/>
      <c r="N79" s="576" t="n"/>
    </row>
    <row r="80">
      <c r="A80" s="576" t="n"/>
      <c r="B80" s="577" t="n"/>
      <c r="C80" s="577" t="n"/>
      <c r="D80" s="577" t="n"/>
      <c r="E80" s="577" t="n"/>
      <c r="F80" s="577" t="n"/>
      <c r="G80" s="577" t="n"/>
      <c r="H80" s="577" t="n"/>
      <c r="I80" s="577" t="n"/>
      <c r="J80" s="576" t="n"/>
      <c r="K80" s="576" t="n"/>
      <c r="L80" s="576" t="n"/>
      <c r="M80" s="576" t="n"/>
      <c r="N80" s="576" t="n"/>
    </row>
    <row r="81" ht="16.2" customHeight="1" s="632" thickBot="1">
      <c r="A81" s="493" t="inlineStr">
        <is>
          <t>Demand Forecast</t>
        </is>
      </c>
      <c r="J81" s="576" t="n"/>
      <c r="K81" s="576" t="n"/>
      <c r="L81" s="576" t="n"/>
      <c r="M81" s="576" t="n"/>
      <c r="N81" s="576" t="n"/>
    </row>
    <row r="82" ht="29.4" customHeight="1" s="632" thickBot="1">
      <c r="A82" s="525" t="inlineStr">
        <is>
          <t>Year</t>
        </is>
      </c>
      <c r="B82" s="567" t="inlineStr">
        <is>
          <t>Base Demand</t>
        </is>
      </c>
      <c r="C82" s="567" t="inlineStr">
        <is>
          <t>Macro Adjustment</t>
        </is>
      </c>
      <c r="D82" s="567" t="inlineStr">
        <is>
          <t>Sector Adjustment</t>
        </is>
      </c>
      <c r="E82" s="560" t="inlineStr">
        <is>
          <t>Final Demand</t>
        </is>
      </c>
      <c r="F82" s="577" t="n"/>
      <c r="G82" s="707" t="inlineStr">
        <is>
          <t>Ref</t>
        </is>
      </c>
      <c r="H82" s="577" t="n"/>
      <c r="I82" s="577" t="n"/>
      <c r="J82" s="576" t="n"/>
      <c r="K82" s="576" t="n"/>
      <c r="L82" s="576" t="n"/>
      <c r="M82" s="576" t="n"/>
      <c r="N82" s="576" t="n"/>
    </row>
    <row r="83" ht="15" customHeight="1" s="632" thickTop="1">
      <c r="A83" s="246" t="inlineStr">
        <is>
          <t>FY27</t>
        </is>
      </c>
      <c r="B83" s="892">
        <f>$C$116</f>
        <v/>
      </c>
      <c r="C83" s="893">
        <f>1+D$115</f>
        <v/>
      </c>
      <c r="D83" s="894" t="n">
        <v>1</v>
      </c>
      <c r="E83" s="524">
        <f>B83*C83*D83</f>
        <v/>
      </c>
      <c r="F83" s="577" t="n"/>
      <c r="G83" s="577" t="n"/>
      <c r="H83" s="577" t="n"/>
      <c r="I83" s="577" t="n"/>
      <c r="J83" s="576" t="n"/>
      <c r="K83" s="576" t="n"/>
      <c r="L83" s="576" t="n"/>
      <c r="M83" s="576" t="n"/>
      <c r="N83" s="576" t="n"/>
    </row>
    <row r="84">
      <c r="A84" s="247" t="inlineStr">
        <is>
          <t>FY28</t>
        </is>
      </c>
      <c r="B84" s="895">
        <f>E83</f>
        <v/>
      </c>
      <c r="C84" s="896">
        <f>1+E$115</f>
        <v/>
      </c>
      <c r="D84" s="897" t="n">
        <v>1</v>
      </c>
      <c r="E84" s="524">
        <f>B84*C84*D84</f>
        <v/>
      </c>
      <c r="F84" s="577" t="n"/>
      <c r="G84" s="577" t="n"/>
      <c r="H84" s="577" t="n"/>
      <c r="I84" s="577" t="n"/>
      <c r="J84" s="576" t="n"/>
      <c r="K84" s="576" t="n"/>
      <c r="L84" s="576" t="n"/>
      <c r="M84" s="576" t="n"/>
      <c r="N84" s="576" t="n"/>
    </row>
    <row r="85">
      <c r="A85" s="247" t="inlineStr">
        <is>
          <t>FY29</t>
        </is>
      </c>
      <c r="B85" s="895">
        <f>E84</f>
        <v/>
      </c>
      <c r="C85" s="896">
        <f>1+F$115</f>
        <v/>
      </c>
      <c r="D85" s="897" t="n">
        <v>1</v>
      </c>
      <c r="E85" s="524">
        <f>B85*C85*D85</f>
        <v/>
      </c>
      <c r="F85" s="577" t="n"/>
      <c r="G85" s="577" t="n"/>
      <c r="H85" s="577" t="n"/>
      <c r="I85" s="577" t="n"/>
      <c r="J85" s="576" t="n"/>
      <c r="K85" s="576" t="n"/>
      <c r="L85" s="576" t="n"/>
      <c r="M85" s="576" t="n"/>
      <c r="N85" s="576" t="n"/>
    </row>
    <row r="86">
      <c r="A86" s="247" t="inlineStr">
        <is>
          <t>FY30</t>
        </is>
      </c>
      <c r="B86" s="895">
        <f>E85</f>
        <v/>
      </c>
      <c r="C86" s="896">
        <f>1+G$115</f>
        <v/>
      </c>
      <c r="D86" s="897" t="n">
        <v>1</v>
      </c>
      <c r="E86" s="524">
        <f>B86*C86*D86</f>
        <v/>
      </c>
      <c r="F86" s="577" t="n"/>
      <c r="G86" s="577" t="n"/>
      <c r="H86" s="577" t="n"/>
      <c r="I86" s="577" t="n"/>
      <c r="J86" s="576" t="n"/>
      <c r="K86" s="576" t="n"/>
      <c r="L86" s="576" t="n"/>
      <c r="M86" s="576" t="n"/>
      <c r="N86" s="576" t="n"/>
    </row>
    <row r="87">
      <c r="A87" s="247" t="inlineStr">
        <is>
          <t>FY31</t>
        </is>
      </c>
      <c r="B87" s="895">
        <f>E86</f>
        <v/>
      </c>
      <c r="C87" s="896">
        <f>1+H$115</f>
        <v/>
      </c>
      <c r="D87" s="897" t="n">
        <v>1</v>
      </c>
      <c r="E87" s="524">
        <f>B87*C87*D87</f>
        <v/>
      </c>
      <c r="F87" s="577" t="n"/>
      <c r="G87" s="577" t="n"/>
      <c r="H87" s="577" t="n"/>
      <c r="I87" s="577" t="n"/>
      <c r="J87" s="576" t="n"/>
      <c r="K87" s="576" t="n"/>
      <c r="L87" s="576" t="n"/>
      <c r="M87" s="576" t="n"/>
      <c r="N87" s="576" t="n"/>
    </row>
    <row r="88">
      <c r="A88" s="247" t="inlineStr">
        <is>
          <t>FY32</t>
        </is>
      </c>
      <c r="B88" s="895">
        <f>E87</f>
        <v/>
      </c>
      <c r="C88" s="896">
        <f>1+I$115</f>
        <v/>
      </c>
      <c r="D88" s="897" t="n">
        <v>1</v>
      </c>
      <c r="E88" s="524">
        <f>B88*C88*D88</f>
        <v/>
      </c>
      <c r="F88" s="577" t="n"/>
      <c r="G88" s="577" t="n"/>
      <c r="H88" s="577" t="n"/>
      <c r="I88" s="577" t="n"/>
      <c r="J88" s="576" t="n"/>
      <c r="K88" s="576" t="n"/>
      <c r="L88" s="576" t="n"/>
      <c r="M88" s="576" t="n"/>
      <c r="N88" s="576" t="n"/>
    </row>
    <row r="89" ht="15" customHeight="1" s="632" thickBot="1">
      <c r="A89" s="248" t="inlineStr">
        <is>
          <t>FY33</t>
        </is>
      </c>
      <c r="B89" s="898">
        <f>E88</f>
        <v/>
      </c>
      <c r="C89" s="899">
        <f>1+J$115</f>
        <v/>
      </c>
      <c r="D89" s="900" t="n">
        <v>1</v>
      </c>
      <c r="E89" s="591">
        <f>B89*C89*D89</f>
        <v/>
      </c>
      <c r="F89" s="577" t="n"/>
      <c r="G89" s="708" t="inlineStr">
        <is>
          <t>DM07</t>
        </is>
      </c>
      <c r="H89" s="577" t="n"/>
      <c r="I89" s="577" t="n"/>
      <c r="J89" s="576" t="n"/>
      <c r="K89" s="576" t="n"/>
      <c r="L89" s="576" t="n"/>
      <c r="M89" s="576" t="n"/>
      <c r="N89" s="576" t="n"/>
    </row>
    <row r="90">
      <c r="A90" s="576" t="n"/>
      <c r="B90" s="577" t="n"/>
      <c r="C90" s="577" t="n"/>
      <c r="D90" s="577" t="n"/>
      <c r="E90" s="577" t="n"/>
      <c r="F90" s="577" t="n"/>
      <c r="G90" s="577" t="n"/>
      <c r="H90" s="577" t="n"/>
      <c r="I90" s="577" t="n"/>
      <c r="J90" s="576" t="n"/>
      <c r="K90" s="576" t="n"/>
      <c r="L90" s="576" t="n"/>
      <c r="M90" s="576" t="n"/>
      <c r="N90" s="576" t="n"/>
    </row>
    <row r="91">
      <c r="A91" s="576" t="n"/>
      <c r="B91" s="577" t="n"/>
      <c r="C91" s="577" t="n"/>
      <c r="D91" s="577" t="n"/>
      <c r="E91" s="577" t="n"/>
      <c r="F91" s="577" t="n"/>
      <c r="G91" s="577" t="n"/>
      <c r="H91" s="577" t="n"/>
      <c r="I91" s="577" t="n"/>
      <c r="J91" s="576" t="n"/>
      <c r="K91" s="576" t="n"/>
      <c r="L91" s="576" t="n"/>
      <c r="M91" s="576" t="n"/>
      <c r="N91" s="576" t="n"/>
    </row>
    <row r="92" ht="16.2" customHeight="1" s="632" thickBot="1">
      <c r="A92" s="493" t="inlineStr">
        <is>
          <t>Scenario Analysis</t>
        </is>
      </c>
      <c r="J92" s="576" t="n"/>
      <c r="K92" s="576" t="n"/>
      <c r="L92" s="576" t="n"/>
      <c r="M92" s="576" t="n"/>
      <c r="N92" s="576" t="n"/>
    </row>
    <row r="93" ht="15" customHeight="1" s="632" thickBot="1">
      <c r="A93" s="525" t="inlineStr">
        <is>
          <t>Year</t>
        </is>
      </c>
      <c r="B93" s="567" t="inlineStr">
        <is>
          <t>Base</t>
        </is>
      </c>
      <c r="C93" s="567" t="inlineStr">
        <is>
          <t>Bull</t>
        </is>
      </c>
      <c r="D93" s="567" t="inlineStr">
        <is>
          <t>Bear</t>
        </is>
      </c>
      <c r="E93" s="560" t="inlineStr">
        <is>
          <t>Stress</t>
        </is>
      </c>
      <c r="F93" s="577" t="n"/>
      <c r="G93" s="707" t="inlineStr">
        <is>
          <t>Ref</t>
        </is>
      </c>
      <c r="H93" s="577" t="n"/>
      <c r="I93" s="577" t="n"/>
      <c r="J93" s="576" t="n"/>
      <c r="K93" s="576" t="n"/>
      <c r="L93" s="576" t="n"/>
      <c r="M93" s="576" t="n"/>
      <c r="N93" s="576" t="n"/>
    </row>
    <row r="94" ht="15" customHeight="1" s="632" thickTop="1">
      <c r="A94" s="246" t="inlineStr">
        <is>
          <t>FY27</t>
        </is>
      </c>
      <c r="B94" s="827">
        <f>'Scenario Manager'!$D$97</f>
        <v/>
      </c>
      <c r="C94" s="827">
        <f>'Scenario Manager'!$D$173</f>
        <v/>
      </c>
      <c r="D94" s="827">
        <f>'Scenario Manager'!$D$249</f>
        <v/>
      </c>
      <c r="E94" s="901">
        <f>'Scenario Manager'!$D$325</f>
        <v/>
      </c>
      <c r="F94" s="577" t="n"/>
      <c r="G94" s="577" t="n"/>
      <c r="H94" s="577" t="n"/>
      <c r="I94" s="577" t="n"/>
      <c r="J94" s="576" t="n"/>
      <c r="K94" s="576" t="n"/>
      <c r="L94" s="576" t="n"/>
      <c r="M94" s="576" t="n"/>
      <c r="N94" s="576" t="n"/>
    </row>
    <row r="95">
      <c r="A95" s="247" t="inlineStr">
        <is>
          <t>FY28</t>
        </is>
      </c>
      <c r="B95" s="828">
        <f>'Scenario Manager'!$E$97</f>
        <v/>
      </c>
      <c r="C95" s="828">
        <f>'Scenario Manager'!$E$173</f>
        <v/>
      </c>
      <c r="D95" s="828">
        <f>'Scenario Manager'!$E$249</f>
        <v/>
      </c>
      <c r="E95" s="902">
        <f>'Scenario Manager'!$E$325</f>
        <v/>
      </c>
      <c r="F95" s="577" t="n"/>
      <c r="G95" s="577" t="n"/>
      <c r="H95" s="577" t="n"/>
      <c r="I95" s="577" t="n"/>
      <c r="J95" s="576" t="n"/>
      <c r="K95" s="576" t="n"/>
      <c r="L95" s="576" t="n"/>
      <c r="M95" s="576" t="n"/>
      <c r="N95" s="576" t="n"/>
    </row>
    <row r="96">
      <c r="A96" s="247" t="inlineStr">
        <is>
          <t>FY29</t>
        </is>
      </c>
      <c r="B96" s="828">
        <f>'Scenario Manager'!$F$97</f>
        <v/>
      </c>
      <c r="C96" s="828">
        <f>'Scenario Manager'!$F$173</f>
        <v/>
      </c>
      <c r="D96" s="828">
        <f>'Scenario Manager'!$F$249</f>
        <v/>
      </c>
      <c r="E96" s="902">
        <f>'Scenario Manager'!$F$325</f>
        <v/>
      </c>
      <c r="F96" s="577" t="n"/>
      <c r="G96" s="577" t="n"/>
      <c r="H96" s="577" t="n"/>
      <c r="I96" s="577" t="n"/>
      <c r="J96" s="576" t="n"/>
      <c r="K96" s="576" t="n"/>
      <c r="L96" s="576" t="n"/>
      <c r="M96" s="576" t="n"/>
      <c r="N96" s="576" t="n"/>
    </row>
    <row r="97">
      <c r="A97" s="247" t="inlineStr">
        <is>
          <t>FY30</t>
        </is>
      </c>
      <c r="B97" s="828">
        <f>'Scenario Manager'!$G$97</f>
        <v/>
      </c>
      <c r="C97" s="828">
        <f>'Scenario Manager'!$G$173</f>
        <v/>
      </c>
      <c r="D97" s="828">
        <f>'Scenario Manager'!$G$249</f>
        <v/>
      </c>
      <c r="E97" s="902">
        <f>'Scenario Manager'!$G$325</f>
        <v/>
      </c>
      <c r="F97" s="577" t="n"/>
      <c r="G97" s="577" t="n"/>
      <c r="H97" s="577" t="n"/>
      <c r="I97" s="577" t="n"/>
      <c r="J97" s="576" t="n"/>
      <c r="K97" s="576" t="n"/>
      <c r="L97" s="576" t="n"/>
      <c r="M97" s="576" t="n"/>
      <c r="N97" s="576" t="n"/>
    </row>
    <row r="98">
      <c r="A98" s="247" t="inlineStr">
        <is>
          <t>FY31</t>
        </is>
      </c>
      <c r="B98" s="828">
        <f>'Scenario Manager'!$H$97</f>
        <v/>
      </c>
      <c r="C98" s="828">
        <f>'Scenario Manager'!$H$173</f>
        <v/>
      </c>
      <c r="D98" s="828">
        <f>'Scenario Manager'!$H$249</f>
        <v/>
      </c>
      <c r="E98" s="902">
        <f>'Scenario Manager'!$H$325</f>
        <v/>
      </c>
      <c r="F98" s="577" t="n"/>
      <c r="G98" s="577" t="n"/>
      <c r="H98" s="577" t="n"/>
      <c r="I98" s="577" t="n"/>
      <c r="J98" s="576" t="n"/>
      <c r="K98" s="576" t="n"/>
      <c r="L98" s="576" t="n"/>
      <c r="M98" s="576" t="n"/>
      <c r="N98" s="576" t="n"/>
    </row>
    <row r="99">
      <c r="A99" s="247" t="inlineStr">
        <is>
          <t>FY32</t>
        </is>
      </c>
      <c r="B99" s="828">
        <f>'Scenario Manager'!$I$97</f>
        <v/>
      </c>
      <c r="C99" s="828">
        <f>'Scenario Manager'!$I$173</f>
        <v/>
      </c>
      <c r="D99" s="828">
        <f>'Scenario Manager'!$I$249</f>
        <v/>
      </c>
      <c r="E99" s="902">
        <f>'Scenario Manager'!$I$325</f>
        <v/>
      </c>
      <c r="F99" s="577" t="n"/>
      <c r="G99" s="577" t="n"/>
      <c r="H99" s="577" t="n"/>
      <c r="I99" s="577" t="n"/>
      <c r="J99" s="576" t="n"/>
      <c r="K99" s="576" t="n"/>
      <c r="L99" s="576" t="n"/>
      <c r="M99" s="576" t="n"/>
      <c r="N99" s="576" t="n"/>
    </row>
    <row r="100" ht="15" customHeight="1" s="632" thickBot="1">
      <c r="A100" s="248" t="inlineStr">
        <is>
          <t>FY33</t>
        </is>
      </c>
      <c r="B100" s="877">
        <f>'Scenario Manager'!$J$97</f>
        <v/>
      </c>
      <c r="C100" s="877">
        <f>'Scenario Manager'!$J$173</f>
        <v/>
      </c>
      <c r="D100" s="877">
        <f>'Scenario Manager'!$J$249</f>
        <v/>
      </c>
      <c r="E100" s="903">
        <f>'Scenario Manager'!$J$325</f>
        <v/>
      </c>
      <c r="F100" s="577" t="n"/>
      <c r="G100" s="708" t="inlineStr">
        <is>
          <t>DM08</t>
        </is>
      </c>
      <c r="H100" s="577" t="n"/>
      <c r="I100" s="577" t="n"/>
      <c r="J100" s="576" t="n"/>
      <c r="K100" s="576" t="n"/>
      <c r="L100" s="576" t="n"/>
      <c r="M100" s="576" t="n"/>
      <c r="N100" s="576" t="n"/>
    </row>
    <row r="101">
      <c r="A101" s="576" t="n"/>
      <c r="B101" s="577" t="n"/>
      <c r="C101" s="577" t="n"/>
      <c r="D101" s="577" t="n"/>
      <c r="E101" s="577" t="n"/>
      <c r="F101" s="577" t="n"/>
      <c r="G101" s="577" t="n"/>
      <c r="H101" s="577" t="n"/>
      <c r="I101" s="577" t="n"/>
      <c r="J101" s="576" t="n"/>
      <c r="K101" s="576" t="n"/>
      <c r="L101" s="576" t="n"/>
      <c r="M101" s="576" t="n"/>
      <c r="N101" s="576" t="n"/>
    </row>
    <row r="102" s="632">
      <c r="A102" s="576" t="n"/>
      <c r="B102" s="577" t="n"/>
      <c r="C102" s="577" t="n"/>
      <c r="D102" s="577" t="n"/>
      <c r="E102" s="577" t="n"/>
      <c r="F102" s="577" t="n"/>
      <c r="G102" s="577" t="n"/>
      <c r="H102" s="577" t="n"/>
      <c r="I102" s="577" t="n"/>
      <c r="J102" s="576" t="n"/>
      <c r="K102" s="576" t="n"/>
      <c r="L102" s="576" t="n"/>
      <c r="M102" s="576" t="n"/>
      <c r="N102" s="576" t="n"/>
    </row>
    <row r="103" s="632">
      <c r="A103" s="576" t="n"/>
      <c r="B103" s="577" t="n"/>
      <c r="C103" s="577" t="n"/>
      <c r="D103" s="577" t="n"/>
      <c r="E103" s="577" t="n"/>
      <c r="F103" s="577" t="n"/>
      <c r="G103" s="577" t="n"/>
      <c r="H103" s="577" t="n"/>
      <c r="I103" s="577" t="n"/>
      <c r="J103" s="576" t="n"/>
      <c r="K103" s="576" t="n"/>
      <c r="L103" s="576" t="n"/>
      <c r="M103" s="576" t="n"/>
      <c r="N103" s="576" t="n"/>
    </row>
    <row r="104" s="632">
      <c r="A104" s="576" t="n"/>
      <c r="B104" s="577" t="n"/>
      <c r="C104" s="577" t="n"/>
      <c r="D104" s="577" t="n"/>
      <c r="E104" s="577" t="n"/>
      <c r="F104" s="577" t="n"/>
      <c r="G104" s="577" t="n"/>
      <c r="H104" s="577" t="n"/>
      <c r="I104" s="577" t="n"/>
      <c r="J104" s="576" t="n"/>
      <c r="K104" s="576" t="n"/>
      <c r="L104" s="576" t="n"/>
      <c r="M104" s="576" t="n"/>
      <c r="N104" s="576" t="n"/>
    </row>
    <row r="105" s="632">
      <c r="A105" s="576" t="n"/>
      <c r="B105" s="577" t="n"/>
      <c r="C105" s="577" t="n"/>
      <c r="D105" s="577" t="n"/>
      <c r="E105" s="577" t="n"/>
      <c r="F105" s="577" t="n"/>
      <c r="G105" s="577" t="n"/>
      <c r="H105" s="577" t="n"/>
      <c r="I105" s="577" t="n"/>
      <c r="J105" s="576" t="n"/>
      <c r="K105" s="576" t="n"/>
      <c r="L105" s="576" t="n"/>
      <c r="M105" s="576" t="n"/>
      <c r="N105" s="576" t="n"/>
    </row>
    <row r="106" s="632">
      <c r="A106" s="576" t="n"/>
      <c r="B106" s="577" t="n"/>
      <c r="C106" s="577" t="n"/>
      <c r="D106" s="577" t="n"/>
      <c r="E106" s="577" t="n"/>
      <c r="F106" s="577" t="n"/>
      <c r="G106" s="577" t="n"/>
      <c r="H106" s="577" t="n"/>
      <c r="I106" s="577" t="n"/>
      <c r="J106" s="576" t="n"/>
      <c r="K106" s="576" t="n"/>
      <c r="L106" s="576" t="n"/>
      <c r="M106" s="576" t="n"/>
      <c r="N106" s="576" t="n"/>
    </row>
    <row r="107" s="632">
      <c r="A107" s="576" t="n"/>
      <c r="B107" s="577" t="n"/>
      <c r="C107" s="577" t="n"/>
      <c r="D107" s="577" t="n"/>
      <c r="E107" s="577" t="n"/>
      <c r="F107" s="577" t="n"/>
      <c r="G107" s="577" t="n"/>
      <c r="H107" s="577" t="n"/>
      <c r="I107" s="577" t="n"/>
      <c r="J107" s="576" t="n"/>
      <c r="K107" s="576" t="n"/>
      <c r="L107" s="576" t="n"/>
      <c r="M107" s="576" t="n"/>
      <c r="N107" s="576" t="n"/>
    </row>
    <row r="108">
      <c r="A108" s="576" t="n"/>
      <c r="B108" s="577" t="n"/>
      <c r="C108" s="577" t="n"/>
      <c r="D108" s="577" t="n"/>
      <c r="E108" s="577" t="n"/>
      <c r="F108" s="577" t="n"/>
      <c r="G108" s="577" t="n"/>
      <c r="H108" s="577" t="n"/>
      <c r="I108" s="577" t="n"/>
      <c r="J108" s="576" t="n"/>
      <c r="K108" s="576" t="n"/>
      <c r="L108" s="576" t="n"/>
      <c r="M108" s="576" t="n"/>
      <c r="N108" s="576" t="n"/>
    </row>
    <row r="109">
      <c r="A109" s="576" t="n"/>
      <c r="B109" s="577" t="n"/>
      <c r="C109" s="577" t="n"/>
      <c r="D109" s="577" t="n"/>
      <c r="E109" s="577" t="n"/>
      <c r="F109" s="577" t="n"/>
      <c r="G109" s="577" t="n"/>
      <c r="H109" s="577" t="n"/>
      <c r="I109" s="577" t="n"/>
      <c r="J109" s="576" t="n"/>
      <c r="K109" s="576" t="n"/>
      <c r="L109" s="576" t="n"/>
      <c r="M109" s="576" t="n"/>
      <c r="N109" s="576" t="n"/>
    </row>
    <row r="110">
      <c r="A110" s="576" t="n"/>
      <c r="B110" s="577" t="n"/>
      <c r="C110" s="577" t="n"/>
      <c r="D110" s="577" t="n"/>
      <c r="E110" s="577" t="n"/>
      <c r="F110" s="577" t="n"/>
      <c r="G110" s="577" t="n"/>
      <c r="H110" s="577" t="n"/>
      <c r="I110" s="577" t="n"/>
      <c r="J110" s="576" t="n"/>
      <c r="K110" s="576" t="n"/>
      <c r="L110" s="576" t="n"/>
      <c r="M110" s="576" t="n"/>
      <c r="N110" s="576" t="n"/>
    </row>
    <row r="111" ht="15" customHeight="1" s="632" thickBot="1">
      <c r="A111" s="371" t="n"/>
    </row>
    <row r="112">
      <c r="A112" s="63" t="inlineStr">
        <is>
          <t>Line item</t>
        </is>
      </c>
      <c r="B112" s="65" t="inlineStr">
        <is>
          <t>Unit</t>
        </is>
      </c>
      <c r="C112" s="65" t="inlineStr">
        <is>
          <t>FY2026A</t>
        </is>
      </c>
      <c r="D112" s="65" t="inlineStr">
        <is>
          <t>FY2027E</t>
        </is>
      </c>
      <c r="E112" s="65" t="inlineStr">
        <is>
          <t>FY2028E</t>
        </is>
      </c>
      <c r="F112" s="65" t="inlineStr">
        <is>
          <t>FY2029E</t>
        </is>
      </c>
      <c r="G112" s="65" t="inlineStr">
        <is>
          <t>FY2030E</t>
        </is>
      </c>
      <c r="H112" s="65" t="inlineStr">
        <is>
          <t>FY2031E</t>
        </is>
      </c>
      <c r="I112" s="65" t="inlineStr">
        <is>
          <t>FY2032E</t>
        </is>
      </c>
      <c r="J112" s="80" t="inlineStr">
        <is>
          <t>FY2033E</t>
        </is>
      </c>
      <c r="K112" s="65" t="inlineStr">
        <is>
          <t>CAGR</t>
        </is>
      </c>
      <c r="L112" s="409" t="inlineStr">
        <is>
          <t>Source</t>
        </is>
      </c>
      <c r="M112" s="65" t="inlineStr">
        <is>
          <t>Conf.</t>
        </is>
      </c>
      <c r="N112" s="410" t="inlineStr">
        <is>
          <t>Notes / methodology</t>
        </is>
      </c>
      <c r="P112" s="707" t="inlineStr">
        <is>
          <t>Ref</t>
        </is>
      </c>
    </row>
    <row r="113">
      <c r="A113" s="69" t="inlineStr">
        <is>
          <t>India real GDP growth</t>
        </is>
      </c>
      <c r="B113" s="78" t="inlineStr">
        <is>
          <t>%</t>
        </is>
      </c>
      <c r="C113" s="904" t="n">
        <v>0.076</v>
      </c>
      <c r="D113" s="904">
        <f>'Macroeconomic Model'!D$101</f>
        <v/>
      </c>
      <c r="E113" s="904">
        <f>'Macroeconomic Model'!E$101</f>
        <v/>
      </c>
      <c r="F113" s="904">
        <f>'Macroeconomic Model'!F$101</f>
        <v/>
      </c>
      <c r="G113" s="904">
        <f>'Macroeconomic Model'!G$101</f>
        <v/>
      </c>
      <c r="H113" s="904">
        <f>'Macroeconomic Model'!H$101</f>
        <v/>
      </c>
      <c r="I113" s="904">
        <f>'Macroeconomic Model'!I$101</f>
        <v/>
      </c>
      <c r="J113" s="839">
        <f>'Macroeconomic Model'!J$101</f>
        <v/>
      </c>
      <c r="K113" s="83" t="n"/>
      <c r="L113" s="344" t="inlineStr">
        <is>
          <t>03 Macro</t>
        </is>
      </c>
      <c r="M113" s="352" t="inlineStr">
        <is>
          <t>High</t>
        </is>
      </c>
      <c r="N113" s="345" t="inlineStr">
        <is>
          <t>Linked, not re-entered.</t>
        </is>
      </c>
      <c r="P113" s="708" t="inlineStr">
        <is>
          <t>DM09</t>
        </is>
      </c>
    </row>
    <row r="114" ht="24" customHeight="1" s="632">
      <c r="A114" s="69" t="inlineStr">
        <is>
          <t>Steel demand elasticity to GDP</t>
        </is>
      </c>
      <c r="B114" s="78" t="inlineStr">
        <is>
          <t>x</t>
        </is>
      </c>
      <c r="C114" s="92" t="n">
        <v>1.1</v>
      </c>
      <c r="D114" s="92">
        <f>'Model Assumptions'!E$9</f>
        <v/>
      </c>
      <c r="E114" s="92">
        <f>'Model Assumptions'!F$9</f>
        <v/>
      </c>
      <c r="F114" s="92">
        <f>'Model Assumptions'!G$9</f>
        <v/>
      </c>
      <c r="G114" s="92">
        <f>'Model Assumptions'!H$9</f>
        <v/>
      </c>
      <c r="H114" s="92">
        <f>'Model Assumptions'!I$9</f>
        <v/>
      </c>
      <c r="I114" s="92">
        <f>'Model Assumptions'!J$9</f>
        <v/>
      </c>
      <c r="J114" s="48">
        <f>'Model Assumptions'!K$9</f>
        <v/>
      </c>
      <c r="K114" s="83" t="n"/>
      <c r="L114" s="344" t="inlineStr">
        <is>
          <t>Derived from Master DB</t>
        </is>
      </c>
      <c r="M114" s="352" t="inlineStr">
        <is>
          <t>High</t>
        </is>
      </c>
      <c r="N114" s="345" t="inlineStr">
        <is>
          <t>FY2026A of 1.10x is the realised FY2015-FY2026 average, the midpoint of the 1.06x-1.13x range depending on the GDP deflator used.</t>
        </is>
      </c>
      <c r="P114" s="708" t="inlineStr">
        <is>
          <t>DM10</t>
        </is>
      </c>
    </row>
    <row r="115" ht="24" customHeight="1" s="632">
      <c r="A115" s="69" t="inlineStr">
        <is>
          <t>Implied consumption growth</t>
        </is>
      </c>
      <c r="B115" s="78" t="inlineStr">
        <is>
          <t>%</t>
        </is>
      </c>
      <c r="C115" s="904" t="n">
        <v>0.079</v>
      </c>
      <c r="D115" s="904">
        <f>D113*D114</f>
        <v/>
      </c>
      <c r="E115" s="904">
        <f>E113*E114</f>
        <v/>
      </c>
      <c r="F115" s="904">
        <f>F113*F114</f>
        <v/>
      </c>
      <c r="G115" s="904">
        <f>G113*G114</f>
        <v/>
      </c>
      <c r="H115" s="904">
        <f>H113*H114</f>
        <v/>
      </c>
      <c r="I115" s="904">
        <f>I113*I114</f>
        <v/>
      </c>
      <c r="J115" s="839">
        <f>J113*J114</f>
        <v/>
      </c>
      <c r="K115" s="83" t="n"/>
      <c r="L115" s="344" t="inlineStr">
        <is>
          <t>Computed</t>
        </is>
      </c>
      <c r="M115" s="352" t="inlineStr">
        <is>
          <t>High</t>
        </is>
      </c>
      <c r="N115" s="345" t="inlineStr">
        <is>
          <t>FY2026A of 7.9% is the actual reported growth, against 7.6% GDP times 1.04x realised elasticity - the model's structure reproduces the actual outturn.</t>
        </is>
      </c>
      <c r="P115" s="708" t="inlineStr">
        <is>
          <t>DM11</t>
        </is>
      </c>
    </row>
    <row r="116" ht="24" customHeight="1" s="632">
      <c r="A116" s="76" t="inlineStr">
        <is>
          <t>Apparent finished steel consumption</t>
        </is>
      </c>
      <c r="B116" s="78" t="inlineStr">
        <is>
          <t>Mt</t>
        </is>
      </c>
      <c r="C116" s="905" t="n">
        <v>163.74</v>
      </c>
      <c r="D116" s="905">
        <f>C116*(1+D115)</f>
        <v/>
      </c>
      <c r="E116" s="905">
        <f>D116*(1+E115)</f>
        <v/>
      </c>
      <c r="F116" s="905">
        <f>E116*(1+F115)</f>
        <v/>
      </c>
      <c r="G116" s="905">
        <f>F116*(1+G115)</f>
        <v/>
      </c>
      <c r="H116" s="905">
        <f>G116*(1+H115)</f>
        <v/>
      </c>
      <c r="I116" s="905">
        <f>H116*(1+I115)</f>
        <v/>
      </c>
      <c r="J116" s="906">
        <f>I116*(1+J115)</f>
        <v/>
      </c>
      <c r="K116" s="904">
        <f>IFERROR(IF(AND(ISNUMBER(C116),ISNUMBER(J116),C116&gt;0),(J116/C116)^(1/7)-1,""),"")</f>
        <v/>
      </c>
      <c r="L116" s="344" t="inlineStr">
        <is>
          <t>00 Database Import A03</t>
        </is>
      </c>
      <c r="M116" s="352" t="inlineStr">
        <is>
          <t>High</t>
        </is>
      </c>
      <c r="N116" s="345" t="inlineStr">
        <is>
          <t>FY2026A of 163.74 Mt is the April-2026 JPC vintage, which is the internally self-reconciling balance. The June-2026 vintage of 164.19 Mt is a memo below.</t>
        </is>
      </c>
      <c r="P116" s="708" t="inlineStr">
        <is>
          <t>DM12</t>
        </is>
      </c>
    </row>
    <row r="117" ht="27.6" customHeight="1" s="632">
      <c r="A117" s="69" t="inlineStr">
        <is>
          <t xml:space="preserve">  Memo: June-2026 JPC vintage, FY2026 actual</t>
        </is>
      </c>
      <c r="B117" s="78" t="inlineStr">
        <is>
          <t>Mt</t>
        </is>
      </c>
      <c r="C117" s="907" t="n">
        <v>164.19</v>
      </c>
      <c r="D117" s="83" t="n"/>
      <c r="E117" s="83" t="n"/>
      <c r="F117" s="83" t="n"/>
      <c r="G117" s="83" t="n"/>
      <c r="H117" s="83" t="n"/>
      <c r="I117" s="83" t="n"/>
      <c r="J117" s="81" t="n"/>
      <c r="K117" s="83" t="n"/>
      <c r="L117" s="344" t="inlineStr">
        <is>
          <t>Master DB</t>
        </is>
      </c>
      <c r="M117" s="352" t="inlineStr">
        <is>
          <t>High</t>
        </is>
      </c>
      <c r="N117" s="345" t="inlineStr">
        <is>
          <t>Carried so the vintage difference is visible rather than buried - Master DB Conflict C03. The 0.45 Mt difference is 0.27%.</t>
        </is>
      </c>
      <c r="P117" s="708" t="inlineStr">
        <is>
          <t>DM13</t>
        </is>
      </c>
    </row>
    <row r="118">
      <c r="A118" s="836" t="inlineStr">
        <is>
          <t>DEMAND INTENSITY</t>
        </is>
      </c>
      <c r="B118" s="837" t="n"/>
      <c r="C118" s="837" t="n"/>
      <c r="D118" s="837" t="n"/>
      <c r="E118" s="837" t="n"/>
      <c r="F118" s="837" t="n"/>
      <c r="G118" s="837" t="n"/>
      <c r="H118" s="837" t="n"/>
      <c r="I118" s="837" t="n"/>
      <c r="J118" s="837" t="n"/>
      <c r="K118" s="837" t="n"/>
      <c r="L118" s="837" t="n"/>
      <c r="M118" s="837" t="n"/>
      <c r="N118" s="838" t="n"/>
    </row>
    <row r="119" ht="48" customHeight="1" s="632">
      <c r="A119" s="69" t="inlineStr">
        <is>
          <t>Population</t>
        </is>
      </c>
      <c r="B119" s="78" t="inlineStr">
        <is>
          <t>bn</t>
        </is>
      </c>
      <c r="C119" s="908" t="n">
        <v>1.4191</v>
      </c>
      <c r="D119" s="908">
        <f>C119*(1+$C$120)</f>
        <v/>
      </c>
      <c r="E119" s="908">
        <f>D119*(1+$C$120)</f>
        <v/>
      </c>
      <c r="F119" s="908">
        <f>E119*(1+$C$120)</f>
        <v/>
      </c>
      <c r="G119" s="908">
        <f>F119*(1+$C$120)</f>
        <v/>
      </c>
      <c r="H119" s="908">
        <f>G119*(1+$C$120)</f>
        <v/>
      </c>
      <c r="I119" s="908">
        <f>H119*(1+$C$120)</f>
        <v/>
      </c>
      <c r="J119" s="908">
        <f>I119*(1+$C$120)</f>
        <v/>
      </c>
      <c r="K119" s="904">
        <f>IFERROR(IF(AND(ISNUMBER(C119),ISNUMBER(J119),C119&gt;0),(J119/C119)^(1/7)-1,""),"")</f>
        <v/>
      </c>
      <c r="L119" s="344" t="inlineStr">
        <is>
          <t>Derived</t>
        </is>
      </c>
      <c r="M119" s="352" t="inlineStr">
        <is>
          <t>Medium</t>
        </is>
      </c>
      <c r="N119" s="345" t="inlineStr">
        <is>
          <t>DERIVED from the database: consumption of 163.74 Mt divided by per capita consumption of 115.7 kg gives 1.4152 bn; the 1.4191 bn shown uses the June-vintage consumption of 164.19 Mt against 115.7 kg, which is the internally consistent pairing the database publishes.</t>
        </is>
      </c>
      <c r="P119" s="708" t="inlineStr">
        <is>
          <t>DM14</t>
        </is>
      </c>
    </row>
    <row r="120" ht="36" customHeight="1" s="632">
      <c r="A120" s="69" t="inlineStr">
        <is>
          <t>Population growth</t>
        </is>
      </c>
      <c r="B120" s="78" t="inlineStr">
        <is>
          <t>%</t>
        </is>
      </c>
      <c r="C120" s="904" t="n">
        <v>0.008500000000000001</v>
      </c>
      <c r="D120" s="83" t="n"/>
      <c r="E120" s="83" t="n"/>
      <c r="F120" s="83" t="n"/>
      <c r="G120" s="83" t="n"/>
      <c r="H120" s="83" t="n"/>
      <c r="I120" s="83" t="n"/>
      <c r="J120" s="83" t="n"/>
      <c r="K120" s="83" t="n"/>
      <c r="L120" s="344" t="inlineStr">
        <is>
          <t>NOT SOURCED</t>
        </is>
      </c>
      <c r="M120" s="352" t="inlineStr">
        <is>
          <t>Low</t>
        </is>
      </c>
      <c r="N120" s="345" t="inlineStr">
        <is>
          <t>0.85% per annum is NOT sourced in this research cycle. Replace with a UN World Population Prospects series. Affects per capita consumption only, not tonnage, so it does not propagate into revenue or EBITDA.</t>
        </is>
      </c>
      <c r="P120" s="708" t="inlineStr">
        <is>
          <t>DM15</t>
        </is>
      </c>
    </row>
    <row r="121" ht="24.6" customHeight="1" s="632" thickBot="1">
      <c r="A121" s="72" t="inlineStr">
        <is>
          <t>Per capita finished steel consumption</t>
        </is>
      </c>
      <c r="B121" s="79" t="inlineStr">
        <is>
          <t>kg</t>
        </is>
      </c>
      <c r="C121" s="909" t="n">
        <v>115.7</v>
      </c>
      <c r="D121" s="909">
        <f>D116/D119</f>
        <v/>
      </c>
      <c r="E121" s="909">
        <f>E116/E119</f>
        <v/>
      </c>
      <c r="F121" s="909">
        <f>F116/F119</f>
        <v/>
      </c>
      <c r="G121" s="909">
        <f>G116/G119</f>
        <v/>
      </c>
      <c r="H121" s="909">
        <f>H116/H119</f>
        <v/>
      </c>
      <c r="I121" s="909">
        <f>I116/I119</f>
        <v/>
      </c>
      <c r="J121" s="909">
        <f>J116/J119</f>
        <v/>
      </c>
      <c r="K121" s="910">
        <f>IFERROR(IF(AND(ISNUMBER(C121),ISNUMBER(J121),C121&gt;0),(J121/C121)^(1/7)-1,""),"")</f>
        <v/>
      </c>
      <c r="L121" s="346" t="inlineStr">
        <is>
          <t>Computed</t>
        </is>
      </c>
      <c r="M121" s="353" t="inlineStr">
        <is>
          <t>Medium</t>
        </is>
      </c>
      <c r="N121" s="347" t="inlineStr">
        <is>
          <t>Consumption in Mt divided by population in bn gives kg per head directly. India is at roughly half the world average of 215 kg and about a fifth of China's 604 kg.</t>
        </is>
      </c>
      <c r="P121" s="708" t="inlineStr">
        <is>
          <t>DM16</t>
        </is>
      </c>
    </row>
    <row r="122"/>
    <row r="123">
      <c r="A123" s="383" t="inlineStr">
        <is>
          <t>Demand is the ONLY block in this model that is not capacity-aware. The capacity ceiling is applied on 05 Steel Supply, so consumption here is unconstrained demand.</t>
        </is>
      </c>
    </row>
  </sheetData>
  <mergeCells count="23">
    <mergeCell ref="A9:N9"/>
    <mergeCell ref="B73:D73"/>
    <mergeCell ref="A11:N11"/>
    <mergeCell ref="B78:D78"/>
    <mergeCell ref="A123:N123"/>
    <mergeCell ref="A1:N1"/>
    <mergeCell ref="A33:I33"/>
    <mergeCell ref="A71:I71"/>
    <mergeCell ref="A14:I14"/>
    <mergeCell ref="A7:N7"/>
    <mergeCell ref="A23:I23"/>
    <mergeCell ref="B74:D74"/>
    <mergeCell ref="A118:N118"/>
    <mergeCell ref="A81:I81"/>
    <mergeCell ref="B76:D76"/>
    <mergeCell ref="A2:E2"/>
    <mergeCell ref="B75:D75"/>
    <mergeCell ref="A5:N5"/>
    <mergeCell ref="A48:I48"/>
    <mergeCell ref="A92:I92"/>
    <mergeCell ref="A59:I59"/>
    <mergeCell ref="B72:D72"/>
    <mergeCell ref="B77:D77"/>
  </mergeCells>
  <hyperlinks>
    <hyperlink ref="F30" location="'Audit Checks'!A240" tooltip="Open the reference register on 25 Audit Checks"/>
    <hyperlink ref="M35" location="'Audit Checks'!A240" tooltip="Open the reference register on 25 Audit Checks"/>
    <hyperlink ref="M36" location="'Audit Checks'!A240" tooltip="Open the reference register on 25 Audit Checks"/>
    <hyperlink ref="M37" location="'Audit Checks'!A240" tooltip="Open the reference register on 25 Audit Checks"/>
    <hyperlink ref="M38" location="'Audit Checks'!A240" tooltip="Open the reference register on 25 Audit Checks"/>
    <hyperlink ref="M39" location="'Audit Checks'!A240" tooltip="Open the reference register on 25 Audit Checks"/>
    <hyperlink ref="M40" location="'Audit Checks'!A240" tooltip="Open the reference register on 25 Audit Checks"/>
    <hyperlink ref="M41" location="'Audit Checks'!A240" tooltip="Open the reference register on 25 Audit Checks"/>
    <hyperlink ref="M42" location="'Audit Checks'!A240" tooltip="Open the reference register on 25 Audit Checks"/>
    <hyperlink ref="M43" location="'Audit Checks'!A240" tooltip="Open the reference register on 25 Audit Checks"/>
    <hyperlink ref="M44" location="'Audit Checks'!A240" tooltip="Open the reference register on 25 Audit Checks"/>
    <hyperlink ref="L50" location="'Audit Checks'!A240" tooltip="Open the reference register on 25 Audit Checks"/>
    <hyperlink ref="L51" location="'Audit Checks'!A240" tooltip="Open the reference register on 25 Audit Checks"/>
    <hyperlink ref="L52" location="'Audit Checks'!A240" tooltip="Open the reference register on 25 Audit Checks"/>
    <hyperlink ref="L53" location="'Audit Checks'!A240" tooltip="Open the reference register on 25 Audit Checks"/>
    <hyperlink ref="L54" location="'Audit Checks'!A240" tooltip="Open the reference register on 25 Audit Checks"/>
    <hyperlink ref="L55" location="'Audit Checks'!A240" tooltip="Open the reference register on 25 Audit Checks"/>
    <hyperlink ref="L56" location="'Audit Checks'!A240" tooltip="Open the reference register on 25 Audit Checks"/>
    <hyperlink ref="F68" location="'Audit Checks'!A240" tooltip="Open the reference register on 25 Audit Checks"/>
    <hyperlink ref="F73" location="'Audit Checks'!A240" tooltip="Open the reference register on 25 Audit Checks"/>
    <hyperlink ref="F75" location="'Audit Checks'!A240" tooltip="Open the reference register on 25 Audit Checks"/>
    <hyperlink ref="F76" location="'Audit Checks'!A240" tooltip="Open the reference register on 25 Audit Checks"/>
    <hyperlink ref="F77" location="'Audit Checks'!A240" tooltip="Open the reference register on 25 Audit Checks"/>
    <hyperlink ref="G89" location="'Audit Checks'!A240" tooltip="Open the reference register on 25 Audit Checks"/>
    <hyperlink ref="G100" location="'Audit Checks'!A240" tooltip="Open the reference register on 25 Audit Checks"/>
    <hyperlink ref="P113" location="'Audit Checks'!A240" tooltip="Open the reference register on 25 Audit Checks"/>
    <hyperlink ref="P114" location="'Audit Checks'!A240" tooltip="Open the reference register on 25 Audit Checks"/>
    <hyperlink ref="P115" location="'Audit Checks'!A240" tooltip="Open the reference register on 25 Audit Checks"/>
    <hyperlink ref="P116" location="'Audit Checks'!A240" tooltip="Open the reference register on 25 Audit Checks"/>
    <hyperlink ref="P117" location="'Audit Checks'!A240" tooltip="Open the reference register on 25 Audit Checks"/>
    <hyperlink ref="P119" location="'Audit Checks'!A240" tooltip="Open the reference register on 25 Audit Checks"/>
    <hyperlink ref="P120" location="'Audit Checks'!A240" tooltip="Open the reference register on 25 Audit Checks"/>
    <hyperlink ref="P121" location="'Audit Checks'!A240" tooltip="Open the reference register on 25 Audit Checks"/>
  </hyperlink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codeName="Sheet10">
    <tabColor rgb="FF002060"/>
    <outlinePr summaryBelow="1" summaryRight="1"/>
    <pageSetUpPr/>
  </sheetPr>
  <dimension ref="A1:P104"/>
  <sheetViews>
    <sheetView showGridLines="0" workbookViewId="0">
      <selection activeCell="A6" sqref="A6"/>
    </sheetView>
  </sheetViews>
  <sheetFormatPr baseColWidth="8" defaultRowHeight="14.4"/>
  <cols>
    <col width="28" customWidth="1" style="632" min="1" max="1"/>
    <col width="11.44140625" customWidth="1" style="320" min="2" max="9"/>
    <col width="7" customWidth="1" style="632" min="6" max="6"/>
    <col width="9.21875" customWidth="1" style="632" min="10" max="11"/>
    <col width="7" customWidth="1" style="632" min="11" max="11"/>
    <col width="17.77734375" customWidth="1" style="632" min="12" max="12"/>
    <col width="6.5546875" bestFit="1" customWidth="1" style="632" min="13" max="13"/>
    <col width="44.109375" customWidth="1" style="632" min="14" max="14"/>
    <col width="7" customWidth="1" style="632" min="16" max="16"/>
  </cols>
  <sheetData>
    <row r="1" ht="25.8" customHeight="1" s="632">
      <c r="A1" s="372" t="inlineStr">
        <is>
          <t>STEEL SUPLY MODEL</t>
        </is>
      </c>
    </row>
    <row r="2">
      <c r="A2" s="355" t="inlineStr">
        <is>
          <t>Industry Financial Model  |  Indian Steel Industry  |  Horizon FY2027E-FY2033E  |  Base year FY2026A</t>
        </is>
      </c>
    </row>
    <row r="3">
      <c r="A3" s="371" t="n"/>
    </row>
    <row r="4">
      <c r="A4" s="356" t="inlineStr">
        <is>
          <t>OBJECTIVE</t>
        </is>
      </c>
      <c r="B4" s="592" t="n"/>
      <c r="C4" s="592" t="n"/>
      <c r="D4" s="592" t="n"/>
      <c r="E4" s="592" t="n"/>
      <c r="F4" s="592" t="n"/>
      <c r="G4" s="592" t="n"/>
      <c r="H4" s="592" t="n"/>
      <c r="I4" s="592" t="n"/>
      <c r="J4" s="62" t="n"/>
      <c r="K4" s="62" t="n"/>
      <c r="L4" s="62" t="n"/>
      <c r="M4" s="62" t="n"/>
      <c r="N4" s="62" t="n"/>
    </row>
    <row r="5">
      <c r="A5" s="576" t="inlineStr">
        <is>
          <t>Forecast India's finished steel supply and reconcile it with domestic demand, capacity, imports, exports, and inventory changes.</t>
        </is>
      </c>
    </row>
    <row r="6">
      <c r="A6" s="576" t="n"/>
      <c r="B6" s="577" t="n"/>
      <c r="C6" s="577" t="n"/>
      <c r="D6" s="577" t="n"/>
      <c r="E6" s="577" t="n"/>
      <c r="F6" s="577" t="n"/>
      <c r="G6" s="577" t="n"/>
      <c r="H6" s="577" t="n"/>
      <c r="I6" s="577" t="n"/>
      <c r="J6" s="576" t="n"/>
      <c r="K6" s="576" t="n"/>
      <c r="L6" s="576" t="n"/>
      <c r="M6" s="576" t="n"/>
      <c r="N6" s="576" t="n"/>
    </row>
    <row r="7" ht="16.2" customHeight="1" s="632" thickBot="1">
      <c r="A7" s="493" t="inlineStr">
        <is>
          <t>Executive Summary</t>
        </is>
      </c>
      <c r="J7" s="576" t="n"/>
      <c r="K7" s="576" t="n"/>
      <c r="L7" s="576" t="n"/>
      <c r="M7" s="576" t="n"/>
      <c r="N7" s="576" t="n"/>
    </row>
    <row r="8" ht="15" customHeight="1" s="632" thickBot="1">
      <c r="A8" s="525" t="inlineStr">
        <is>
          <t>KPI</t>
        </is>
      </c>
      <c r="B8" s="526" t="inlineStr">
        <is>
          <t>FY26A</t>
        </is>
      </c>
      <c r="C8" s="526" t="inlineStr">
        <is>
          <t>FY27E</t>
        </is>
      </c>
      <c r="D8" s="526" t="inlineStr">
        <is>
          <t>FY28E</t>
        </is>
      </c>
      <c r="E8" s="526" t="inlineStr">
        <is>
          <t>FY29E</t>
        </is>
      </c>
      <c r="F8" s="526" t="inlineStr">
        <is>
          <t>FY30E</t>
        </is>
      </c>
      <c r="G8" s="526" t="inlineStr">
        <is>
          <t>FY31E</t>
        </is>
      </c>
      <c r="H8" s="526" t="inlineStr">
        <is>
          <t>FY32E</t>
        </is>
      </c>
      <c r="I8" s="527" t="inlineStr">
        <is>
          <t>FY33E</t>
        </is>
      </c>
      <c r="J8" s="576" t="n"/>
      <c r="K8" s="576" t="n"/>
      <c r="L8" s="576" t="n"/>
      <c r="M8" s="576" t="n"/>
      <c r="N8" s="576" t="n"/>
    </row>
    <row r="9" ht="15" customHeight="1" s="632" thickTop="1">
      <c r="A9" s="246" t="inlineStr">
        <is>
          <t>Crude Steel Production (Mt)</t>
        </is>
      </c>
      <c r="B9" s="843">
        <f>$C$99</f>
        <v/>
      </c>
      <c r="C9" s="843">
        <f>$D$99</f>
        <v/>
      </c>
      <c r="D9" s="843">
        <f>$E$99</f>
        <v/>
      </c>
      <c r="E9" s="843">
        <f>$F$99</f>
        <v/>
      </c>
      <c r="F9" s="843">
        <f>$G$99</f>
        <v/>
      </c>
      <c r="G9" s="843">
        <f>$H$99</f>
        <v/>
      </c>
      <c r="H9" s="843">
        <f>$I$99</f>
        <v/>
      </c>
      <c r="I9" s="844">
        <f>$J$99</f>
        <v/>
      </c>
      <c r="J9" s="576" t="n"/>
      <c r="K9" s="576" t="n"/>
      <c r="L9" s="576" t="n"/>
      <c r="M9" s="576" t="n"/>
      <c r="N9" s="576" t="n"/>
    </row>
    <row r="10">
      <c r="A10" s="247" t="inlineStr">
        <is>
          <t>Finished Steel Production (Mt)</t>
        </is>
      </c>
      <c r="B10" s="847">
        <f>$C$101</f>
        <v/>
      </c>
      <c r="C10" s="847">
        <f>$D$101</f>
        <v/>
      </c>
      <c r="D10" s="847">
        <f>$E$101</f>
        <v/>
      </c>
      <c r="E10" s="847">
        <f>$F$101</f>
        <v/>
      </c>
      <c r="F10" s="847">
        <f>$G$101</f>
        <v/>
      </c>
      <c r="G10" s="847">
        <f>$H$101</f>
        <v/>
      </c>
      <c r="H10" s="847">
        <f>$I$101</f>
        <v/>
      </c>
      <c r="I10" s="848">
        <f>$J$101</f>
        <v/>
      </c>
      <c r="J10" s="576" t="n"/>
      <c r="K10" s="576" t="n"/>
      <c r="L10" s="576" t="n"/>
      <c r="M10" s="576" t="n"/>
      <c r="N10" s="576" t="n"/>
    </row>
    <row r="11">
      <c r="A11" s="247" t="inlineStr">
        <is>
          <t>Installed Capacity (MTPA)</t>
        </is>
      </c>
      <c r="B11" s="847">
        <f>'Capacity Forecast'!$C$101</f>
        <v/>
      </c>
      <c r="C11" s="847">
        <f>'Capacity Forecast'!$D$101</f>
        <v/>
      </c>
      <c r="D11" s="847">
        <f>'Capacity Forecast'!$E$101</f>
        <v/>
      </c>
      <c r="E11" s="847">
        <f>'Capacity Forecast'!$F$101</f>
        <v/>
      </c>
      <c r="F11" s="847">
        <f>'Capacity Forecast'!$G$101</f>
        <v/>
      </c>
      <c r="G11" s="847">
        <f>'Capacity Forecast'!$H$101</f>
        <v/>
      </c>
      <c r="H11" s="847">
        <f>'Capacity Forecast'!$I$101</f>
        <v/>
      </c>
      <c r="I11" s="848">
        <f>'Capacity Forecast'!$J$101</f>
        <v/>
      </c>
      <c r="J11" s="576" t="n"/>
      <c r="K11" s="576" t="n"/>
      <c r="L11" s="576" t="n"/>
      <c r="M11" s="576" t="n"/>
      <c r="N11" s="576" t="n"/>
    </row>
    <row r="12">
      <c r="A12" s="247" t="inlineStr">
        <is>
          <t>Capacity Utilisation (%)</t>
        </is>
      </c>
      <c r="B12" s="845">
        <f>'Capacity Utilisation'!$C$67</f>
        <v/>
      </c>
      <c r="C12" s="845">
        <f>'Capacity Utilisation'!$D$67</f>
        <v/>
      </c>
      <c r="D12" s="845">
        <f>'Capacity Utilisation'!$E$67</f>
        <v/>
      </c>
      <c r="E12" s="845">
        <f>'Capacity Utilisation'!$F$67</f>
        <v/>
      </c>
      <c r="F12" s="845">
        <f>'Capacity Utilisation'!$G$67</f>
        <v/>
      </c>
      <c r="G12" s="845">
        <f>'Capacity Utilisation'!$H$67</f>
        <v/>
      </c>
      <c r="H12" s="845">
        <f>'Capacity Utilisation'!$I$67</f>
        <v/>
      </c>
      <c r="I12" s="846">
        <f>'Capacity Utilisation'!$J$67</f>
        <v/>
      </c>
      <c r="J12" s="576" t="n"/>
      <c r="K12" s="576" t="n"/>
      <c r="L12" s="576" t="n"/>
      <c r="M12" s="576" t="n"/>
      <c r="N12" s="576" t="n"/>
    </row>
    <row r="13">
      <c r="A13" s="247" t="inlineStr">
        <is>
          <t>Domestic Supply (Mt)</t>
        </is>
      </c>
      <c r="B13" s="911">
        <f>C101+'Trade Model'!C76-'Trade Model'!C78</f>
        <v/>
      </c>
      <c r="C13" s="911">
        <f>D101+'Trade Model'!D76-'Trade Model'!D78</f>
        <v/>
      </c>
      <c r="D13" s="911">
        <f>E101+'Trade Model'!E76-'Trade Model'!E78</f>
        <v/>
      </c>
      <c r="E13" s="911">
        <f>F101+'Trade Model'!F76-'Trade Model'!F78</f>
        <v/>
      </c>
      <c r="F13" s="911">
        <f>G101+'Trade Model'!G76-'Trade Model'!G78</f>
        <v/>
      </c>
      <c r="G13" s="911">
        <f>H101+'Trade Model'!H76-'Trade Model'!H78</f>
        <v/>
      </c>
      <c r="H13" s="911">
        <f>I101+'Trade Model'!I76-'Trade Model'!I78</f>
        <v/>
      </c>
      <c r="I13" s="912">
        <f>J101+'Trade Model'!J76-'Trade Model'!J78</f>
        <v/>
      </c>
      <c r="J13" s="576" t="n"/>
      <c r="K13" s="576" t="n"/>
      <c r="L13" s="576" t="n"/>
      <c r="M13" s="576" t="n"/>
      <c r="N13" s="576" t="n"/>
    </row>
    <row r="14">
      <c r="A14" s="247" t="inlineStr">
        <is>
          <t>Import Dependency (%)</t>
        </is>
      </c>
      <c r="B14" s="845">
        <f>'Trade Model'!$C$83</f>
        <v/>
      </c>
      <c r="C14" s="845">
        <f>'Trade Model'!$D$83</f>
        <v/>
      </c>
      <c r="D14" s="845">
        <f>'Trade Model'!$E$83</f>
        <v/>
      </c>
      <c r="E14" s="845">
        <f>'Trade Model'!$F$83</f>
        <v/>
      </c>
      <c r="F14" s="845">
        <f>'Trade Model'!$G$83</f>
        <v/>
      </c>
      <c r="G14" s="845">
        <f>'Trade Model'!$H$83</f>
        <v/>
      </c>
      <c r="H14" s="845">
        <f>'Trade Model'!$I$83</f>
        <v/>
      </c>
      <c r="I14" s="846">
        <f>'Trade Model'!$J$83</f>
        <v/>
      </c>
      <c r="J14" s="576" t="n"/>
      <c r="K14" s="576" t="n"/>
      <c r="L14" s="576" t="n"/>
      <c r="M14" s="576" t="n"/>
      <c r="N14" s="576" t="n"/>
    </row>
    <row r="15">
      <c r="A15" s="247" t="inlineStr">
        <is>
          <t>Export Share (%)</t>
        </is>
      </c>
      <c r="B15" s="845">
        <f>'Trade Model'!$C$84</f>
        <v/>
      </c>
      <c r="C15" s="845">
        <f>'Trade Model'!$D$84</f>
        <v/>
      </c>
      <c r="D15" s="845">
        <f>'Trade Model'!$E$84</f>
        <v/>
      </c>
      <c r="E15" s="845">
        <f>'Trade Model'!$F$84</f>
        <v/>
      </c>
      <c r="F15" s="845">
        <f>'Trade Model'!$G$84</f>
        <v/>
      </c>
      <c r="G15" s="845">
        <f>'Trade Model'!$H$84</f>
        <v/>
      </c>
      <c r="H15" s="845">
        <f>'Trade Model'!$I$84</f>
        <v/>
      </c>
      <c r="I15" s="846">
        <f>'Trade Model'!$J$84</f>
        <v/>
      </c>
      <c r="J15" s="576" t="n"/>
      <c r="K15" s="576" t="n"/>
      <c r="L15" s="576" t="n"/>
      <c r="M15" s="576" t="n"/>
      <c r="N15" s="576" t="n"/>
    </row>
    <row r="16" ht="15" customHeight="1" s="632" thickBot="1">
      <c r="A16" s="248" t="inlineStr">
        <is>
          <t>Supply Surplus / Deficit (Mt)</t>
        </is>
      </c>
      <c r="B16" s="913">
        <f>B13-'Steel Demand Model'!C116</f>
        <v/>
      </c>
      <c r="C16" s="913">
        <f>C13-'Steel Demand Model'!D116</f>
        <v/>
      </c>
      <c r="D16" s="913">
        <f>D13-'Steel Demand Model'!E116</f>
        <v/>
      </c>
      <c r="E16" s="913">
        <f>E13-'Steel Demand Model'!F116</f>
        <v/>
      </c>
      <c r="F16" s="913">
        <f>F13-'Steel Demand Model'!G116</f>
        <v/>
      </c>
      <c r="G16" s="913">
        <f>G13-'Steel Demand Model'!H116</f>
        <v/>
      </c>
      <c r="H16" s="913">
        <f>H13-'Steel Demand Model'!I116</f>
        <v/>
      </c>
      <c r="I16" s="914">
        <f>I13-'Steel Demand Model'!J116</f>
        <v/>
      </c>
      <c r="J16" s="576" t="n"/>
      <c r="K16" s="576" t="n"/>
      <c r="L16" s="576" t="n"/>
      <c r="M16" s="576" t="n"/>
      <c r="N16" s="576" t="n"/>
    </row>
    <row r="17">
      <c r="A17" s="576" t="n"/>
      <c r="B17" s="577" t="n"/>
      <c r="C17" s="577" t="n"/>
      <c r="D17" s="577" t="n"/>
      <c r="E17" s="577" t="n"/>
      <c r="F17" s="577" t="n"/>
      <c r="G17" s="577" t="n"/>
      <c r="H17" s="577" t="n"/>
      <c r="I17" s="577" t="n"/>
      <c r="J17" s="576" t="n"/>
      <c r="K17" s="576" t="n"/>
      <c r="L17" s="576" t="n"/>
      <c r="M17" s="576" t="n"/>
      <c r="N17" s="576" t="n"/>
    </row>
    <row r="18">
      <c r="A18" s="576" t="n"/>
      <c r="B18" s="577" t="n"/>
      <c r="C18" s="577" t="n"/>
      <c r="D18" s="577" t="n"/>
      <c r="E18" s="577" t="n"/>
      <c r="F18" s="577" t="n"/>
      <c r="G18" s="577" t="n"/>
      <c r="H18" s="577" t="n"/>
      <c r="I18" s="577" t="n"/>
      <c r="J18" s="576" t="n"/>
      <c r="K18" s="576" t="n"/>
      <c r="L18" s="576" t="n"/>
      <c r="M18" s="576" t="n"/>
      <c r="N18" s="576" t="n"/>
    </row>
    <row r="19" ht="16.2" customHeight="1" s="632" thickBot="1">
      <c r="A19" s="493" t="inlineStr">
        <is>
          <t>Historical Supply</t>
        </is>
      </c>
      <c r="J19" s="576" t="n"/>
      <c r="K19" s="576" t="n"/>
      <c r="L19" s="576" t="n"/>
      <c r="M19" s="576" t="n"/>
      <c r="N19" s="576" t="n"/>
    </row>
    <row r="20" ht="29.4" customHeight="1" s="632" thickBot="1">
      <c r="A20" s="525" t="inlineStr">
        <is>
          <t>Year</t>
        </is>
      </c>
      <c r="B20" s="526" t="inlineStr">
        <is>
          <t>Crude Production</t>
        </is>
      </c>
      <c r="C20" s="526" t="inlineStr">
        <is>
          <t>Finished Production</t>
        </is>
      </c>
      <c r="D20" s="527" t="inlineStr">
        <is>
          <t>Growth %</t>
        </is>
      </c>
      <c r="E20" s="577" t="n"/>
      <c r="F20" s="707" t="inlineStr">
        <is>
          <t>Ref</t>
        </is>
      </c>
      <c r="G20" s="577" t="n"/>
      <c r="H20" s="577" t="n"/>
      <c r="I20" s="577" t="n"/>
      <c r="J20" s="576" t="n"/>
      <c r="K20" s="576" t="n"/>
      <c r="L20" s="576" t="n"/>
      <c r="M20" s="576" t="n"/>
      <c r="N20" s="576" t="n"/>
    </row>
    <row r="21" ht="15" customHeight="1" s="632" thickTop="1">
      <c r="A21" s="246" t="inlineStr">
        <is>
          <t>FY21</t>
        </is>
      </c>
      <c r="B21" s="852" t="n">
        <v>103.545</v>
      </c>
      <c r="C21" s="852" t="n">
        <v>96.2</v>
      </c>
      <c r="D21" s="915" t="n"/>
      <c r="E21" s="577" t="n"/>
      <c r="F21" s="577" t="n"/>
      <c r="G21" s="577" t="n"/>
      <c r="H21" s="577" t="n"/>
      <c r="I21" s="577" t="n"/>
      <c r="J21" s="576" t="n"/>
      <c r="K21" s="576" t="n"/>
      <c r="L21" s="576" t="n"/>
      <c r="M21" s="576" t="n"/>
      <c r="N21" s="576" t="n"/>
    </row>
    <row r="22">
      <c r="A22" s="247" t="inlineStr">
        <is>
          <t>FY22</t>
        </is>
      </c>
      <c r="B22" s="916" t="n"/>
      <c r="C22" s="855" t="n">
        <v>113.6</v>
      </c>
      <c r="D22" s="849">
        <f>IFERROR(C22/C21-1,"")</f>
        <v/>
      </c>
      <c r="E22" s="577" t="n"/>
      <c r="F22" s="708" t="inlineStr">
        <is>
          <t>SM17</t>
        </is>
      </c>
      <c r="G22" s="577" t="n"/>
      <c r="H22" s="577" t="n"/>
      <c r="I22" s="577" t="n"/>
      <c r="J22" s="576" t="n"/>
      <c r="K22" s="576" t="n"/>
      <c r="L22" s="576" t="n"/>
      <c r="M22" s="576" t="n"/>
      <c r="N22" s="576" t="n"/>
    </row>
    <row r="23">
      <c r="A23" s="247" t="inlineStr">
        <is>
          <t>FY23</t>
        </is>
      </c>
      <c r="B23" s="855" t="n">
        <v>127.2</v>
      </c>
      <c r="C23" s="855" t="n">
        <v>123.2</v>
      </c>
      <c r="D23" s="849">
        <f>IFERROR(C23/C22-1,"")</f>
        <v/>
      </c>
      <c r="E23" s="577" t="n"/>
      <c r="F23" s="577" t="n"/>
      <c r="G23" s="577" t="n"/>
      <c r="H23" s="577" t="n"/>
      <c r="I23" s="577" t="n"/>
      <c r="J23" s="576" t="n"/>
      <c r="K23" s="576" t="n"/>
      <c r="L23" s="576" t="n"/>
      <c r="M23" s="576" t="n"/>
      <c r="N23" s="576" t="n"/>
    </row>
    <row r="24">
      <c r="A24" s="247" t="inlineStr">
        <is>
          <t>FY24</t>
        </is>
      </c>
      <c r="B24" s="855" t="n">
        <v>144.3</v>
      </c>
      <c r="C24" s="855" t="n">
        <v>139.15</v>
      </c>
      <c r="D24" s="849">
        <f>IFERROR(C24/C23-1,"")</f>
        <v/>
      </c>
      <c r="E24" s="577" t="n"/>
      <c r="F24" s="577" t="n"/>
      <c r="G24" s="577" t="n"/>
      <c r="H24" s="577" t="n"/>
      <c r="I24" s="577" t="n"/>
      <c r="J24" s="576" t="n"/>
      <c r="K24" s="576" t="n"/>
      <c r="L24" s="576" t="n"/>
      <c r="M24" s="576" t="n"/>
      <c r="N24" s="576" t="n"/>
    </row>
    <row r="25">
      <c r="A25" s="247" t="inlineStr">
        <is>
          <t>FY25</t>
        </is>
      </c>
      <c r="B25" s="855" t="n">
        <v>152.18</v>
      </c>
      <c r="C25" s="855" t="n">
        <v>146.69</v>
      </c>
      <c r="D25" s="849">
        <f>IFERROR(C25/C24-1,"")</f>
        <v/>
      </c>
      <c r="E25" s="577" t="n"/>
      <c r="F25" s="577" t="n"/>
      <c r="G25" s="577" t="n"/>
      <c r="H25" s="577" t="n"/>
      <c r="I25" s="577" t="n"/>
      <c r="J25" s="576" t="n"/>
      <c r="K25" s="576" t="n"/>
      <c r="L25" s="576" t="n"/>
      <c r="M25" s="576" t="n"/>
      <c r="N25" s="576" t="n"/>
    </row>
    <row r="26" ht="15" customHeight="1" s="632" thickBot="1">
      <c r="A26" s="248" t="inlineStr">
        <is>
          <t>FY26</t>
        </is>
      </c>
      <c r="B26" s="858" t="n">
        <v>168.42</v>
      </c>
      <c r="C26" s="858" t="n">
        <v>161.74</v>
      </c>
      <c r="D26" s="851">
        <f>IFERROR(C26/C25-1,"")</f>
        <v/>
      </c>
      <c r="E26" s="577" t="n"/>
      <c r="F26" s="708" t="inlineStr">
        <is>
          <t>SM01</t>
        </is>
      </c>
      <c r="G26" s="577" t="n"/>
      <c r="H26" s="577" t="n"/>
      <c r="I26" s="577" t="n"/>
      <c r="J26" s="576" t="n"/>
      <c r="K26" s="576" t="n"/>
      <c r="L26" s="576" t="n"/>
      <c r="M26" s="576" t="n"/>
      <c r="N26" s="576" t="n"/>
    </row>
    <row r="27">
      <c r="A27" s="576" t="n"/>
      <c r="B27" s="577" t="n"/>
      <c r="C27" s="577" t="n"/>
      <c r="D27" s="577" t="n"/>
      <c r="E27" s="577" t="n"/>
      <c r="F27" s="577" t="n"/>
      <c r="G27" s="577" t="n"/>
      <c r="H27" s="577" t="n"/>
      <c r="I27" s="577" t="n"/>
      <c r="J27" s="576" t="n"/>
      <c r="K27" s="576" t="n"/>
      <c r="L27" s="576" t="n"/>
      <c r="M27" s="576" t="n"/>
      <c r="N27" s="576" t="n"/>
    </row>
    <row r="28">
      <c r="A28" s="576" t="n"/>
      <c r="B28" s="577" t="n"/>
      <c r="C28" s="577" t="n"/>
      <c r="D28" s="577" t="n"/>
      <c r="E28" s="577" t="n"/>
      <c r="F28" s="577" t="n"/>
      <c r="G28" s="577" t="n"/>
      <c r="H28" s="577" t="n"/>
      <c r="I28" s="577" t="n"/>
      <c r="J28" s="576" t="n"/>
      <c r="K28" s="576" t="n"/>
      <c r="L28" s="576" t="n"/>
      <c r="M28" s="576" t="n"/>
      <c r="N28" s="576" t="n"/>
    </row>
    <row r="29" ht="16.2" customHeight="1" s="632" thickBot="1">
      <c r="A29" s="493" t="inlineStr">
        <is>
          <t>Supply Build Up</t>
        </is>
      </c>
      <c r="J29" s="576" t="n"/>
      <c r="K29" s="576" t="n"/>
      <c r="L29" s="576" t="n"/>
      <c r="M29" s="576" t="n"/>
      <c r="N29" s="576" t="n"/>
    </row>
    <row r="30" ht="15" customHeight="1" s="632" thickBot="1">
      <c r="A30" s="525" t="inlineStr">
        <is>
          <t>Item</t>
        </is>
      </c>
      <c r="B30" s="526" t="inlineStr">
        <is>
          <t>FY26A</t>
        </is>
      </c>
      <c r="C30" s="526" t="inlineStr">
        <is>
          <t>FY27E</t>
        </is>
      </c>
      <c r="D30" s="526" t="inlineStr">
        <is>
          <t>FY28E</t>
        </is>
      </c>
      <c r="E30" s="526" t="inlineStr">
        <is>
          <t>FY29E</t>
        </is>
      </c>
      <c r="F30" s="526" t="inlineStr">
        <is>
          <t>FY30E</t>
        </is>
      </c>
      <c r="G30" s="526" t="inlineStr">
        <is>
          <t>FY31E</t>
        </is>
      </c>
      <c r="H30" s="526" t="inlineStr">
        <is>
          <t>FY32E</t>
        </is>
      </c>
      <c r="I30" s="527" t="inlineStr">
        <is>
          <t>FY33E</t>
        </is>
      </c>
      <c r="J30" s="576" t="n"/>
      <c r="K30" s="576" t="n"/>
      <c r="L30" s="576" t="n"/>
      <c r="M30" s="576" t="n"/>
      <c r="N30" s="576" t="n"/>
    </row>
    <row r="31" ht="15" customHeight="1" s="632" thickTop="1">
      <c r="A31" s="246" t="inlineStr">
        <is>
          <t>Opening Production</t>
        </is>
      </c>
      <c r="B31" s="852" t="n">
        <v>152.18</v>
      </c>
      <c r="C31" s="917">
        <f>B35</f>
        <v/>
      </c>
      <c r="D31" s="917">
        <f>C35</f>
        <v/>
      </c>
      <c r="E31" s="917">
        <f>D35</f>
        <v/>
      </c>
      <c r="F31" s="917">
        <f>E35</f>
        <v/>
      </c>
      <c r="G31" s="917">
        <f>F35</f>
        <v/>
      </c>
      <c r="H31" s="917">
        <f>G35</f>
        <v/>
      </c>
      <c r="I31" s="918">
        <f>H35</f>
        <v/>
      </c>
      <c r="J31" s="576" t="n"/>
      <c r="K31" s="576" t="n"/>
      <c r="L31" s="576" t="n"/>
      <c r="M31" s="576" t="n"/>
      <c r="N31" s="576" t="n"/>
    </row>
    <row r="32">
      <c r="A32" s="247" t="inlineStr">
        <is>
          <t>Capacity Addition</t>
        </is>
      </c>
      <c r="B32" s="847">
        <f>'Capacity Forecast'!$C$100</f>
        <v/>
      </c>
      <c r="C32" s="847">
        <f>'Capacity Forecast'!$D$100</f>
        <v/>
      </c>
      <c r="D32" s="847">
        <f>'Capacity Forecast'!$E$100</f>
        <v/>
      </c>
      <c r="E32" s="847">
        <f>'Capacity Forecast'!$F$100</f>
        <v/>
      </c>
      <c r="F32" s="847">
        <f>'Capacity Forecast'!$G$100</f>
        <v/>
      </c>
      <c r="G32" s="847">
        <f>'Capacity Forecast'!$H$100</f>
        <v/>
      </c>
      <c r="H32" s="847">
        <f>'Capacity Forecast'!$I$100</f>
        <v/>
      </c>
      <c r="I32" s="848">
        <f>'Capacity Forecast'!$J$100</f>
        <v/>
      </c>
      <c r="J32" s="576" t="n"/>
      <c r="K32" s="576" t="n"/>
      <c r="L32" s="576" t="n"/>
      <c r="M32" s="576" t="n"/>
      <c r="N32" s="576" t="n"/>
    </row>
    <row r="33">
      <c r="A33" s="247" t="inlineStr">
        <is>
          <t>Effective Capacity</t>
        </is>
      </c>
      <c r="B33" s="847">
        <f>'Capacity Forecast'!$C$101</f>
        <v/>
      </c>
      <c r="C33" s="847">
        <f>'Capacity Forecast'!$D$101</f>
        <v/>
      </c>
      <c r="D33" s="847">
        <f>'Capacity Forecast'!$E$101</f>
        <v/>
      </c>
      <c r="E33" s="847">
        <f>'Capacity Forecast'!$F$101</f>
        <v/>
      </c>
      <c r="F33" s="847">
        <f>'Capacity Forecast'!$G$101</f>
        <v/>
      </c>
      <c r="G33" s="847">
        <f>'Capacity Forecast'!$H$101</f>
        <v/>
      </c>
      <c r="H33" s="847">
        <f>'Capacity Forecast'!$I$101</f>
        <v/>
      </c>
      <c r="I33" s="848">
        <f>'Capacity Forecast'!$J$101</f>
        <v/>
      </c>
      <c r="J33" s="576" t="n"/>
      <c r="K33" s="576" t="n"/>
      <c r="L33" s="576" t="n"/>
      <c r="M33" s="576" t="n"/>
      <c r="N33" s="576" t="n"/>
    </row>
    <row r="34">
      <c r="A34" s="247" t="inlineStr">
        <is>
          <t>Capacity Utilisation</t>
        </is>
      </c>
      <c r="B34" s="845">
        <f>'Capacity Utilisation'!$C$67</f>
        <v/>
      </c>
      <c r="C34" s="845">
        <f>'Capacity Utilisation'!$D$67</f>
        <v/>
      </c>
      <c r="D34" s="845">
        <f>'Capacity Utilisation'!$E$67</f>
        <v/>
      </c>
      <c r="E34" s="845">
        <f>'Capacity Utilisation'!$F$67</f>
        <v/>
      </c>
      <c r="F34" s="845">
        <f>'Capacity Utilisation'!$G$67</f>
        <v/>
      </c>
      <c r="G34" s="845">
        <f>'Capacity Utilisation'!$H$67</f>
        <v/>
      </c>
      <c r="H34" s="845">
        <f>'Capacity Utilisation'!$I$67</f>
        <v/>
      </c>
      <c r="I34" s="846">
        <f>'Capacity Utilisation'!$J$67</f>
        <v/>
      </c>
      <c r="J34" s="576" t="n"/>
      <c r="K34" s="576" t="n"/>
      <c r="L34" s="576" t="n"/>
      <c r="M34" s="576" t="n"/>
      <c r="N34" s="576" t="n"/>
    </row>
    <row r="35">
      <c r="A35" s="247" t="inlineStr">
        <is>
          <t>Crude Steel Production</t>
        </is>
      </c>
      <c r="B35" s="847">
        <f>$C$99</f>
        <v/>
      </c>
      <c r="C35" s="847">
        <f>$D$99</f>
        <v/>
      </c>
      <c r="D35" s="847">
        <f>$E$99</f>
        <v/>
      </c>
      <c r="E35" s="847">
        <f>$F$99</f>
        <v/>
      </c>
      <c r="F35" s="847">
        <f>$G$99</f>
        <v/>
      </c>
      <c r="G35" s="847">
        <f>$H$99</f>
        <v/>
      </c>
      <c r="H35" s="847">
        <f>$I$99</f>
        <v/>
      </c>
      <c r="I35" s="848">
        <f>$J$99</f>
        <v/>
      </c>
      <c r="J35" s="576" t="n"/>
      <c r="K35" s="576" t="n"/>
      <c r="L35" s="576" t="n"/>
      <c r="M35" s="576" t="n"/>
      <c r="N35" s="576" t="n"/>
    </row>
    <row r="36">
      <c r="A36" s="247" t="inlineStr">
        <is>
          <t>Crude-to-Finished Ratio</t>
        </is>
      </c>
      <c r="B36" s="919">
        <f>$C$93</f>
        <v/>
      </c>
      <c r="C36" s="919">
        <f>$D$93</f>
        <v/>
      </c>
      <c r="D36" s="919">
        <f>$E$93</f>
        <v/>
      </c>
      <c r="E36" s="919">
        <f>$F$93</f>
        <v/>
      </c>
      <c r="F36" s="919">
        <f>$G$93</f>
        <v/>
      </c>
      <c r="G36" s="919">
        <f>$H$93</f>
        <v/>
      </c>
      <c r="H36" s="919">
        <f>$I$93</f>
        <v/>
      </c>
      <c r="I36" s="920">
        <f>$J$93</f>
        <v/>
      </c>
      <c r="J36" s="576" t="n"/>
      <c r="K36" s="576" t="n"/>
      <c r="L36" s="576" t="n"/>
      <c r="M36" s="576" t="n"/>
      <c r="N36" s="576" t="n"/>
    </row>
    <row r="37">
      <c r="A37" s="247" t="inlineStr">
        <is>
          <t>Finished Steel Production</t>
        </is>
      </c>
      <c r="B37" s="847">
        <f>$C$101</f>
        <v/>
      </c>
      <c r="C37" s="847">
        <f>$D$101</f>
        <v/>
      </c>
      <c r="D37" s="847">
        <f>$E$101</f>
        <v/>
      </c>
      <c r="E37" s="847">
        <f>$F$101</f>
        <v/>
      </c>
      <c r="F37" s="847">
        <f>$G$101</f>
        <v/>
      </c>
      <c r="G37" s="847">
        <f>$H$101</f>
        <v/>
      </c>
      <c r="H37" s="847">
        <f>$I$101</f>
        <v/>
      </c>
      <c r="I37" s="848">
        <f>$J$101</f>
        <v/>
      </c>
      <c r="J37" s="576" t="n"/>
      <c r="K37" s="576" t="n"/>
      <c r="L37" s="576" t="n"/>
      <c r="M37" s="576" t="n"/>
      <c r="N37" s="576" t="n"/>
    </row>
    <row r="38">
      <c r="A38" s="247" t="inlineStr">
        <is>
          <t>Imports</t>
        </is>
      </c>
      <c r="B38" s="847">
        <f>'Trade Model'!$C$76</f>
        <v/>
      </c>
      <c r="C38" s="847">
        <f>'Trade Model'!$D$76</f>
        <v/>
      </c>
      <c r="D38" s="847">
        <f>'Trade Model'!$E$76</f>
        <v/>
      </c>
      <c r="E38" s="847">
        <f>'Trade Model'!$F$76</f>
        <v/>
      </c>
      <c r="F38" s="847">
        <f>'Trade Model'!$G$76</f>
        <v/>
      </c>
      <c r="G38" s="847">
        <f>'Trade Model'!$H$76</f>
        <v/>
      </c>
      <c r="H38" s="847">
        <f>'Trade Model'!$I$76</f>
        <v/>
      </c>
      <c r="I38" s="848">
        <f>'Trade Model'!$J$76</f>
        <v/>
      </c>
      <c r="J38" s="576" t="n"/>
      <c r="K38" s="576" t="n"/>
      <c r="L38" s="576" t="n"/>
      <c r="M38" s="576" t="n"/>
      <c r="N38" s="576" t="n"/>
    </row>
    <row r="39">
      <c r="A39" s="247" t="inlineStr">
        <is>
          <t>Exports</t>
        </is>
      </c>
      <c r="B39" s="847">
        <f>'Trade Model'!$C$78</f>
        <v/>
      </c>
      <c r="C39" s="847">
        <f>'Trade Model'!$D$78</f>
        <v/>
      </c>
      <c r="D39" s="847">
        <f>'Trade Model'!$E$78</f>
        <v/>
      </c>
      <c r="E39" s="847">
        <f>'Trade Model'!$F$78</f>
        <v/>
      </c>
      <c r="F39" s="847">
        <f>'Trade Model'!$G$78</f>
        <v/>
      </c>
      <c r="G39" s="847">
        <f>'Trade Model'!$H$78</f>
        <v/>
      </c>
      <c r="H39" s="847">
        <f>'Trade Model'!$I$78</f>
        <v/>
      </c>
      <c r="I39" s="848">
        <f>'Trade Model'!$J$78</f>
        <v/>
      </c>
      <c r="J39" s="576" t="n"/>
      <c r="K39" s="576" t="n"/>
      <c r="L39" s="576" t="n"/>
      <c r="M39" s="576" t="n"/>
      <c r="N39" s="576" t="n"/>
    </row>
    <row r="40">
      <c r="A40" s="247" t="inlineStr">
        <is>
          <t>Inventory Adjustment</t>
        </is>
      </c>
      <c r="B40" s="921">
        <f>$C$91</f>
        <v/>
      </c>
      <c r="C40" s="921">
        <f>$D$91</f>
        <v/>
      </c>
      <c r="D40" s="921">
        <f>$E$91</f>
        <v/>
      </c>
      <c r="E40" s="921">
        <f>$F$91</f>
        <v/>
      </c>
      <c r="F40" s="921">
        <f>$G$91</f>
        <v/>
      </c>
      <c r="G40" s="921">
        <f>$H$91</f>
        <v/>
      </c>
      <c r="H40" s="921">
        <f>$I$91</f>
        <v/>
      </c>
      <c r="I40" s="922">
        <f>$J$91</f>
        <v/>
      </c>
      <c r="J40" s="576" t="n"/>
      <c r="K40" s="576" t="n"/>
      <c r="L40" s="576" t="n"/>
      <c r="M40" s="576" t="n"/>
      <c r="N40" s="576" t="n"/>
    </row>
    <row r="41" ht="15" customHeight="1" s="632" thickBot="1">
      <c r="A41" s="307" t="inlineStr">
        <is>
          <t>Domestic Supply Available</t>
        </is>
      </c>
      <c r="B41" s="923">
        <f>B37+B38-B39</f>
        <v/>
      </c>
      <c r="C41" s="923">
        <f>C37+C38-C39</f>
        <v/>
      </c>
      <c r="D41" s="923">
        <f>D37+D38-D39</f>
        <v/>
      </c>
      <c r="E41" s="923">
        <f>E37+E38-E39</f>
        <v/>
      </c>
      <c r="F41" s="923">
        <f>F37+F38-F39</f>
        <v/>
      </c>
      <c r="G41" s="923">
        <f>G37+G38-G39</f>
        <v/>
      </c>
      <c r="H41" s="923">
        <f>H37+H38-H39</f>
        <v/>
      </c>
      <c r="I41" s="924">
        <f>I37+I38-I39</f>
        <v/>
      </c>
      <c r="J41" s="576" t="n"/>
      <c r="K41" s="576" t="n"/>
      <c r="L41" s="576" t="n"/>
      <c r="M41" s="576" t="n"/>
      <c r="N41" s="576" t="n"/>
    </row>
    <row r="42">
      <c r="A42" s="576" t="n"/>
      <c r="B42" s="577" t="n"/>
      <c r="C42" s="577" t="n"/>
      <c r="D42" s="577" t="n"/>
      <c r="E42" s="577" t="n"/>
      <c r="F42" s="577" t="n"/>
      <c r="G42" s="577" t="n"/>
      <c r="H42" s="577" t="n"/>
      <c r="I42" s="577" t="n"/>
      <c r="J42" s="576" t="n"/>
      <c r="K42" s="576" t="n"/>
      <c r="L42" s="576" t="n"/>
      <c r="M42" s="576" t="n"/>
      <c r="N42" s="576" t="n"/>
    </row>
    <row r="43">
      <c r="A43" s="576" t="n"/>
      <c r="B43" s="577" t="n"/>
      <c r="C43" s="577" t="n"/>
      <c r="D43" s="577" t="n"/>
      <c r="E43" s="577" t="n"/>
      <c r="F43" s="577" t="n"/>
      <c r="G43" s="577" t="n"/>
      <c r="H43" s="577" t="n"/>
      <c r="I43" s="577" t="n"/>
      <c r="J43" s="576" t="n"/>
      <c r="K43" s="576" t="n"/>
      <c r="L43" s="576" t="n"/>
      <c r="M43" s="576" t="n"/>
      <c r="N43" s="576" t="n"/>
    </row>
    <row r="44" ht="16.2" customHeight="1" s="632" thickBot="1">
      <c r="A44" s="493" t="inlineStr">
        <is>
          <t>Supply Demand Reconcilation</t>
        </is>
      </c>
      <c r="J44" s="576" t="n"/>
      <c r="K44" s="576" t="n"/>
      <c r="L44" s="576" t="n"/>
      <c r="M44" s="576" t="n"/>
      <c r="N44" s="576" t="n"/>
    </row>
    <row r="45" ht="15" customHeight="1" s="632" thickBot="1">
      <c r="A45" s="525" t="inlineStr">
        <is>
          <t>Item</t>
        </is>
      </c>
      <c r="B45" s="526" t="inlineStr">
        <is>
          <t>FY26A</t>
        </is>
      </c>
      <c r="C45" s="526" t="inlineStr">
        <is>
          <t>FY27E</t>
        </is>
      </c>
      <c r="D45" s="526" t="inlineStr">
        <is>
          <t>FY28E</t>
        </is>
      </c>
      <c r="E45" s="526" t="inlineStr">
        <is>
          <t>FY29E</t>
        </is>
      </c>
      <c r="F45" s="526" t="inlineStr">
        <is>
          <t>FY30E</t>
        </is>
      </c>
      <c r="G45" s="526" t="inlineStr">
        <is>
          <t>FY31E</t>
        </is>
      </c>
      <c r="H45" s="526" t="inlineStr">
        <is>
          <t>FY32E</t>
        </is>
      </c>
      <c r="I45" s="527" t="inlineStr">
        <is>
          <t>FY33E</t>
        </is>
      </c>
      <c r="J45" s="576" t="n"/>
      <c r="K45" s="707" t="inlineStr">
        <is>
          <t>Ref</t>
        </is>
      </c>
      <c r="L45" s="576" t="n"/>
      <c r="M45" s="576" t="n"/>
      <c r="N45" s="576" t="n"/>
    </row>
    <row r="46" ht="15" customHeight="1" s="632" thickTop="1">
      <c r="A46" s="246" t="inlineStr">
        <is>
          <t>Domestic Supply</t>
        </is>
      </c>
      <c r="B46" s="917">
        <f>B37</f>
        <v/>
      </c>
      <c r="C46" s="917">
        <f>C37</f>
        <v/>
      </c>
      <c r="D46" s="917">
        <f>D37</f>
        <v/>
      </c>
      <c r="E46" s="917">
        <f>E37</f>
        <v/>
      </c>
      <c r="F46" s="917">
        <f>F37</f>
        <v/>
      </c>
      <c r="G46" s="917">
        <f>G37</f>
        <v/>
      </c>
      <c r="H46" s="917">
        <f>H37</f>
        <v/>
      </c>
      <c r="I46" s="918">
        <f>I37</f>
        <v/>
      </c>
      <c r="J46" s="576" t="n"/>
      <c r="K46" s="576" t="n"/>
      <c r="L46" s="576" t="n"/>
      <c r="M46" s="576" t="n"/>
      <c r="N46" s="576" t="n"/>
    </row>
    <row r="47">
      <c r="A47" s="247" t="inlineStr">
        <is>
          <t>Imports</t>
        </is>
      </c>
      <c r="B47" s="911">
        <f>B38</f>
        <v/>
      </c>
      <c r="C47" s="911">
        <f>C38</f>
        <v/>
      </c>
      <c r="D47" s="911">
        <f>D38</f>
        <v/>
      </c>
      <c r="E47" s="911">
        <f>E38</f>
        <v/>
      </c>
      <c r="F47" s="911">
        <f>F38</f>
        <v/>
      </c>
      <c r="G47" s="911">
        <f>G38</f>
        <v/>
      </c>
      <c r="H47" s="911">
        <f>H38</f>
        <v/>
      </c>
      <c r="I47" s="912">
        <f>I38</f>
        <v/>
      </c>
      <c r="J47" s="576" t="n"/>
      <c r="K47" s="576" t="n"/>
      <c r="L47" s="576" t="n"/>
      <c r="M47" s="576" t="n"/>
      <c r="N47" s="576" t="n"/>
    </row>
    <row r="48">
      <c r="A48" s="247" t="inlineStr">
        <is>
          <t>Total Supply</t>
        </is>
      </c>
      <c r="B48" s="663">
        <f>B47+B46</f>
        <v/>
      </c>
      <c r="C48" s="663">
        <f>C47+C46</f>
        <v/>
      </c>
      <c r="D48" s="663">
        <f>D47+D46</f>
        <v/>
      </c>
      <c r="E48" s="663">
        <f>E47+E46</f>
        <v/>
      </c>
      <c r="F48" s="663">
        <f>F47+F46</f>
        <v/>
      </c>
      <c r="G48" s="663">
        <f>G47+G46</f>
        <v/>
      </c>
      <c r="H48" s="663">
        <f>H47+H46</f>
        <v/>
      </c>
      <c r="I48" s="664">
        <f>I47+I46</f>
        <v/>
      </c>
      <c r="J48" s="576" t="n"/>
      <c r="K48" s="576" t="n"/>
      <c r="L48" s="576" t="n"/>
      <c r="M48" s="576" t="n"/>
      <c r="N48" s="576" t="n"/>
    </row>
    <row r="49">
      <c r="A49" s="247" t="inlineStr">
        <is>
          <t>Domestic Demand</t>
        </is>
      </c>
      <c r="B49" s="847">
        <f>'Steel Demand Model'!$C$116</f>
        <v/>
      </c>
      <c r="C49" s="847">
        <f>'Steel Demand Model'!$D$116</f>
        <v/>
      </c>
      <c r="D49" s="847">
        <f>'Steel Demand Model'!$E$116</f>
        <v/>
      </c>
      <c r="E49" s="847">
        <f>'Steel Demand Model'!$F$116</f>
        <v/>
      </c>
      <c r="F49" s="847">
        <f>'Steel Demand Model'!$G$116</f>
        <v/>
      </c>
      <c r="G49" s="847">
        <f>'Steel Demand Model'!$H$116</f>
        <v/>
      </c>
      <c r="H49" s="847">
        <f>'Steel Demand Model'!$I$116</f>
        <v/>
      </c>
      <c r="I49" s="848">
        <f>'Steel Demand Model'!$J$116</f>
        <v/>
      </c>
      <c r="J49" s="576" t="n"/>
      <c r="K49" s="576" t="n"/>
      <c r="L49" s="576" t="n"/>
      <c r="M49" s="576" t="n"/>
      <c r="N49" s="576" t="n"/>
    </row>
    <row r="50">
      <c r="A50" s="247" t="inlineStr">
        <is>
          <t>Exports</t>
        </is>
      </c>
      <c r="B50" s="911">
        <f>B39</f>
        <v/>
      </c>
      <c r="C50" s="911">
        <f>C39</f>
        <v/>
      </c>
      <c r="D50" s="911">
        <f>D39</f>
        <v/>
      </c>
      <c r="E50" s="911">
        <f>E39</f>
        <v/>
      </c>
      <c r="F50" s="911">
        <f>F39</f>
        <v/>
      </c>
      <c r="G50" s="911">
        <f>G39</f>
        <v/>
      </c>
      <c r="H50" s="911">
        <f>H39</f>
        <v/>
      </c>
      <c r="I50" s="912">
        <f>I39</f>
        <v/>
      </c>
      <c r="J50" s="576" t="n"/>
      <c r="K50" s="576" t="n"/>
      <c r="L50" s="576" t="n"/>
      <c r="M50" s="576" t="n"/>
      <c r="N50" s="576" t="n"/>
    </row>
    <row r="51">
      <c r="A51" s="247" t="inlineStr">
        <is>
          <t>Closing Inventory</t>
        </is>
      </c>
      <c r="B51" s="925">
        <f>B40</f>
        <v/>
      </c>
      <c r="C51" s="925">
        <f>C40</f>
        <v/>
      </c>
      <c r="D51" s="925">
        <f>D40</f>
        <v/>
      </c>
      <c r="E51" s="925">
        <f>E40</f>
        <v/>
      </c>
      <c r="F51" s="925">
        <f>F40</f>
        <v/>
      </c>
      <c r="G51" s="925">
        <f>G40</f>
        <v/>
      </c>
      <c r="H51" s="925">
        <f>H40</f>
        <v/>
      </c>
      <c r="I51" s="926">
        <f>I40</f>
        <v/>
      </c>
      <c r="J51" s="576" t="n"/>
      <c r="K51" s="576" t="n"/>
      <c r="L51" s="576" t="n"/>
      <c r="M51" s="576" t="n"/>
      <c r="N51" s="576" t="n"/>
    </row>
    <row r="52" ht="15" customHeight="1" s="632" thickBot="1">
      <c r="A52" s="307" t="inlineStr">
        <is>
          <t>Balance Check</t>
        </is>
      </c>
      <c r="B52" s="593">
        <f>B48-B49-B50-B51</f>
        <v/>
      </c>
      <c r="C52" s="593">
        <f>C48-C49-C50-C51</f>
        <v/>
      </c>
      <c r="D52" s="593">
        <f>D48-D49-D50-D51</f>
        <v/>
      </c>
      <c r="E52" s="593">
        <f>E48-E49-E50-E51</f>
        <v/>
      </c>
      <c r="F52" s="593">
        <f>F48-F49-F50-F51</f>
        <v/>
      </c>
      <c r="G52" s="593">
        <f>G48-G49-G50-G51</f>
        <v/>
      </c>
      <c r="H52" s="593">
        <f>H48-H49-H50-H51</f>
        <v/>
      </c>
      <c r="I52" s="594">
        <f>I48-I49-I50-I51</f>
        <v/>
      </c>
      <c r="J52" s="576" t="n"/>
      <c r="K52" s="708" t="inlineStr">
        <is>
          <t>SM02</t>
        </is>
      </c>
      <c r="L52" s="576" t="n"/>
      <c r="M52" s="576" t="n"/>
      <c r="N52" s="576" t="n"/>
    </row>
    <row r="53">
      <c r="A53" s="576" t="n"/>
      <c r="B53" s="577" t="n"/>
      <c r="C53" s="577" t="n"/>
      <c r="D53" s="577" t="n"/>
      <c r="E53" s="577" t="n"/>
      <c r="F53" s="577" t="n"/>
      <c r="G53" s="577" t="n"/>
      <c r="H53" s="577" t="n"/>
      <c r="I53" s="577" t="n"/>
      <c r="J53" s="576" t="n"/>
      <c r="K53" s="576" t="n"/>
      <c r="L53" s="576" t="n"/>
      <c r="M53" s="576" t="n"/>
      <c r="N53" s="576" t="n"/>
    </row>
    <row r="54">
      <c r="A54" s="576" t="n"/>
      <c r="B54" s="577" t="n"/>
      <c r="C54" s="577" t="n"/>
      <c r="D54" s="577" t="n"/>
      <c r="E54" s="577" t="n"/>
      <c r="F54" s="577" t="n"/>
      <c r="G54" s="577" t="n"/>
      <c r="H54" s="577" t="n"/>
      <c r="I54" s="577" t="n"/>
      <c r="J54" s="576" t="n"/>
      <c r="K54" s="576" t="n"/>
      <c r="L54" s="576" t="n"/>
      <c r="M54" s="576" t="n"/>
      <c r="N54" s="576" t="n"/>
    </row>
    <row r="55" ht="16.2" customHeight="1" s="632" thickBot="1">
      <c r="A55" s="493" t="inlineStr">
        <is>
          <t>Capacity Growth</t>
        </is>
      </c>
      <c r="J55" s="576" t="n"/>
      <c r="K55" s="576" t="n"/>
      <c r="L55" s="576" t="n"/>
      <c r="M55" s="576" t="n"/>
      <c r="N55" s="576" t="n"/>
    </row>
    <row r="56" ht="29.4" customHeight="1" s="632" thickBot="1">
      <c r="A56" s="525" t="inlineStr">
        <is>
          <t>Year</t>
        </is>
      </c>
      <c r="B56" s="567" t="inlineStr">
        <is>
          <t>Existing Capacity</t>
        </is>
      </c>
      <c r="C56" s="567" t="inlineStr">
        <is>
          <t>New Capacity</t>
        </is>
      </c>
      <c r="D56" s="567" t="inlineStr">
        <is>
          <t>Total Capacity</t>
        </is>
      </c>
      <c r="E56" s="560" t="inlineStr">
        <is>
          <t>Growth %</t>
        </is>
      </c>
      <c r="F56" s="577" t="n"/>
      <c r="G56" s="577" t="n"/>
      <c r="H56" s="577" t="n"/>
      <c r="I56" s="577" t="n"/>
      <c r="J56" s="576" t="n"/>
      <c r="K56" s="576" t="n"/>
      <c r="L56" s="576" t="n"/>
      <c r="M56" s="576" t="n"/>
      <c r="N56" s="576" t="n"/>
    </row>
    <row r="57" ht="15" customHeight="1" s="632" thickTop="1">
      <c r="A57" s="246" t="inlineStr">
        <is>
          <t>FY26</t>
        </is>
      </c>
      <c r="B57" s="927" t="n">
        <v>200.33</v>
      </c>
      <c r="C57" s="827">
        <f>'Capacity Forecast'!$C$100</f>
        <v/>
      </c>
      <c r="D57" s="827">
        <f>'Capacity Forecast'!$C$101</f>
        <v/>
      </c>
      <c r="E57" s="928">
        <f>IFERROR(D57/B57-1,"")</f>
        <v/>
      </c>
      <c r="F57" s="577" t="n"/>
      <c r="G57" s="577" t="n"/>
      <c r="H57" s="577" t="n"/>
      <c r="I57" s="577" t="n"/>
      <c r="J57" s="576" t="n"/>
      <c r="K57" s="576" t="n"/>
      <c r="L57" s="576" t="n"/>
      <c r="M57" s="576" t="n"/>
      <c r="N57" s="576" t="n"/>
    </row>
    <row r="58">
      <c r="A58" s="247" t="inlineStr">
        <is>
          <t>FY27</t>
        </is>
      </c>
      <c r="B58" s="895">
        <f>D57</f>
        <v/>
      </c>
      <c r="C58" s="828">
        <f>'Capacity Forecast'!$D$100</f>
        <v/>
      </c>
      <c r="D58" s="828">
        <f>'Capacity Forecast'!$D$101</f>
        <v/>
      </c>
      <c r="E58" s="929">
        <f>IFERROR(D58/B58-1,"")</f>
        <v/>
      </c>
      <c r="F58" s="577" t="n"/>
      <c r="G58" s="577" t="n"/>
      <c r="H58" s="577" t="n"/>
      <c r="I58" s="577" t="n"/>
      <c r="J58" s="576" t="n"/>
      <c r="K58" s="576" t="n"/>
      <c r="L58" s="576" t="n"/>
      <c r="M58" s="576" t="n"/>
      <c r="N58" s="576" t="n"/>
    </row>
    <row r="59">
      <c r="A59" s="247" t="inlineStr">
        <is>
          <t>FY28</t>
        </is>
      </c>
      <c r="B59" s="895">
        <f>D58</f>
        <v/>
      </c>
      <c r="C59" s="828">
        <f>'Capacity Forecast'!$E$100</f>
        <v/>
      </c>
      <c r="D59" s="828">
        <f>'Capacity Forecast'!$E$101</f>
        <v/>
      </c>
      <c r="E59" s="929">
        <f>IFERROR(D59/B59-1,"")</f>
        <v/>
      </c>
      <c r="F59" s="577" t="n"/>
      <c r="G59" s="577" t="n"/>
      <c r="H59" s="577" t="n"/>
      <c r="I59" s="577" t="n"/>
      <c r="J59" s="576" t="n"/>
      <c r="K59" s="576" t="n"/>
      <c r="L59" s="576" t="n"/>
      <c r="M59" s="576" t="n"/>
      <c r="N59" s="576" t="n"/>
    </row>
    <row r="60">
      <c r="A60" s="247" t="inlineStr">
        <is>
          <t>FY29</t>
        </is>
      </c>
      <c r="B60" s="895">
        <f>D59</f>
        <v/>
      </c>
      <c r="C60" s="828">
        <f>'Capacity Forecast'!$F$100</f>
        <v/>
      </c>
      <c r="D60" s="828">
        <f>'Capacity Forecast'!$F$101</f>
        <v/>
      </c>
      <c r="E60" s="929">
        <f>IFERROR(D60/B60-1,"")</f>
        <v/>
      </c>
      <c r="F60" s="577" t="n"/>
      <c r="G60" s="577" t="n"/>
      <c r="H60" s="577" t="n"/>
      <c r="I60" s="577" t="n"/>
      <c r="J60" s="576" t="n"/>
      <c r="K60" s="576" t="n"/>
      <c r="L60" s="576" t="n"/>
      <c r="M60" s="576" t="n"/>
      <c r="N60" s="576" t="n"/>
    </row>
    <row r="61">
      <c r="A61" s="247" t="inlineStr">
        <is>
          <t>FY30</t>
        </is>
      </c>
      <c r="B61" s="895">
        <f>D60</f>
        <v/>
      </c>
      <c r="C61" s="828">
        <f>'Capacity Forecast'!$G$100</f>
        <v/>
      </c>
      <c r="D61" s="828">
        <f>'Capacity Forecast'!$G$101</f>
        <v/>
      </c>
      <c r="E61" s="929">
        <f>IFERROR(D61/B61-1,"")</f>
        <v/>
      </c>
      <c r="F61" s="577" t="n"/>
      <c r="G61" s="577" t="n"/>
      <c r="H61" s="577" t="n"/>
      <c r="I61" s="577" t="n"/>
      <c r="J61" s="576" t="n"/>
      <c r="K61" s="576" t="n"/>
      <c r="L61" s="576" t="n"/>
      <c r="M61" s="576" t="n"/>
      <c r="N61" s="576" t="n"/>
    </row>
    <row r="62">
      <c r="A62" s="247" t="inlineStr">
        <is>
          <t>FY31</t>
        </is>
      </c>
      <c r="B62" s="895">
        <f>D61</f>
        <v/>
      </c>
      <c r="C62" s="828">
        <f>'Capacity Forecast'!$H$100</f>
        <v/>
      </c>
      <c r="D62" s="828">
        <f>'Capacity Forecast'!$H$101</f>
        <v/>
      </c>
      <c r="E62" s="929">
        <f>IFERROR(D62/B62-1,"")</f>
        <v/>
      </c>
      <c r="F62" s="577" t="n"/>
      <c r="G62" s="577" t="n"/>
      <c r="H62" s="577" t="n"/>
      <c r="I62" s="577" t="n"/>
      <c r="J62" s="576" t="n"/>
      <c r="K62" s="576" t="n"/>
      <c r="L62" s="576" t="n"/>
      <c r="M62" s="576" t="n"/>
      <c r="N62" s="576" t="n"/>
    </row>
    <row r="63">
      <c r="A63" s="247" t="inlineStr">
        <is>
          <t>FY32</t>
        </is>
      </c>
      <c r="B63" s="895">
        <f>D62</f>
        <v/>
      </c>
      <c r="C63" s="828">
        <f>'Capacity Forecast'!$I$100</f>
        <v/>
      </c>
      <c r="D63" s="828">
        <f>'Capacity Forecast'!$I$101</f>
        <v/>
      </c>
      <c r="E63" s="929">
        <f>IFERROR(D63/B63-1,"")</f>
        <v/>
      </c>
      <c r="F63" s="577" t="n"/>
      <c r="G63" s="577" t="n"/>
      <c r="H63" s="577" t="n"/>
      <c r="I63" s="577" t="n"/>
      <c r="J63" s="576" t="n"/>
      <c r="K63" s="576" t="n"/>
      <c r="L63" s="576" t="n"/>
      <c r="M63" s="576" t="n"/>
      <c r="N63" s="576" t="n"/>
    </row>
    <row r="64" ht="15" customHeight="1" s="632" thickBot="1">
      <c r="A64" s="248" t="inlineStr">
        <is>
          <t>FY33</t>
        </is>
      </c>
      <c r="B64" s="898">
        <f>D63</f>
        <v/>
      </c>
      <c r="C64" s="877">
        <f>'Capacity Forecast'!$J$100</f>
        <v/>
      </c>
      <c r="D64" s="877">
        <f>'Capacity Forecast'!$J$101</f>
        <v/>
      </c>
      <c r="E64" s="930">
        <f>IFERROR(D64/B64-1,"")</f>
        <v/>
      </c>
      <c r="F64" s="577" t="n"/>
      <c r="G64" s="577" t="n"/>
      <c r="H64" s="577" t="n"/>
      <c r="I64" s="577" t="n"/>
      <c r="J64" s="576" t="n"/>
      <c r="K64" s="576" t="n"/>
      <c r="L64" s="576" t="n"/>
      <c r="M64" s="576" t="n"/>
      <c r="N64" s="576" t="n"/>
    </row>
    <row r="65">
      <c r="A65" s="576" t="n"/>
      <c r="B65" s="577" t="n"/>
      <c r="C65" s="577" t="n"/>
      <c r="D65" s="577" t="n"/>
      <c r="E65" s="577" t="n"/>
      <c r="F65" s="577" t="n"/>
      <c r="G65" s="577" t="n"/>
      <c r="H65" s="577" t="n"/>
      <c r="I65" s="577" t="n"/>
      <c r="J65" s="576" t="n"/>
      <c r="K65" s="576" t="n"/>
      <c r="L65" s="576" t="n"/>
      <c r="M65" s="576" t="n"/>
      <c r="N65" s="576" t="n"/>
    </row>
    <row r="66">
      <c r="A66" s="576" t="n"/>
      <c r="B66" s="577" t="n"/>
      <c r="C66" s="577" t="n"/>
      <c r="D66" s="577" t="n"/>
      <c r="E66" s="577" t="n"/>
      <c r="F66" s="577" t="n"/>
      <c r="G66" s="577" t="n"/>
      <c r="H66" s="577" t="n"/>
      <c r="I66" s="577" t="n"/>
      <c r="J66" s="576" t="n"/>
      <c r="K66" s="576" t="n"/>
      <c r="L66" s="576" t="n"/>
      <c r="M66" s="576" t="n"/>
      <c r="N66" s="576" t="n"/>
    </row>
    <row r="67" ht="16.2" customHeight="1" s="632" thickBot="1">
      <c r="A67" s="493" t="inlineStr">
        <is>
          <t>Import &amp; Export Dependancy</t>
        </is>
      </c>
      <c r="J67" s="576" t="n"/>
      <c r="K67" s="576" t="n"/>
      <c r="L67" s="576" t="n"/>
      <c r="M67" s="576" t="n"/>
      <c r="N67" s="576" t="n"/>
    </row>
    <row r="68" ht="15" customHeight="1" s="632" thickBot="1">
      <c r="A68" s="525" t="inlineStr">
        <is>
          <t>Metric</t>
        </is>
      </c>
      <c r="B68" s="567" t="inlineStr">
        <is>
          <t>FY26A</t>
        </is>
      </c>
      <c r="C68" s="567" t="inlineStr">
        <is>
          <t>FY27E</t>
        </is>
      </c>
      <c r="D68" s="567" t="inlineStr">
        <is>
          <t>FY28E</t>
        </is>
      </c>
      <c r="E68" s="567" t="inlineStr">
        <is>
          <t>FY29E</t>
        </is>
      </c>
      <c r="F68" s="567" t="inlineStr">
        <is>
          <t>FY30E</t>
        </is>
      </c>
      <c r="G68" s="567" t="inlineStr">
        <is>
          <t>FY31E</t>
        </is>
      </c>
      <c r="H68" s="567" t="inlineStr">
        <is>
          <t>FY32E</t>
        </is>
      </c>
      <c r="I68" s="560" t="inlineStr">
        <is>
          <t>FY33E</t>
        </is>
      </c>
      <c r="J68" s="576" t="n"/>
      <c r="K68" s="576" t="n"/>
      <c r="L68" s="576" t="n"/>
      <c r="M68" s="576" t="n"/>
      <c r="N68" s="576" t="n"/>
    </row>
    <row r="69" ht="15" customHeight="1" s="632" thickTop="1">
      <c r="A69" s="246" t="inlineStr">
        <is>
          <t>Imports (Mt)</t>
        </is>
      </c>
      <c r="B69" s="827">
        <f>'Trade Model'!$C$76</f>
        <v/>
      </c>
      <c r="C69" s="827">
        <f>'Trade Model'!$D$76</f>
        <v/>
      </c>
      <c r="D69" s="827">
        <f>'Trade Model'!$E$76</f>
        <v/>
      </c>
      <c r="E69" s="827">
        <f>'Trade Model'!$F$76</f>
        <v/>
      </c>
      <c r="F69" s="827">
        <f>'Trade Model'!$G$76</f>
        <v/>
      </c>
      <c r="G69" s="827">
        <f>'Trade Model'!$H$76</f>
        <v/>
      </c>
      <c r="H69" s="827">
        <f>'Trade Model'!$I$76</f>
        <v/>
      </c>
      <c r="I69" s="901">
        <f>'Trade Model'!$J$76</f>
        <v/>
      </c>
      <c r="J69" s="576" t="n"/>
      <c r="K69" s="576" t="n"/>
      <c r="L69" s="576" t="n"/>
      <c r="M69" s="576" t="n"/>
      <c r="N69" s="576" t="n"/>
    </row>
    <row r="70">
      <c r="A70" s="247" t="inlineStr">
        <is>
          <t>Exports (Mt)</t>
        </is>
      </c>
      <c r="B70" s="828">
        <f>'Trade Model'!$C$78</f>
        <v/>
      </c>
      <c r="C70" s="828">
        <f>'Trade Model'!$D$78</f>
        <v/>
      </c>
      <c r="D70" s="828">
        <f>'Trade Model'!$E$78</f>
        <v/>
      </c>
      <c r="E70" s="828">
        <f>'Trade Model'!$F$78</f>
        <v/>
      </c>
      <c r="F70" s="828">
        <f>'Trade Model'!$G$78</f>
        <v/>
      </c>
      <c r="G70" s="828">
        <f>'Trade Model'!$H$78</f>
        <v/>
      </c>
      <c r="H70" s="828">
        <f>'Trade Model'!$I$78</f>
        <v/>
      </c>
      <c r="I70" s="902">
        <f>'Trade Model'!$J$78</f>
        <v/>
      </c>
      <c r="J70" s="576" t="n"/>
      <c r="K70" s="576" t="n"/>
      <c r="L70" s="576" t="n"/>
      <c r="M70" s="576" t="n"/>
      <c r="N70" s="576" t="n"/>
    </row>
    <row r="71">
      <c r="A71" s="247" t="inlineStr">
        <is>
          <t>Net Imports (Mt)</t>
        </is>
      </c>
      <c r="B71" s="931">
        <f>B69-B70</f>
        <v/>
      </c>
      <c r="C71" s="931">
        <f>C69-C70</f>
        <v/>
      </c>
      <c r="D71" s="931">
        <f>D69-D70</f>
        <v/>
      </c>
      <c r="E71" s="931">
        <f>E69-E70</f>
        <v/>
      </c>
      <c r="F71" s="931">
        <f>F69-F70</f>
        <v/>
      </c>
      <c r="G71" s="931">
        <f>G69-G70</f>
        <v/>
      </c>
      <c r="H71" s="931">
        <f>H69-H70</f>
        <v/>
      </c>
      <c r="I71" s="932">
        <f>I69-I70</f>
        <v/>
      </c>
      <c r="J71" s="576" t="n"/>
      <c r="K71" s="576" t="n"/>
      <c r="L71" s="576" t="n"/>
      <c r="M71" s="576" t="n"/>
      <c r="N71" s="576" t="n"/>
    </row>
    <row r="72">
      <c r="A72" s="247" t="inlineStr">
        <is>
          <t>Import Dependency (%)</t>
        </is>
      </c>
      <c r="B72" s="875">
        <f>'Trade Model'!$C$83</f>
        <v/>
      </c>
      <c r="C72" s="875">
        <f>'Trade Model'!$D$83</f>
        <v/>
      </c>
      <c r="D72" s="875">
        <f>'Trade Model'!$E$83</f>
        <v/>
      </c>
      <c r="E72" s="875">
        <f>'Trade Model'!$F$83</f>
        <v/>
      </c>
      <c r="F72" s="875">
        <f>'Trade Model'!$G$83</f>
        <v/>
      </c>
      <c r="G72" s="875">
        <f>'Trade Model'!$H$83</f>
        <v/>
      </c>
      <c r="H72" s="875">
        <f>'Trade Model'!$I$83</f>
        <v/>
      </c>
      <c r="I72" s="933">
        <f>'Trade Model'!$J$83</f>
        <v/>
      </c>
      <c r="J72" s="576" t="n"/>
      <c r="K72" s="576" t="n"/>
      <c r="L72" s="576" t="n"/>
      <c r="M72" s="576" t="n"/>
      <c r="N72" s="576" t="n"/>
    </row>
    <row r="73" ht="15" customHeight="1" s="632" thickBot="1">
      <c r="A73" s="248" t="inlineStr">
        <is>
          <t>Export Ratio (%)</t>
        </is>
      </c>
      <c r="B73" s="934">
        <f>'Trade Model'!$C$84</f>
        <v/>
      </c>
      <c r="C73" s="934">
        <f>'Trade Model'!$D$84</f>
        <v/>
      </c>
      <c r="D73" s="934">
        <f>'Trade Model'!$E$84</f>
        <v/>
      </c>
      <c r="E73" s="934">
        <f>'Trade Model'!$F$84</f>
        <v/>
      </c>
      <c r="F73" s="934">
        <f>'Trade Model'!$G$84</f>
        <v/>
      </c>
      <c r="G73" s="934">
        <f>'Trade Model'!$H$84</f>
        <v/>
      </c>
      <c r="H73" s="934">
        <f>'Trade Model'!$I$84</f>
        <v/>
      </c>
      <c r="I73" s="935">
        <f>'Trade Model'!$J$84</f>
        <v/>
      </c>
      <c r="J73" s="576" t="n"/>
      <c r="K73" s="576" t="n"/>
      <c r="L73" s="576" t="n"/>
      <c r="M73" s="576" t="n"/>
      <c r="N73" s="576" t="n"/>
    </row>
    <row r="74">
      <c r="A74" s="576" t="n"/>
      <c r="B74" s="577" t="n"/>
      <c r="C74" s="577" t="n"/>
      <c r="D74" s="577" t="n"/>
      <c r="E74" s="577" t="n"/>
      <c r="F74" s="577" t="n"/>
      <c r="G74" s="577" t="n"/>
      <c r="H74" s="577" t="n"/>
      <c r="I74" s="577" t="n"/>
      <c r="J74" s="576" t="n"/>
      <c r="K74" s="576" t="n"/>
      <c r="L74" s="576" t="n"/>
      <c r="M74" s="576" t="n"/>
      <c r="N74" s="576" t="n"/>
    </row>
    <row r="75">
      <c r="A75" s="576" t="n"/>
      <c r="B75" s="577" t="n"/>
      <c r="C75" s="577" t="n"/>
      <c r="D75" s="577" t="n"/>
      <c r="E75" s="577" t="n"/>
      <c r="F75" s="577" t="n"/>
      <c r="G75" s="577" t="n"/>
      <c r="H75" s="577" t="n"/>
      <c r="I75" s="577" t="n"/>
      <c r="J75" s="576" t="n"/>
      <c r="K75" s="576" t="n"/>
      <c r="L75" s="576" t="n"/>
      <c r="M75" s="576" t="n"/>
      <c r="N75" s="576" t="n"/>
    </row>
    <row r="76" ht="16.2" customHeight="1" s="632" thickBot="1">
      <c r="A76" s="493" t="inlineStr">
        <is>
          <t>Supply Risks</t>
        </is>
      </c>
      <c r="J76" s="576" t="n"/>
      <c r="K76" s="576" t="n"/>
      <c r="L76" s="576" t="n"/>
      <c r="M76" s="576" t="n"/>
      <c r="N76" s="576" t="n"/>
    </row>
    <row r="77" ht="15" customHeight="1" s="632" thickBot="1">
      <c r="A77" s="525" t="inlineStr">
        <is>
          <t>Risk</t>
        </is>
      </c>
      <c r="B77" s="567" t="inlineStr">
        <is>
          <t>FY27</t>
        </is>
      </c>
      <c r="C77" s="567" t="inlineStr">
        <is>
          <t>FY28</t>
        </is>
      </c>
      <c r="D77" s="567" t="inlineStr">
        <is>
          <t>FY29</t>
        </is>
      </c>
      <c r="E77" s="567" t="inlineStr">
        <is>
          <t>FY30E</t>
        </is>
      </c>
      <c r="F77" s="567" t="inlineStr">
        <is>
          <t>FY31E</t>
        </is>
      </c>
      <c r="G77" s="567" t="inlineStr">
        <is>
          <t>FY32E</t>
        </is>
      </c>
      <c r="H77" s="567" t="inlineStr">
        <is>
          <t>FY33E</t>
        </is>
      </c>
      <c r="I77" s="560" t="inlineStr">
        <is>
          <t>Impact</t>
        </is>
      </c>
      <c r="K77" s="707" t="inlineStr">
        <is>
          <t>Ref</t>
        </is>
      </c>
      <c r="L77" s="576" t="n"/>
      <c r="M77" s="576" t="n"/>
      <c r="N77" s="576" t="n"/>
    </row>
    <row r="78" ht="15" customHeight="1" s="632" thickTop="1">
      <c r="A78" s="246" t="inlineStr">
        <is>
          <t>Iron Ore Availability</t>
        </is>
      </c>
      <c r="B78" s="936" t="n">
        <v>2</v>
      </c>
      <c r="C78" s="937">
        <f>$B$78+($H$78-$B$78)*1/6</f>
        <v/>
      </c>
      <c r="D78" s="937">
        <f>$B$78+($H$78-$B$78)*2/6</f>
        <v/>
      </c>
      <c r="E78" s="937">
        <f>$B$78+($H$78-$B$78)*3/6</f>
        <v/>
      </c>
      <c r="F78" s="938">
        <f>$B$78+($H$78-$B$78)*4/6</f>
        <v/>
      </c>
      <c r="G78" s="938">
        <f>$B$78+($H$78-$B$78)*5/6</f>
        <v/>
      </c>
      <c r="H78" s="939" t="n">
        <v>2</v>
      </c>
      <c r="I78" s="940" t="inlineStr">
        <is>
          <t>Iron ore availability is the least binding of the six. India is a net exporter of iron ore and the model prices ore off the World Bank CFR China benchmark, so a domestic availability shock would show up as a price event, which the Stress Case already carries at US$115/dmt.</t>
        </is>
      </c>
      <c r="J78" s="576" t="n"/>
      <c r="K78" s="708" t="inlineStr">
        <is>
          <t>SM03</t>
        </is>
      </c>
      <c r="L78" s="576" t="n"/>
      <c r="M78" s="576" t="n"/>
      <c r="N78" s="576" t="n"/>
    </row>
    <row r="79">
      <c r="A79" s="247" t="inlineStr">
        <is>
          <t>Coal Supply</t>
        </is>
      </c>
      <c r="B79" s="941" t="n">
        <v>4</v>
      </c>
      <c r="C79" s="942">
        <f>$B$79+($H$79-$B$79)*1/6</f>
        <v/>
      </c>
      <c r="D79" s="942">
        <f>$B$79+($H$79-$B$79)*2/6</f>
        <v/>
      </c>
      <c r="E79" s="942">
        <f>$B$79+($H$79-$B$79)*3/6</f>
        <v/>
      </c>
      <c r="F79" s="943">
        <f>$B$79+($H$79-$B$79)*4/6</f>
        <v/>
      </c>
      <c r="G79" s="943">
        <f>$B$79+($H$79-$B$79)*5/6</f>
        <v/>
      </c>
      <c r="H79" s="944" t="n">
        <v>4</v>
      </c>
      <c r="I79" s="945" t="inlineStr">
        <is>
          <t>Coal supply is the most material. India imports substantially all of its coking coal and the Master Industry Database records no fiscal-year average price (Conflict C01). The Stress Case takes premium HCC to US$300/t, which is below the October-2023 observed peak of US$354/t.</t>
        </is>
      </c>
      <c r="J79" s="576" t="n"/>
      <c r="K79" s="708" t="inlineStr">
        <is>
          <t>SM03</t>
        </is>
      </c>
      <c r="L79" s="576" t="n"/>
      <c r="M79" s="576" t="n"/>
      <c r="N79" s="576" t="n"/>
    </row>
    <row r="80">
      <c r="A80" s="247" t="inlineStr">
        <is>
          <t>Logistics</t>
        </is>
      </c>
      <c r="B80" s="941" t="n">
        <v>3</v>
      </c>
      <c r="C80" s="942">
        <f>$B$80+($H$80-$B$80)*1/6</f>
        <v/>
      </c>
      <c r="D80" s="942">
        <f>$B$80+($H$80-$B$80)*2/6</f>
        <v/>
      </c>
      <c r="E80" s="942">
        <f>$B$80+($H$80-$B$80)*3/6</f>
        <v/>
      </c>
      <c r="F80" s="943">
        <f>$B$80+($H$80-$B$80)*4/6</f>
        <v/>
      </c>
      <c r="G80" s="943">
        <f>$B$80+($H$80-$B$80)*5/6</f>
        <v/>
      </c>
      <c r="H80" s="944" t="n">
        <v>2</v>
      </c>
      <c r="I80" s="945" t="inlineStr">
        <is>
          <t>Logistics is not separately modelled. It sits inside conversion cost, which is indexed to RBI CPI. A freight shock would therefore be understated by this model.</t>
        </is>
      </c>
      <c r="J80" s="576" t="n"/>
      <c r="K80" s="708" t="inlineStr">
        <is>
          <t>SM03</t>
        </is>
      </c>
      <c r="L80" s="576" t="n"/>
      <c r="M80" s="576" t="n"/>
      <c r="N80" s="576" t="n"/>
    </row>
    <row r="81">
      <c r="A81" s="247" t="inlineStr">
        <is>
          <t>Power Availability</t>
        </is>
      </c>
      <c r="B81" s="941" t="n">
        <v>3</v>
      </c>
      <c r="C81" s="942">
        <f>$B$81+($H$81-$B$81)*1/6</f>
        <v/>
      </c>
      <c r="D81" s="942">
        <f>$B$81+($H$81-$B$81)*2/6</f>
        <v/>
      </c>
      <c r="E81" s="942">
        <f>$B$81+($H$81-$B$81)*3/6</f>
        <v/>
      </c>
      <c r="F81" s="943">
        <f>$B$81+($H$81-$B$81)*4/6</f>
        <v/>
      </c>
      <c r="G81" s="943">
        <f>$B$81+($H$81-$B$81)*5/6</f>
        <v/>
      </c>
      <c r="H81" s="944" t="n">
        <v>2</v>
      </c>
      <c r="I81" s="945" t="inlineStr">
        <is>
          <t>Power availability is not separately modelled and sits inside conversion cost. India is the world's largest DRI producer at 60.3 Mt, and the DRI-EAF route is materially more exposed to power and thermal coal than the BF-BOF route.</t>
        </is>
      </c>
      <c r="J81" s="576" t="n"/>
      <c r="K81" s="708" t="inlineStr">
        <is>
          <t>SM03</t>
        </is>
      </c>
      <c r="L81" s="576" t="n"/>
      <c r="M81" s="576" t="n"/>
      <c r="N81" s="576" t="n"/>
    </row>
    <row r="82">
      <c r="A82" s="247" t="inlineStr">
        <is>
          <t>Environmental Regulation</t>
        </is>
      </c>
      <c r="B82" s="941" t="n">
        <v>3</v>
      </c>
      <c r="C82" s="942">
        <f>$B$82+($H$82-$B$82)*1/6</f>
        <v/>
      </c>
      <c r="D82" s="942">
        <f>$B$82+($H$82-$B$82)*2/6</f>
        <v/>
      </c>
      <c r="E82" s="942">
        <f>$B$82+($H$82-$B$82)*3/6</f>
        <v/>
      </c>
      <c r="F82" s="943">
        <f>$B$82+($H$82-$B$82)*4/6</f>
        <v/>
      </c>
      <c r="G82" s="943">
        <f>$B$82+($H$82-$B$82)*5/6</f>
        <v/>
      </c>
      <c r="H82" s="944" t="n">
        <v>5</v>
      </c>
      <c r="I82" s="945" t="inlineStr">
        <is>
          <t>Environmental regulation is quantified only through the CBAM calculation on 20 ESG Model and the green steel taxonomy thresholds. A domestic carbon price is not modelled because none is in force.</t>
        </is>
      </c>
      <c r="J82" s="576" t="n"/>
      <c r="K82" s="708" t="inlineStr">
        <is>
          <t>SM03</t>
        </is>
      </c>
      <c r="L82" s="576" t="n"/>
      <c r="M82" s="576" t="n"/>
      <c r="N82" s="576" t="n"/>
    </row>
    <row r="83" ht="15" customHeight="1" s="632" thickBot="1">
      <c r="A83" s="248" t="inlineStr">
        <is>
          <t>Plant Shutdowns</t>
        </is>
      </c>
      <c r="B83" s="946" t="n">
        <v>2</v>
      </c>
      <c r="C83" s="947">
        <f>$B$83+($H$83-$B$83)*1/6</f>
        <v/>
      </c>
      <c r="D83" s="947">
        <f>$B$83+($H$83-$B$83)*2/6</f>
        <v/>
      </c>
      <c r="E83" s="947">
        <f>$B$83+($H$83-$B$83)*3/6</f>
        <v/>
      </c>
      <c r="F83" s="948">
        <f>$B$83+($H$83-$B$83)*4/6</f>
        <v/>
      </c>
      <c r="G83" s="948">
        <f>$B$83+($H$83-$B$83)*5/6</f>
        <v/>
      </c>
      <c r="H83" s="949" t="n">
        <v>2</v>
      </c>
      <c r="I83" s="950" t="inlineStr">
        <is>
          <t>Plant shutdowns are not modelled. The maximum practical utilisation ceiling of 92% is the only allowance for maintenance and relining, and it is an unsourced indicative parameter.</t>
        </is>
      </c>
      <c r="J83" s="576" t="n"/>
      <c r="K83" s="708" t="inlineStr">
        <is>
          <t>SM03</t>
        </is>
      </c>
      <c r="L83" s="576" t="n"/>
      <c r="M83" s="576" t="n"/>
      <c r="N83" s="576" t="n"/>
    </row>
    <row r="84">
      <c r="A84" s="576" t="n"/>
      <c r="B84" s="577" t="n"/>
      <c r="C84" s="577" t="n"/>
      <c r="D84" s="577" t="n"/>
      <c r="E84" s="577" t="n"/>
      <c r="F84" s="577" t="n"/>
      <c r="G84" s="577" t="n"/>
      <c r="H84" s="577" t="n"/>
      <c r="I84" s="577" t="n"/>
      <c r="J84" s="576" t="n"/>
      <c r="K84" s="576" t="n"/>
      <c r="L84" s="576" t="n"/>
      <c r="M84" s="576" t="n"/>
      <c r="N84" s="576" t="n"/>
    </row>
    <row r="85">
      <c r="A85" s="576" t="n"/>
      <c r="B85" s="577" t="n"/>
      <c r="C85" s="577" t="n"/>
      <c r="D85" s="577" t="n"/>
      <c r="E85" s="577" t="n"/>
      <c r="F85" s="577" t="n"/>
      <c r="G85" s="577" t="n"/>
      <c r="H85" s="577" t="n"/>
      <c r="I85" s="577" t="n"/>
      <c r="J85" s="576" t="n"/>
      <c r="K85" s="576" t="n"/>
      <c r="L85" s="576" t="n"/>
      <c r="M85" s="576" t="n"/>
      <c r="N85" s="576" t="n"/>
    </row>
    <row r="86">
      <c r="A86" s="576" t="n"/>
      <c r="B86" s="577" t="n"/>
      <c r="C86" s="577" t="n"/>
      <c r="D86" s="577" t="n"/>
      <c r="E86" s="577" t="n"/>
      <c r="F86" s="577" t="n"/>
      <c r="G86" s="577" t="n"/>
      <c r="H86" s="577" t="n"/>
      <c r="I86" s="577" t="n"/>
      <c r="J86" s="576" t="n"/>
      <c r="K86" s="576" t="n"/>
      <c r="L86" s="576" t="n"/>
      <c r="M86" s="576" t="n"/>
      <c r="N86" s="576" t="n"/>
    </row>
    <row r="87" ht="15" customHeight="1" s="632" thickBot="1">
      <c r="A87" s="371" t="n"/>
    </row>
    <row r="88">
      <c r="A88" s="63" t="inlineStr">
        <is>
          <t>Line item</t>
        </is>
      </c>
      <c r="B88" s="65" t="inlineStr">
        <is>
          <t>Unit</t>
        </is>
      </c>
      <c r="C88" s="65" t="inlineStr">
        <is>
          <t>FY2026A</t>
        </is>
      </c>
      <c r="D88" s="65" t="inlineStr">
        <is>
          <t>FY2027E</t>
        </is>
      </c>
      <c r="E88" s="65" t="inlineStr">
        <is>
          <t>FY2028E</t>
        </is>
      </c>
      <c r="F88" s="65" t="inlineStr">
        <is>
          <t>FY2029E</t>
        </is>
      </c>
      <c r="G88" s="65" t="inlineStr">
        <is>
          <t>FY2030E</t>
        </is>
      </c>
      <c r="H88" s="65" t="inlineStr">
        <is>
          <t>FY2031E</t>
        </is>
      </c>
      <c r="I88" s="65" t="inlineStr">
        <is>
          <t>FY2032E</t>
        </is>
      </c>
      <c r="J88" s="65" t="inlineStr">
        <is>
          <t>FY2033E</t>
        </is>
      </c>
      <c r="K88" s="65" t="inlineStr">
        <is>
          <t>CAGR</t>
        </is>
      </c>
      <c r="L88" s="409" t="inlineStr">
        <is>
          <t>Source</t>
        </is>
      </c>
      <c r="M88" s="65" t="inlineStr">
        <is>
          <t>Conf.</t>
        </is>
      </c>
      <c r="N88" s="410" t="inlineStr">
        <is>
          <t>Notes / methodology</t>
        </is>
      </c>
      <c r="P88" s="707" t="inlineStr">
        <is>
          <t>Ref</t>
        </is>
      </c>
    </row>
    <row r="89" ht="27.6" customHeight="1" s="632">
      <c r="A89" s="69" t="inlineStr">
        <is>
          <t>Apparent finished steel consumption</t>
        </is>
      </c>
      <c r="B89" s="78" t="inlineStr">
        <is>
          <t>Mt</t>
        </is>
      </c>
      <c r="C89" s="907" t="n">
        <v>163.74</v>
      </c>
      <c r="D89" s="907">
        <f>'Steel Demand Model'!D$116</f>
        <v/>
      </c>
      <c r="E89" s="907">
        <f>'Steel Demand Model'!E$116</f>
        <v/>
      </c>
      <c r="F89" s="907">
        <f>'Steel Demand Model'!F$116</f>
        <v/>
      </c>
      <c r="G89" s="907">
        <f>'Steel Demand Model'!G$116</f>
        <v/>
      </c>
      <c r="H89" s="907">
        <f>'Steel Demand Model'!H$116</f>
        <v/>
      </c>
      <c r="I89" s="907">
        <f>'Steel Demand Model'!I$116</f>
        <v/>
      </c>
      <c r="J89" s="907">
        <f>'Steel Demand Model'!J$116</f>
        <v/>
      </c>
      <c r="K89" s="83" t="n"/>
      <c r="L89" s="344" t="inlineStr">
        <is>
          <t>04 Demand</t>
        </is>
      </c>
      <c r="M89" s="352" t="inlineStr">
        <is>
          <t>High</t>
        </is>
      </c>
      <c r="N89" s="68" t="n"/>
      <c r="P89" s="708" t="inlineStr">
        <is>
          <t>SM04</t>
        </is>
      </c>
    </row>
    <row r="90" ht="36" customHeight="1" s="632">
      <c r="A90" s="69" t="inlineStr">
        <is>
          <t>Net finished steel exports</t>
        </is>
      </c>
      <c r="B90" s="78" t="inlineStr">
        <is>
          <t>Mt</t>
        </is>
      </c>
      <c r="C90" s="907" t="n">
        <v>0.078</v>
      </c>
      <c r="D90" s="907">
        <f>'Model Assumptions'!E$14</f>
        <v/>
      </c>
      <c r="E90" s="907">
        <f>'Model Assumptions'!F$14</f>
        <v/>
      </c>
      <c r="F90" s="907">
        <f>'Model Assumptions'!G$14</f>
        <v/>
      </c>
      <c r="G90" s="907">
        <f>'Model Assumptions'!H$14</f>
        <v/>
      </c>
      <c r="H90" s="907">
        <f>'Model Assumptions'!I$14</f>
        <v/>
      </c>
      <c r="I90" s="907">
        <f>'Model Assumptions'!J$14</f>
        <v/>
      </c>
      <c r="J90" s="907">
        <f>'Model Assumptions'!K$14</f>
        <v/>
      </c>
      <c r="K90" s="83" t="n"/>
      <c r="L90" s="344" t="inlineStr">
        <is>
          <t>Derived from Master DB</t>
        </is>
      </c>
      <c r="M90" s="352" t="inlineStr">
        <is>
          <t>Medium</t>
        </is>
      </c>
      <c r="N90" s="345" t="inlineStr">
        <is>
          <t>FY2026A of +0.078 Mt - India returned to net exporter status having been 4.693 Mt net importer in FY2025, a 4.77 Mt swing in one year.</t>
        </is>
      </c>
      <c r="P90" s="708" t="inlineStr">
        <is>
          <t>SM05</t>
        </is>
      </c>
    </row>
    <row r="91" ht="36" customHeight="1" s="632">
      <c r="A91" s="69" t="inlineStr">
        <is>
          <t>Variation in stock</t>
        </is>
      </c>
      <c r="B91" s="78" t="inlineStr">
        <is>
          <t>Mt</t>
        </is>
      </c>
      <c r="C91" s="907" t="n">
        <v>-2.88</v>
      </c>
      <c r="D91" s="907">
        <f>'Model Assumptions'!E$15</f>
        <v/>
      </c>
      <c r="E91" s="907">
        <f>'Model Assumptions'!F$15</f>
        <v/>
      </c>
      <c r="F91" s="907">
        <f>'Model Assumptions'!G$15</f>
        <v/>
      </c>
      <c r="G91" s="907">
        <f>'Model Assumptions'!H$15</f>
        <v/>
      </c>
      <c r="H91" s="907">
        <f>'Model Assumptions'!I$15</f>
        <v/>
      </c>
      <c r="I91" s="907">
        <f>'Model Assumptions'!J$15</f>
        <v/>
      </c>
      <c r="J91" s="907">
        <f>'Model Assumptions'!K$15</f>
        <v/>
      </c>
      <c r="K91" s="83" t="n"/>
      <c r="L91" s="344" t="inlineStr">
        <is>
          <t>Master DB supply balance</t>
        </is>
      </c>
      <c r="M91" s="352" t="inlineStr">
        <is>
          <t>Medium</t>
        </is>
      </c>
      <c r="N91" s="345" t="inlineStr">
        <is>
          <t>FY2026A of -2.88 Mt, i.e. a DESTOCK of about 1.8% of consumption which flattered reported consumption growth. Base normalises to a small restock.</t>
        </is>
      </c>
      <c r="P91" s="708" t="inlineStr">
        <is>
          <t>SM06</t>
        </is>
      </c>
    </row>
    <row r="92" ht="36" customHeight="1" s="632">
      <c r="A92" s="69" t="inlineStr">
        <is>
          <t>Required finished steel production</t>
        </is>
      </c>
      <c r="B92" s="78" t="inlineStr">
        <is>
          <t>Mt</t>
        </is>
      </c>
      <c r="C92" s="907" t="n">
        <v>160.94</v>
      </c>
      <c r="D92" s="91">
        <f>D89+D90+D91</f>
        <v/>
      </c>
      <c r="E92" s="907">
        <f>E89+E90+E91</f>
        <v/>
      </c>
      <c r="F92" s="907">
        <f>F89+F90+F91</f>
        <v/>
      </c>
      <c r="G92" s="907">
        <f>G89+G90+G91</f>
        <v/>
      </c>
      <c r="H92" s="907">
        <f>H89+H90+H91</f>
        <v/>
      </c>
      <c r="I92" s="907">
        <f>I89+I90+I91</f>
        <v/>
      </c>
      <c r="J92" s="907">
        <f>J89+J90+J91</f>
        <v/>
      </c>
      <c r="K92" s="83" t="n"/>
      <c r="L92" s="344" t="inlineStr">
        <is>
          <t>Computed - JPC identity</t>
        </is>
      </c>
      <c r="M92" s="352" t="inlineStr">
        <is>
          <t>High</t>
        </is>
      </c>
      <c r="N92" s="345" t="inlineStr">
        <is>
          <t>IDENTITY CHECK: 163.74 + 0.078 + (-2.88) = 160.94, which equals the reported FY2026 finished steel production exactly. The balance closes.</t>
        </is>
      </c>
      <c r="P92" s="708" t="inlineStr">
        <is>
          <t>SM07</t>
        </is>
      </c>
    </row>
    <row r="93" ht="24" customHeight="1" s="632">
      <c r="A93" s="69" t="inlineStr">
        <is>
          <t>Crude-to-finished steel ratio</t>
        </is>
      </c>
      <c r="B93" s="78" t="inlineStr">
        <is>
          <t>x</t>
        </is>
      </c>
      <c r="C93" s="92" t="n">
        <v>1.04647</v>
      </c>
      <c r="D93" s="92">
        <f>'Model Assumptions'!E$13</f>
        <v/>
      </c>
      <c r="E93" s="92">
        <f>'Model Assumptions'!F$13</f>
        <v/>
      </c>
      <c r="F93" s="92">
        <f>'Model Assumptions'!G$13</f>
        <v/>
      </c>
      <c r="G93" s="92">
        <f>'Model Assumptions'!H$13</f>
        <v/>
      </c>
      <c r="H93" s="92">
        <f>'Model Assumptions'!I$13</f>
        <v/>
      </c>
      <c r="I93" s="92">
        <f>'Model Assumptions'!J$13</f>
        <v/>
      </c>
      <c r="J93" s="92">
        <f>'Model Assumptions'!K$13</f>
        <v/>
      </c>
      <c r="K93" s="83" t="n"/>
      <c r="L93" s="344" t="inlineStr">
        <is>
          <t>Derived from Master DB</t>
        </is>
      </c>
      <c r="M93" s="352" t="inlineStr">
        <is>
          <t>High</t>
        </is>
      </c>
      <c r="N93" s="345" t="inlineStr">
        <is>
          <t>168.42 / 160.94 on the April-2026 vintage. On the June vintage it would be 1.0413, a 0.5% difference.</t>
        </is>
      </c>
      <c r="P93" s="708" t="inlineStr">
        <is>
          <t>SM08</t>
        </is>
      </c>
    </row>
    <row r="94" ht="27.6" customHeight="1" s="632">
      <c r="A94" s="69" t="inlineStr">
        <is>
          <t>Required crude steel production (unconstrained)</t>
        </is>
      </c>
      <c r="B94" s="78" t="inlineStr">
        <is>
          <t>Mt</t>
        </is>
      </c>
      <c r="C94" s="907" t="n">
        <v>168.42</v>
      </c>
      <c r="D94" s="907">
        <f>D92*D93</f>
        <v/>
      </c>
      <c r="E94" s="907">
        <f>E92*E93</f>
        <v/>
      </c>
      <c r="F94" s="907">
        <f>F92*F93</f>
        <v/>
      </c>
      <c r="G94" s="907">
        <f>G92*G93</f>
        <v/>
      </c>
      <c r="H94" s="907">
        <f>H92*H93</f>
        <v/>
      </c>
      <c r="I94" s="907">
        <f>I92*I93</f>
        <v/>
      </c>
      <c r="J94" s="907">
        <f>J92*J93</f>
        <v/>
      </c>
      <c r="K94" s="83" t="n"/>
      <c r="L94" s="344" t="inlineStr">
        <is>
          <t>Computed</t>
        </is>
      </c>
      <c r="M94" s="352" t="inlineStr">
        <is>
          <t>High</t>
        </is>
      </c>
      <c r="N94" s="68" t="n"/>
      <c r="P94" s="708" t="inlineStr">
        <is>
          <t>SM09</t>
        </is>
      </c>
    </row>
    <row r="95">
      <c r="A95" s="384" t="inlineStr">
        <is>
          <t>CAPACITY CEILING</t>
        </is>
      </c>
      <c r="B95" s="837" t="n"/>
      <c r="C95" s="837" t="n"/>
      <c r="D95" s="837" t="n"/>
      <c r="E95" s="837" t="n"/>
      <c r="F95" s="837" t="n"/>
      <c r="G95" s="837" t="n"/>
      <c r="H95" s="837" t="n"/>
      <c r="I95" s="837" t="n"/>
      <c r="J95" s="837" t="n"/>
      <c r="K95" s="837" t="n"/>
      <c r="L95" s="837" t="n"/>
      <c r="M95" s="837" t="n"/>
      <c r="N95" s="951" t="n"/>
    </row>
    <row r="96">
      <c r="A96" s="69" t="inlineStr">
        <is>
          <t>Crude steel capacity</t>
        </is>
      </c>
      <c r="B96" s="78" t="inlineStr">
        <is>
          <t>Mtpa</t>
        </is>
      </c>
      <c r="C96" s="952" t="n">
        <v>220.4</v>
      </c>
      <c r="D96" s="952">
        <f>'Capacity Forecast'!D$101</f>
        <v/>
      </c>
      <c r="E96" s="952">
        <f>'Capacity Forecast'!E$101</f>
        <v/>
      </c>
      <c r="F96" s="952">
        <f>'Capacity Forecast'!F$101</f>
        <v/>
      </c>
      <c r="G96" s="952">
        <f>'Capacity Forecast'!G$101</f>
        <v/>
      </c>
      <c r="H96" s="952">
        <f>'Capacity Forecast'!H$101</f>
        <v/>
      </c>
      <c r="I96" s="952">
        <f>'Capacity Forecast'!I$101</f>
        <v/>
      </c>
      <c r="J96" s="952">
        <f>'Capacity Forecast'!J$101</f>
        <v/>
      </c>
      <c r="K96" s="83" t="n"/>
      <c r="L96" s="344" t="inlineStr">
        <is>
          <t>06 Capacity</t>
        </is>
      </c>
      <c r="M96" s="352" t="inlineStr">
        <is>
          <t>High</t>
        </is>
      </c>
      <c r="N96" s="68" t="n"/>
      <c r="P96" s="708" t="inlineStr">
        <is>
          <t>SM10</t>
        </is>
      </c>
    </row>
    <row r="97" ht="36" customHeight="1" s="632">
      <c r="A97" s="69" t="inlineStr">
        <is>
          <t>Maximum practical utilisation</t>
        </is>
      </c>
      <c r="B97" s="78" t="inlineStr">
        <is>
          <t>%</t>
        </is>
      </c>
      <c r="C97" s="83" t="n"/>
      <c r="D97" s="904">
        <f>'Model Assumptions'!E$32</f>
        <v/>
      </c>
      <c r="E97" s="904">
        <f>'Model Assumptions'!F$32</f>
        <v/>
      </c>
      <c r="F97" s="904">
        <f>'Model Assumptions'!G$32</f>
        <v/>
      </c>
      <c r="G97" s="904">
        <f>'Model Assumptions'!H$32</f>
        <v/>
      </c>
      <c r="H97" s="904">
        <f>'Model Assumptions'!I$32</f>
        <v/>
      </c>
      <c r="I97" s="904">
        <f>'Model Assumptions'!J$32</f>
        <v/>
      </c>
      <c r="J97" s="904">
        <f>'Model Assumptions'!K$32</f>
        <v/>
      </c>
      <c r="K97" s="83" t="n"/>
      <c r="L97" s="344" t="inlineStr">
        <is>
          <t>Indicative</t>
        </is>
      </c>
      <c r="M97" s="352" t="inlineStr">
        <is>
          <t>Low</t>
        </is>
      </c>
      <c r="N97" s="345" t="inlineStr">
        <is>
          <t>92%. Allows for maintenance and relining. Individual assets can exceed nameplate - the database records SAIL Rourkela at 103.8% - but a national aggregate cannot.</t>
        </is>
      </c>
      <c r="P97" s="708" t="inlineStr">
        <is>
          <t>SM11</t>
        </is>
      </c>
    </row>
    <row r="98">
      <c r="A98" s="69" t="inlineStr">
        <is>
          <t>Maximum crude steel production</t>
        </is>
      </c>
      <c r="B98" s="78" t="inlineStr">
        <is>
          <t>Mt</t>
        </is>
      </c>
      <c r="C98" s="83" t="n"/>
      <c r="D98" s="907">
        <f>D96*D97</f>
        <v/>
      </c>
      <c r="E98" s="907">
        <f>E96*E97</f>
        <v/>
      </c>
      <c r="F98" s="907">
        <f>F96*F97</f>
        <v/>
      </c>
      <c r="G98" s="907">
        <f>G96*G97</f>
        <v/>
      </c>
      <c r="H98" s="907">
        <f>H96*H97</f>
        <v/>
      </c>
      <c r="I98" s="907">
        <f>I96*I97</f>
        <v/>
      </c>
      <c r="J98" s="907">
        <f>J96*J97</f>
        <v/>
      </c>
      <c r="K98" s="83" t="n"/>
      <c r="L98" s="344" t="inlineStr">
        <is>
          <t>Computed</t>
        </is>
      </c>
      <c r="M98" s="352" t="inlineStr">
        <is>
          <t>Low</t>
        </is>
      </c>
      <c r="N98" s="68" t="n"/>
      <c r="P98" s="708" t="inlineStr">
        <is>
          <t>SM12</t>
        </is>
      </c>
    </row>
    <row r="99" ht="48" customHeight="1" s="632">
      <c r="A99" s="76" t="inlineStr">
        <is>
          <t>Crude steel production</t>
        </is>
      </c>
      <c r="B99" s="78" t="inlineStr">
        <is>
          <t>Mt</t>
        </is>
      </c>
      <c r="C99" s="905" t="n">
        <v>168.42</v>
      </c>
      <c r="D99" s="905">
        <f>MIN(D94,D98)</f>
        <v/>
      </c>
      <c r="E99" s="905">
        <f>MIN(E94,E98)</f>
        <v/>
      </c>
      <c r="F99" s="905">
        <f>MIN(F94,F98)</f>
        <v/>
      </c>
      <c r="G99" s="905">
        <f>MIN(G94,G98)</f>
        <v/>
      </c>
      <c r="H99" s="905">
        <f>MIN(H94,H98)</f>
        <v/>
      </c>
      <c r="I99" s="905">
        <f>MIN(I94,I98)</f>
        <v/>
      </c>
      <c r="J99" s="905">
        <f>MIN(J94,J98)</f>
        <v/>
      </c>
      <c r="K99" s="904">
        <f>IFERROR(IF(AND(ISNUMBER(C99),ISNUMBER(J99),C99&gt;0),(J99/C99)^(1/7)-1,""),"")</f>
        <v/>
      </c>
      <c r="L99" s="344" t="inlineStr">
        <is>
          <t>Computed</t>
        </is>
      </c>
      <c r="M99" s="352" t="inlineStr">
        <is>
          <t>High</t>
        </is>
      </c>
      <c r="N99" s="345" t="inlineStr">
        <is>
          <t>The binding constraint. In the base case the ceiling does NOT bind - peak utilisation is 84.0% in FY2033 - which is itself an important finding: India is not capacity-constrained on this demand path.</t>
        </is>
      </c>
      <c r="P99" s="708" t="inlineStr">
        <is>
          <t>SM13</t>
        </is>
      </c>
    </row>
    <row r="100" ht="24" customHeight="1" s="632">
      <c r="A100" s="69" t="inlineStr">
        <is>
          <t>Capacity ceiling binding?</t>
        </is>
      </c>
      <c r="B100" s="78" t="inlineStr">
        <is>
          <t>flag</t>
        </is>
      </c>
      <c r="C100" s="83" t="n"/>
      <c r="D100" s="95">
        <f>IF(D94&gt;D98+0.001,"BINDING","no")</f>
        <v/>
      </c>
      <c r="E100" s="95">
        <f>IF(E94&gt;E98+0.001,"BINDING","no")</f>
        <v/>
      </c>
      <c r="F100" s="95">
        <f>IF(F94&gt;F98+0.001,"BINDING","no")</f>
        <v/>
      </c>
      <c r="G100" s="95">
        <f>IF(G94&gt;G98+0.001,"BINDING","no")</f>
        <v/>
      </c>
      <c r="H100" s="95">
        <f>IF(H94&gt;H98+0.001,"BINDING","no")</f>
        <v/>
      </c>
      <c r="I100" s="95">
        <f>IF(I94&gt;I98+0.001,"BINDING","no")</f>
        <v/>
      </c>
      <c r="J100" s="95">
        <f>IF(J94&gt;J98+0.001,"BINDING","no")</f>
        <v/>
      </c>
      <c r="K100" s="83" t="n"/>
      <c r="L100" s="344" t="inlineStr">
        <is>
          <t>Computed</t>
        </is>
      </c>
      <c r="M100" s="352" t="inlineStr">
        <is>
          <t>High</t>
        </is>
      </c>
      <c r="N100" s="345" t="inlineStr">
        <is>
          <t>Flags any year where domestic demand cannot be met from domestic capacity.</t>
        </is>
      </c>
      <c r="P100" s="708" t="inlineStr">
        <is>
          <t>SM14</t>
        </is>
      </c>
    </row>
    <row r="101">
      <c r="A101" s="76" t="inlineStr">
        <is>
          <t>Finished steel production</t>
        </is>
      </c>
      <c r="B101" s="78" t="inlineStr">
        <is>
          <t>Mt</t>
        </is>
      </c>
      <c r="C101" s="905" t="n">
        <v>160.94</v>
      </c>
      <c r="D101" s="905">
        <f>D99/D93</f>
        <v/>
      </c>
      <c r="E101" s="905">
        <f>E99/E93</f>
        <v/>
      </c>
      <c r="F101" s="905">
        <f>F99/F93</f>
        <v/>
      </c>
      <c r="G101" s="905">
        <f>G99/G93</f>
        <v/>
      </c>
      <c r="H101" s="905">
        <f>H99/H93</f>
        <v/>
      </c>
      <c r="I101" s="905">
        <f>I99/I93</f>
        <v/>
      </c>
      <c r="J101" s="905">
        <f>J99/J93</f>
        <v/>
      </c>
      <c r="K101" s="904">
        <f>IFERROR(IF(AND(ISNUMBER(C101),ISNUMBER(J101),C101&gt;0),(J101/C101)^(1/7)-1,""),"")</f>
        <v/>
      </c>
      <c r="L101" s="344" t="inlineStr">
        <is>
          <t>Computed</t>
        </is>
      </c>
      <c r="M101" s="352" t="inlineStr">
        <is>
          <t>High</t>
        </is>
      </c>
      <c r="N101" s="68" t="n"/>
      <c r="P101" s="708" t="inlineStr">
        <is>
          <t>SM15</t>
        </is>
      </c>
    </row>
    <row r="102" ht="28.2" customHeight="1" s="632" thickBot="1">
      <c r="A102" s="72" t="inlineStr">
        <is>
          <t>Shortfall met by additional imports</t>
        </is>
      </c>
      <c r="B102" s="79" t="inlineStr">
        <is>
          <t>Mt</t>
        </is>
      </c>
      <c r="C102" s="953" t="n">
        <v>0</v>
      </c>
      <c r="D102" s="953">
        <f>MAX(0,D92-D101)</f>
        <v/>
      </c>
      <c r="E102" s="953">
        <f>MAX(0,E92-E101)</f>
        <v/>
      </c>
      <c r="F102" s="953">
        <f>MAX(0,F92-F101)</f>
        <v/>
      </c>
      <c r="G102" s="953">
        <f>MAX(0,G92-G101)</f>
        <v/>
      </c>
      <c r="H102" s="953">
        <f>MAX(0,H92-H101)</f>
        <v/>
      </c>
      <c r="I102" s="953">
        <f>MAX(0,I92-I101)</f>
        <v/>
      </c>
      <c r="J102" s="953">
        <f>MAX(0,J92-J101)</f>
        <v/>
      </c>
      <c r="K102" s="97" t="n"/>
      <c r="L102" s="346" t="inlineStr">
        <is>
          <t>Computed</t>
        </is>
      </c>
      <c r="M102" s="353" t="inlineStr">
        <is>
          <t>High</t>
        </is>
      </c>
      <c r="N102" s="347" t="inlineStr">
        <is>
          <t>Keeps the balance closed when the ceiling binds. Flows through to 19 Trade Model.</t>
        </is>
      </c>
      <c r="P102" s="708" t="inlineStr">
        <is>
          <t>SM16</t>
        </is>
      </c>
    </row>
    <row r="103"/>
    <row r="104">
      <c r="A104" s="383" t="inlineStr">
        <is>
          <t>The model does NOT endogenise supply response - it does not idle capacity when margins turn negative. This is why the stress case should be read as a lower bound on margin rather than a central expectation, and is a documented limitation on 25 Audit Checks.</t>
        </is>
      </c>
    </row>
  </sheetData>
  <mergeCells count="12">
    <mergeCell ref="A29:I29"/>
    <mergeCell ref="A7:I7"/>
    <mergeCell ref="A19:I19"/>
    <mergeCell ref="A2:I2"/>
    <mergeCell ref="A76:I76"/>
    <mergeCell ref="A44:I44"/>
    <mergeCell ref="A104:N104"/>
    <mergeCell ref="A5:N5"/>
    <mergeCell ref="A95:N95"/>
    <mergeCell ref="A67:I67"/>
    <mergeCell ref="A55:I55"/>
    <mergeCell ref="A1:N1"/>
  </mergeCells>
  <conditionalFormatting sqref="B52:I52">
    <cfRule type="cellIs" priority="1" operator="notEqual" dxfId="1">
      <formula>0</formula>
    </cfRule>
    <cfRule type="cellIs" priority="2" operator="equal" dxfId="0">
      <formula>0</formula>
    </cfRule>
  </conditionalFormatting>
  <hyperlinks>
    <hyperlink ref="F22" location="'Audit Checks'!A261" tooltip="Open the reference register on 25 Audit Checks"/>
    <hyperlink ref="F26" location="'Audit Checks'!A261" tooltip="Open the reference register on 25 Audit Checks"/>
    <hyperlink ref="K52" location="'Audit Checks'!A261" tooltip="Open the reference register on 25 Audit Checks"/>
    <hyperlink ref="K78" location="'Audit Checks'!A261" tooltip="Open the reference register on 25 Audit Checks"/>
    <hyperlink ref="K79" location="'Audit Checks'!A261" tooltip="Open the reference register on 25 Audit Checks"/>
    <hyperlink ref="K80" location="'Audit Checks'!A261" tooltip="Open the reference register on 25 Audit Checks"/>
    <hyperlink ref="K81" location="'Audit Checks'!A261" tooltip="Open the reference register on 25 Audit Checks"/>
    <hyperlink ref="K82" location="'Audit Checks'!A261" tooltip="Open the reference register on 25 Audit Checks"/>
    <hyperlink ref="K83" location="'Audit Checks'!A261" tooltip="Open the reference register on 25 Audit Checks"/>
    <hyperlink ref="P89" location="'Audit Checks'!A261" tooltip="Open the reference register on 25 Audit Checks"/>
    <hyperlink ref="P90" location="'Audit Checks'!A261" tooltip="Open the reference register on 25 Audit Checks"/>
    <hyperlink ref="P91" location="'Audit Checks'!A261" tooltip="Open the reference register on 25 Audit Checks"/>
    <hyperlink ref="P92" location="'Audit Checks'!A261" tooltip="Open the reference register on 25 Audit Checks"/>
    <hyperlink ref="P93" location="'Audit Checks'!A261" tooltip="Open the reference register on 25 Audit Checks"/>
    <hyperlink ref="P94" location="'Audit Checks'!A261" tooltip="Open the reference register on 25 Audit Checks"/>
    <hyperlink ref="P96" location="'Audit Checks'!A261" tooltip="Open the reference register on 25 Audit Checks"/>
    <hyperlink ref="P97" location="'Audit Checks'!A261" tooltip="Open the reference register on 25 Audit Checks"/>
    <hyperlink ref="P98" location="'Audit Checks'!A261" tooltip="Open the reference register on 25 Audit Checks"/>
    <hyperlink ref="P99" location="'Audit Checks'!A261" tooltip="Open the reference register on 25 Audit Checks"/>
    <hyperlink ref="P100" location="'Audit Checks'!A261" tooltip="Open the reference register on 25 Audit Checks"/>
    <hyperlink ref="P101" location="'Audit Checks'!A261" tooltip="Open the reference register on 25 Audit Checks"/>
    <hyperlink ref="P102" location="'Audit Checks'!A261" tooltip="Open the reference register on 25 Audit Checks"/>
  </hyperlink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codeName="Sheet11">
    <tabColor rgb="FF002060"/>
    <outlinePr summaryBelow="1" summaryRight="1"/>
    <pageSetUpPr/>
  </sheetPr>
  <dimension ref="A1:P108"/>
  <sheetViews>
    <sheetView showGridLines="0" workbookViewId="0">
      <selection activeCell="A3" sqref="A3"/>
    </sheetView>
  </sheetViews>
  <sheetFormatPr baseColWidth="8" defaultRowHeight="14.4"/>
  <cols>
    <col width="32.88671875" customWidth="1" style="632" min="1" max="1"/>
    <col width="11.77734375" customWidth="1" style="632" min="2" max="9"/>
    <col width="7" customWidth="1" style="632" min="5" max="5"/>
    <col width="7" customWidth="1" style="632" min="9" max="9"/>
    <col width="9.77734375" customWidth="1" style="632" min="10" max="11"/>
    <col width="7" customWidth="1" style="632" min="11" max="11"/>
    <col width="14.109375" customWidth="1" style="632" min="12" max="12"/>
    <col width="6.5546875" bestFit="1" customWidth="1" style="632" min="13" max="13"/>
    <col width="56.21875" customWidth="1" style="632" min="14" max="14"/>
    <col width="7" customWidth="1" style="632" min="16" max="16"/>
  </cols>
  <sheetData>
    <row r="1" ht="25.8" customHeight="1" s="632">
      <c r="A1" s="372" t="inlineStr">
        <is>
          <t>CAPACITY FORECAST</t>
        </is>
      </c>
    </row>
    <row r="2">
      <c r="A2" s="355" t="inlineStr">
        <is>
          <t xml:space="preserve">Industry Financial Model  |  Indian Steel Industry  |  Horizon FY2027E-FY2033E  |  Base year FY2026A </t>
        </is>
      </c>
    </row>
    <row r="3">
      <c r="A3" s="371" t="n"/>
    </row>
    <row r="4">
      <c r="A4" s="356" t="inlineStr">
        <is>
          <t>OBJECTIVE</t>
        </is>
      </c>
    </row>
    <row r="5">
      <c r="A5" s="576" t="inlineStr">
        <is>
          <t>Forecast installed steelmaking capacity by incorporating brownfield expansions, greenfield projects, closures, and debottlenecking.</t>
        </is>
      </c>
    </row>
    <row r="6">
      <c r="A6" s="576" t="n"/>
      <c r="B6" s="576" t="n"/>
      <c r="C6" s="576" t="n"/>
      <c r="D6" s="576" t="n"/>
      <c r="E6" s="576" t="n"/>
      <c r="F6" s="576" t="n"/>
      <c r="G6" s="576" t="n"/>
      <c r="H6" s="576" t="n"/>
      <c r="I6" s="576" t="n"/>
      <c r="J6" s="576" t="n"/>
      <c r="K6" s="576" t="n"/>
      <c r="L6" s="576" t="n"/>
      <c r="M6" s="576" t="n"/>
      <c r="N6" s="576" t="n"/>
    </row>
    <row r="7" ht="16.2" customHeight="1" s="632" thickBot="1">
      <c r="A7" s="493" t="inlineStr">
        <is>
          <t>Executive Summary</t>
        </is>
      </c>
      <c r="J7" s="576" t="n"/>
      <c r="K7" s="576" t="n"/>
      <c r="L7" s="576" t="n"/>
      <c r="M7" s="576" t="n"/>
      <c r="N7" s="576" t="n"/>
    </row>
    <row r="8" ht="15" customHeight="1" s="632" thickBot="1">
      <c r="A8" s="503" t="inlineStr">
        <is>
          <t>KPI</t>
        </is>
      </c>
      <c r="B8" s="611" t="inlineStr">
        <is>
          <t>FY26A</t>
        </is>
      </c>
      <c r="C8" s="611" t="inlineStr">
        <is>
          <t>FY27E</t>
        </is>
      </c>
      <c r="D8" s="611" t="inlineStr">
        <is>
          <t>FY28E</t>
        </is>
      </c>
      <c r="E8" s="611" t="inlineStr">
        <is>
          <t>FY29E</t>
        </is>
      </c>
      <c r="F8" s="611" t="inlineStr">
        <is>
          <t>FY30E</t>
        </is>
      </c>
      <c r="G8" s="611" t="inlineStr">
        <is>
          <t>FY31E</t>
        </is>
      </c>
      <c r="H8" s="611" t="inlineStr">
        <is>
          <t>FY32E</t>
        </is>
      </c>
      <c r="I8" s="610" t="inlineStr">
        <is>
          <t>FY33E</t>
        </is>
      </c>
      <c r="J8" s="576" t="n"/>
      <c r="K8" s="576" t="n"/>
      <c r="L8" s="576" t="n"/>
      <c r="M8" s="576" t="n"/>
      <c r="N8" s="576" t="n"/>
    </row>
    <row r="9" ht="15" customHeight="1" s="632" thickTop="1">
      <c r="A9" s="246" t="inlineStr">
        <is>
          <t>Installed Capacity (Mtpa)</t>
        </is>
      </c>
      <c r="B9" s="827">
        <f>$C$101</f>
        <v/>
      </c>
      <c r="C9" s="827">
        <f>$D$101</f>
        <v/>
      </c>
      <c r="D9" s="827">
        <f>$E$101</f>
        <v/>
      </c>
      <c r="E9" s="827">
        <f>$F$101</f>
        <v/>
      </c>
      <c r="F9" s="827">
        <f>$G$101</f>
        <v/>
      </c>
      <c r="G9" s="827">
        <f>$H$101</f>
        <v/>
      </c>
      <c r="H9" s="827">
        <f>$I$101</f>
        <v/>
      </c>
      <c r="I9" s="901">
        <f>$J$101</f>
        <v/>
      </c>
      <c r="J9" s="576" t="n"/>
      <c r="K9" s="576" t="n"/>
      <c r="L9" s="576" t="n"/>
      <c r="M9" s="576" t="n"/>
      <c r="N9" s="576" t="n"/>
    </row>
    <row r="10">
      <c r="A10" s="247" t="inlineStr">
        <is>
          <t>Capacity Addition (Mt)</t>
        </is>
      </c>
      <c r="B10" s="828">
        <f>$C$100</f>
        <v/>
      </c>
      <c r="C10" s="828">
        <f>$D$100</f>
        <v/>
      </c>
      <c r="D10" s="828">
        <f>$E$100</f>
        <v/>
      </c>
      <c r="E10" s="828">
        <f>$F$100</f>
        <v/>
      </c>
      <c r="F10" s="828">
        <f>$G$100</f>
        <v/>
      </c>
      <c r="G10" s="828">
        <f>$H$100</f>
        <v/>
      </c>
      <c r="H10" s="828">
        <f>$I$100</f>
        <v/>
      </c>
      <c r="I10" s="902">
        <f>$J$100</f>
        <v/>
      </c>
      <c r="J10" s="576" t="n"/>
      <c r="K10" s="576" t="n"/>
      <c r="L10" s="576" t="n"/>
      <c r="M10" s="576" t="n"/>
      <c r="N10" s="576" t="n"/>
    </row>
    <row r="11">
      <c r="A11" s="247" t="inlineStr">
        <is>
          <t>Capacity Growth (%)</t>
        </is>
      </c>
      <c r="B11" s="954">
        <f>IFERROR(C100/(C101-C100),"")</f>
        <v/>
      </c>
      <c r="C11" s="954">
        <f>IFERROR(D100/(D101-D100),"")</f>
        <v/>
      </c>
      <c r="D11" s="954">
        <f>IFERROR(E100/(E101-E100),"")</f>
        <v/>
      </c>
      <c r="E11" s="954">
        <f>IFERROR(F100/(F101-F100),"")</f>
        <v/>
      </c>
      <c r="F11" s="954">
        <f>IFERROR(G100/(G101-G100),"")</f>
        <v/>
      </c>
      <c r="G11" s="954">
        <f>IFERROR(H100/(H101-H100),"")</f>
        <v/>
      </c>
      <c r="H11" s="954">
        <f>IFERROR(I100/(I101-I100),"")</f>
        <v/>
      </c>
      <c r="I11" s="929">
        <f>IFERROR(J100/(J101-J100),"")</f>
        <v/>
      </c>
      <c r="J11" s="576" t="n"/>
      <c r="K11" s="576" t="n"/>
      <c r="L11" s="576" t="n"/>
      <c r="M11" s="576" t="n"/>
      <c r="N11" s="576" t="n"/>
    </row>
    <row r="12">
      <c r="A12" s="247" t="inlineStr">
        <is>
          <t>Capacity Utilisation (%)</t>
        </is>
      </c>
      <c r="B12" s="875">
        <f>'Capacity Utilisation'!$C$67</f>
        <v/>
      </c>
      <c r="C12" s="875">
        <f>'Capacity Utilisation'!$D$67</f>
        <v/>
      </c>
      <c r="D12" s="875">
        <f>'Capacity Utilisation'!$E$67</f>
        <v/>
      </c>
      <c r="E12" s="875">
        <f>'Capacity Utilisation'!$F$67</f>
        <v/>
      </c>
      <c r="F12" s="875">
        <f>'Capacity Utilisation'!$G$67</f>
        <v/>
      </c>
      <c r="G12" s="875">
        <f>'Capacity Utilisation'!$H$67</f>
        <v/>
      </c>
      <c r="H12" s="875">
        <f>'Capacity Utilisation'!$I$67</f>
        <v/>
      </c>
      <c r="I12" s="933">
        <f>'Capacity Utilisation'!$J$67</f>
        <v/>
      </c>
      <c r="J12" s="576" t="n"/>
      <c r="K12" s="576" t="n"/>
      <c r="L12" s="576" t="n"/>
      <c r="M12" s="576" t="n"/>
      <c r="N12" s="576" t="n"/>
    </row>
    <row r="13">
      <c r="A13" s="247" t="inlineStr">
        <is>
          <t>Spare Capacity (Mt)</t>
        </is>
      </c>
      <c r="B13" s="895">
        <f>C101-'Steel Supply Model'!C99</f>
        <v/>
      </c>
      <c r="C13" s="895">
        <f>D101-'Steel Supply Model'!D99</f>
        <v/>
      </c>
      <c r="D13" s="895">
        <f>E101-'Steel Supply Model'!E99</f>
        <v/>
      </c>
      <c r="E13" s="895">
        <f>F101-'Steel Supply Model'!F99</f>
        <v/>
      </c>
      <c r="F13" s="895">
        <f>G101-'Steel Supply Model'!G99</f>
        <v/>
      </c>
      <c r="G13" s="895">
        <f>H101-'Steel Supply Model'!H99</f>
        <v/>
      </c>
      <c r="H13" s="895">
        <f>I101-'Steel Supply Model'!I99</f>
        <v/>
      </c>
      <c r="I13" s="882">
        <f>J101-'Steel Supply Model'!J99</f>
        <v/>
      </c>
      <c r="J13" s="576" t="n"/>
      <c r="K13" s="576" t="n"/>
      <c r="L13" s="576" t="n"/>
      <c r="M13" s="576" t="n"/>
      <c r="N13" s="576" t="n"/>
    </row>
    <row r="14" ht="15" customHeight="1" s="632" thickBot="1">
      <c r="A14" s="248" t="inlineStr">
        <is>
          <t>Capacity Gap (Mt)</t>
        </is>
      </c>
      <c r="B14" s="898">
        <f>C101-'Steel Supply Model'!C94</f>
        <v/>
      </c>
      <c r="C14" s="898">
        <f>D101-'Steel Supply Model'!D94</f>
        <v/>
      </c>
      <c r="D14" s="898">
        <f>E101-'Steel Supply Model'!E94</f>
        <v/>
      </c>
      <c r="E14" s="898">
        <f>F101-'Steel Supply Model'!F94</f>
        <v/>
      </c>
      <c r="F14" s="898">
        <f>G101-'Steel Supply Model'!G94</f>
        <v/>
      </c>
      <c r="G14" s="898">
        <f>H101-'Steel Supply Model'!H94</f>
        <v/>
      </c>
      <c r="H14" s="898">
        <f>I101-'Steel Supply Model'!I94</f>
        <v/>
      </c>
      <c r="I14" s="883">
        <f>J101-'Steel Supply Model'!J94</f>
        <v/>
      </c>
      <c r="J14" s="576" t="n"/>
      <c r="K14" s="576" t="n"/>
      <c r="L14" s="576" t="n"/>
      <c r="M14" s="576" t="n"/>
      <c r="N14" s="576" t="n"/>
    </row>
    <row r="15">
      <c r="A15" s="576" t="n"/>
      <c r="B15" s="576" t="n"/>
      <c r="C15" s="576" t="n"/>
      <c r="D15" s="576" t="n"/>
      <c r="E15" s="576" t="n"/>
      <c r="F15" s="576" t="n"/>
      <c r="G15" s="576" t="n"/>
      <c r="H15" s="576" t="n"/>
      <c r="I15" s="576" t="n"/>
      <c r="J15" s="576" t="n"/>
      <c r="K15" s="576" t="n"/>
      <c r="L15" s="576" t="n"/>
      <c r="M15" s="576" t="n"/>
      <c r="N15" s="576" t="n"/>
    </row>
    <row r="16">
      <c r="A16" s="576" t="n"/>
      <c r="B16" s="576" t="n"/>
      <c r="C16" s="576" t="n"/>
      <c r="D16" s="576" t="n"/>
      <c r="E16" s="576" t="n"/>
      <c r="F16" s="576" t="n"/>
      <c r="G16" s="576" t="n"/>
      <c r="H16" s="576" t="n"/>
      <c r="I16" s="576" t="n"/>
      <c r="J16" s="576" t="n"/>
      <c r="K16" s="576" t="n"/>
      <c r="L16" s="576" t="n"/>
      <c r="M16" s="576" t="n"/>
      <c r="N16" s="576" t="n"/>
    </row>
    <row r="17" ht="16.2" customHeight="1" s="632" thickBot="1">
      <c r="A17" s="493" t="inlineStr">
        <is>
          <t>Company-wise Capacity</t>
        </is>
      </c>
      <c r="J17" s="576" t="n"/>
      <c r="K17" s="576" t="n"/>
      <c r="L17" s="576" t="n"/>
      <c r="M17" s="576" t="n"/>
      <c r="N17" s="576" t="n"/>
    </row>
    <row r="18" ht="15" customHeight="1" s="632" thickBot="1">
      <c r="A18" s="503" t="inlineStr">
        <is>
          <t>Company</t>
        </is>
      </c>
      <c r="B18" s="611" t="inlineStr">
        <is>
          <t>FY26A</t>
        </is>
      </c>
      <c r="C18" s="611" t="inlineStr">
        <is>
          <t>FY27E</t>
        </is>
      </c>
      <c r="D18" s="611" t="inlineStr">
        <is>
          <t>FY28E</t>
        </is>
      </c>
      <c r="E18" s="611" t="inlineStr">
        <is>
          <t>FY29E</t>
        </is>
      </c>
      <c r="F18" s="611" t="inlineStr">
        <is>
          <t>FY30E</t>
        </is>
      </c>
      <c r="G18" s="611" t="inlineStr">
        <is>
          <t>FY31E</t>
        </is>
      </c>
      <c r="H18" s="611" t="inlineStr">
        <is>
          <t>FY32E</t>
        </is>
      </c>
      <c r="I18" s="610" t="inlineStr">
        <is>
          <t>FY33E</t>
        </is>
      </c>
      <c r="J18" s="576" t="n"/>
      <c r="K18" s="707" t="inlineStr">
        <is>
          <t>Ref</t>
        </is>
      </c>
      <c r="L18" s="576" t="n"/>
      <c r="M18" s="576" t="n"/>
      <c r="N18" s="576" t="n"/>
    </row>
    <row r="19" ht="15" customHeight="1" s="632" thickTop="1">
      <c r="A19" s="246" t="inlineStr">
        <is>
          <t>Tata Steel</t>
        </is>
      </c>
      <c r="B19" s="827">
        <f>'Comparable Valuation'!$K$108</f>
        <v/>
      </c>
      <c r="C19" s="892">
        <f>B19+SUMIFS('Capacity Expansion Tracker'!$F$77:$F$96,'Capacity Expansion Tracker'!$B$77:$B$96,$A19,'Capacity Expansion Tracker'!$I$77:$I$96,"FY2027",'Capacity Expansion Tracker'!$L$77:$L$96,"Yes")*'Model Assumptions'!E$12</f>
        <v/>
      </c>
      <c r="D19" s="892">
        <f>C19+SUMIFS('Capacity Expansion Tracker'!$F$77:$F$96,'Capacity Expansion Tracker'!$B$77:$B$96,$A19,'Capacity Expansion Tracker'!$I$77:$I$96,"FY2028",'Capacity Expansion Tracker'!$L$77:$L$96,"Yes")*'Model Assumptions'!F$12</f>
        <v/>
      </c>
      <c r="E19" s="892">
        <f>D19+SUMIFS('Capacity Expansion Tracker'!$F$77:$F$96,'Capacity Expansion Tracker'!$B$77:$B$96,$A19,'Capacity Expansion Tracker'!$I$77:$I$96,"FY2029",'Capacity Expansion Tracker'!$L$77:$L$96,"Yes")*'Model Assumptions'!G$12</f>
        <v/>
      </c>
      <c r="F19" s="892">
        <f>E19+SUMIFS('Capacity Expansion Tracker'!$F$77:$F$96,'Capacity Expansion Tracker'!$B$77:$B$96,$A19,'Capacity Expansion Tracker'!$I$77:$I$96,"FY2030",'Capacity Expansion Tracker'!$L$77:$L$96,"Yes")*'Model Assumptions'!H$12</f>
        <v/>
      </c>
      <c r="G19" s="892">
        <f>F19+SUMIFS('Capacity Expansion Tracker'!$F$77:$F$96,'Capacity Expansion Tracker'!$B$77:$B$96,$A19,'Capacity Expansion Tracker'!$I$77:$I$96,"FY2031",'Capacity Expansion Tracker'!$L$77:$L$96,"Yes")*'Model Assumptions'!I$12</f>
        <v/>
      </c>
      <c r="H19" s="892">
        <f>G19+SUMIFS('Capacity Expansion Tracker'!$F$77:$F$96,'Capacity Expansion Tracker'!$B$77:$B$96,$A19,'Capacity Expansion Tracker'!$I$77:$I$96,"FY2032",'Capacity Expansion Tracker'!$L$77:$L$96,"Yes")*'Model Assumptions'!J$12</f>
        <v/>
      </c>
      <c r="I19" s="881">
        <f>H19+SUMIFS('Capacity Expansion Tracker'!$F$77:$F$96,'Capacity Expansion Tracker'!$B$77:$B$96,$A19,'Capacity Expansion Tracker'!$I$77:$I$96,"FY2033",'Capacity Expansion Tracker'!$L$77:$L$96,"Yes")*'Model Assumptions'!K$12</f>
        <v/>
      </c>
      <c r="J19" s="576" t="n"/>
      <c r="K19" s="576" t="n"/>
      <c r="L19" s="576" t="n"/>
      <c r="M19" s="576" t="n"/>
      <c r="N19" s="576" t="n"/>
    </row>
    <row r="20">
      <c r="A20" s="247" t="inlineStr">
        <is>
          <t>JSW Steel</t>
        </is>
      </c>
      <c r="B20" s="828">
        <f>'Comparable Valuation'!$K$109</f>
        <v/>
      </c>
      <c r="C20" s="895">
        <f>B20+SUMIFS('Capacity Expansion Tracker'!$F$77:$F$96,'Capacity Expansion Tracker'!$B$77:$B$96,$A20,'Capacity Expansion Tracker'!$I$77:$I$96,"FY2027",'Capacity Expansion Tracker'!$L$77:$L$96,"Yes")*'Model Assumptions'!E$12</f>
        <v/>
      </c>
      <c r="D20" s="895">
        <f>C20+SUMIFS('Capacity Expansion Tracker'!$F$77:$F$96,'Capacity Expansion Tracker'!$B$77:$B$96,$A20,'Capacity Expansion Tracker'!$I$77:$I$96,"FY2028",'Capacity Expansion Tracker'!$L$77:$L$96,"Yes")*'Model Assumptions'!F$12</f>
        <v/>
      </c>
      <c r="E20" s="895">
        <f>D20+SUMIFS('Capacity Expansion Tracker'!$F$77:$F$96,'Capacity Expansion Tracker'!$B$77:$B$96,$A20,'Capacity Expansion Tracker'!$I$77:$I$96,"FY2029",'Capacity Expansion Tracker'!$L$77:$L$96,"Yes")*'Model Assumptions'!G$12</f>
        <v/>
      </c>
      <c r="F20" s="895">
        <f>E20+SUMIFS('Capacity Expansion Tracker'!$F$77:$F$96,'Capacity Expansion Tracker'!$B$77:$B$96,$A20,'Capacity Expansion Tracker'!$I$77:$I$96,"FY2030",'Capacity Expansion Tracker'!$L$77:$L$96,"Yes")*'Model Assumptions'!H$12</f>
        <v/>
      </c>
      <c r="G20" s="895">
        <f>F20+SUMIFS('Capacity Expansion Tracker'!$F$77:$F$96,'Capacity Expansion Tracker'!$B$77:$B$96,$A20,'Capacity Expansion Tracker'!$I$77:$I$96,"FY2031",'Capacity Expansion Tracker'!$L$77:$L$96,"Yes")*'Model Assumptions'!I$12</f>
        <v/>
      </c>
      <c r="H20" s="895">
        <f>G20+SUMIFS('Capacity Expansion Tracker'!$F$77:$F$96,'Capacity Expansion Tracker'!$B$77:$B$96,$A20,'Capacity Expansion Tracker'!$I$77:$I$96,"FY2032",'Capacity Expansion Tracker'!$L$77:$L$96,"Yes")*'Model Assumptions'!J$12</f>
        <v/>
      </c>
      <c r="I20" s="882">
        <f>H20+SUMIFS('Capacity Expansion Tracker'!$F$77:$F$96,'Capacity Expansion Tracker'!$B$77:$B$96,$A20,'Capacity Expansion Tracker'!$I$77:$I$96,"FY2033",'Capacity Expansion Tracker'!$L$77:$L$96,"Yes")*'Model Assumptions'!K$12</f>
        <v/>
      </c>
      <c r="J20" s="576" t="n"/>
      <c r="K20" s="576" t="n"/>
      <c r="L20" s="576" t="n"/>
      <c r="M20" s="576" t="n"/>
      <c r="N20" s="576" t="n"/>
    </row>
    <row r="21">
      <c r="A21" s="247" t="inlineStr">
        <is>
          <t>SAIL</t>
        </is>
      </c>
      <c r="B21" s="828">
        <f>'Comparable Valuation'!$K$110</f>
        <v/>
      </c>
      <c r="C21" s="895">
        <f>B21+SUMIFS('Capacity Expansion Tracker'!$F$77:$F$96,'Capacity Expansion Tracker'!$B$77:$B$96,$A21,'Capacity Expansion Tracker'!$I$77:$I$96,"FY2027",'Capacity Expansion Tracker'!$L$77:$L$96,"Yes")*'Model Assumptions'!E$12</f>
        <v/>
      </c>
      <c r="D21" s="895">
        <f>C21+SUMIFS('Capacity Expansion Tracker'!$F$77:$F$96,'Capacity Expansion Tracker'!$B$77:$B$96,$A21,'Capacity Expansion Tracker'!$I$77:$I$96,"FY2028",'Capacity Expansion Tracker'!$L$77:$L$96,"Yes")*'Model Assumptions'!F$12</f>
        <v/>
      </c>
      <c r="E21" s="895">
        <f>D21+SUMIFS('Capacity Expansion Tracker'!$F$77:$F$96,'Capacity Expansion Tracker'!$B$77:$B$96,$A21,'Capacity Expansion Tracker'!$I$77:$I$96,"FY2029",'Capacity Expansion Tracker'!$L$77:$L$96,"Yes")*'Model Assumptions'!G$12</f>
        <v/>
      </c>
      <c r="F21" s="895">
        <f>E21+SUMIFS('Capacity Expansion Tracker'!$F$77:$F$96,'Capacity Expansion Tracker'!$B$77:$B$96,$A21,'Capacity Expansion Tracker'!$I$77:$I$96,"FY2030",'Capacity Expansion Tracker'!$L$77:$L$96,"Yes")*'Model Assumptions'!H$12</f>
        <v/>
      </c>
      <c r="G21" s="895">
        <f>F21+SUMIFS('Capacity Expansion Tracker'!$F$77:$F$96,'Capacity Expansion Tracker'!$B$77:$B$96,$A21,'Capacity Expansion Tracker'!$I$77:$I$96,"FY2031",'Capacity Expansion Tracker'!$L$77:$L$96,"Yes")*'Model Assumptions'!I$12</f>
        <v/>
      </c>
      <c r="H21" s="895">
        <f>G21+SUMIFS('Capacity Expansion Tracker'!$F$77:$F$96,'Capacity Expansion Tracker'!$B$77:$B$96,$A21,'Capacity Expansion Tracker'!$I$77:$I$96,"FY2032",'Capacity Expansion Tracker'!$L$77:$L$96,"Yes")*'Model Assumptions'!J$12</f>
        <v/>
      </c>
      <c r="I21" s="882">
        <f>H21+SUMIFS('Capacity Expansion Tracker'!$F$77:$F$96,'Capacity Expansion Tracker'!$B$77:$B$96,$A21,'Capacity Expansion Tracker'!$I$77:$I$96,"FY2033",'Capacity Expansion Tracker'!$L$77:$L$96,"Yes")*'Model Assumptions'!K$12</f>
        <v/>
      </c>
      <c r="J21" s="576" t="n"/>
      <c r="K21" s="576" t="n"/>
      <c r="L21" s="576" t="n"/>
      <c r="M21" s="576" t="n"/>
      <c r="N21" s="576" t="n"/>
    </row>
    <row r="22">
      <c r="A22" s="247" t="inlineStr">
        <is>
          <t>Jindal Steel</t>
        </is>
      </c>
      <c r="B22" s="828">
        <f>'Comparable Valuation'!$K$111</f>
        <v/>
      </c>
      <c r="C22" s="895">
        <f>B22+SUMIFS('Capacity Expansion Tracker'!$F$77:$F$96,'Capacity Expansion Tracker'!$B$77:$B$96,$A22,'Capacity Expansion Tracker'!$I$77:$I$96,"FY2027",'Capacity Expansion Tracker'!$L$77:$L$96,"Yes")*'Model Assumptions'!E$12</f>
        <v/>
      </c>
      <c r="D22" s="895">
        <f>C22+SUMIFS('Capacity Expansion Tracker'!$F$77:$F$96,'Capacity Expansion Tracker'!$B$77:$B$96,$A22,'Capacity Expansion Tracker'!$I$77:$I$96,"FY2028",'Capacity Expansion Tracker'!$L$77:$L$96,"Yes")*'Model Assumptions'!F$12</f>
        <v/>
      </c>
      <c r="E22" s="895">
        <f>D22+SUMIFS('Capacity Expansion Tracker'!$F$77:$F$96,'Capacity Expansion Tracker'!$B$77:$B$96,$A22,'Capacity Expansion Tracker'!$I$77:$I$96,"FY2029",'Capacity Expansion Tracker'!$L$77:$L$96,"Yes")*'Model Assumptions'!G$12</f>
        <v/>
      </c>
      <c r="F22" s="895">
        <f>E22+SUMIFS('Capacity Expansion Tracker'!$F$77:$F$96,'Capacity Expansion Tracker'!$B$77:$B$96,$A22,'Capacity Expansion Tracker'!$I$77:$I$96,"FY2030",'Capacity Expansion Tracker'!$L$77:$L$96,"Yes")*'Model Assumptions'!H$12</f>
        <v/>
      </c>
      <c r="G22" s="895">
        <f>F22+SUMIFS('Capacity Expansion Tracker'!$F$77:$F$96,'Capacity Expansion Tracker'!$B$77:$B$96,$A22,'Capacity Expansion Tracker'!$I$77:$I$96,"FY2031",'Capacity Expansion Tracker'!$L$77:$L$96,"Yes")*'Model Assumptions'!I$12</f>
        <v/>
      </c>
      <c r="H22" s="895">
        <f>G22+SUMIFS('Capacity Expansion Tracker'!$F$77:$F$96,'Capacity Expansion Tracker'!$B$77:$B$96,$A22,'Capacity Expansion Tracker'!$I$77:$I$96,"FY2032",'Capacity Expansion Tracker'!$L$77:$L$96,"Yes")*'Model Assumptions'!J$12</f>
        <v/>
      </c>
      <c r="I22" s="882">
        <f>H22+SUMIFS('Capacity Expansion Tracker'!$F$77:$F$96,'Capacity Expansion Tracker'!$B$77:$B$96,$A22,'Capacity Expansion Tracker'!$I$77:$I$96,"FY2033",'Capacity Expansion Tracker'!$L$77:$L$96,"Yes")*'Model Assumptions'!K$12</f>
        <v/>
      </c>
      <c r="J22" s="576" t="n"/>
      <c r="K22" s="576" t="n"/>
      <c r="L22" s="576" t="n"/>
      <c r="M22" s="576" t="n"/>
      <c r="N22" s="576" t="n"/>
    </row>
    <row r="23">
      <c r="A23" s="247" t="inlineStr">
        <is>
          <t>Jindal Stainless</t>
        </is>
      </c>
      <c r="B23" s="828">
        <f>'Comparable Valuation'!$K$112</f>
        <v/>
      </c>
      <c r="C23" s="895">
        <f>B23+SUMIFS('Capacity Expansion Tracker'!$F$77:$F$96,'Capacity Expansion Tracker'!$B$77:$B$96,$A23,'Capacity Expansion Tracker'!$I$77:$I$96,"FY2027",'Capacity Expansion Tracker'!$L$77:$L$96,"Yes")*'Model Assumptions'!E$12</f>
        <v/>
      </c>
      <c r="D23" s="895">
        <f>C23+SUMIFS('Capacity Expansion Tracker'!$F$77:$F$96,'Capacity Expansion Tracker'!$B$77:$B$96,$A23,'Capacity Expansion Tracker'!$I$77:$I$96,"FY2028",'Capacity Expansion Tracker'!$L$77:$L$96,"Yes")*'Model Assumptions'!F$12</f>
        <v/>
      </c>
      <c r="E23" s="895">
        <f>D23+SUMIFS('Capacity Expansion Tracker'!$F$77:$F$96,'Capacity Expansion Tracker'!$B$77:$B$96,$A23,'Capacity Expansion Tracker'!$I$77:$I$96,"FY2029",'Capacity Expansion Tracker'!$L$77:$L$96,"Yes")*'Model Assumptions'!G$12</f>
        <v/>
      </c>
      <c r="F23" s="895">
        <f>E23+SUMIFS('Capacity Expansion Tracker'!$F$77:$F$96,'Capacity Expansion Tracker'!$B$77:$B$96,$A23,'Capacity Expansion Tracker'!$I$77:$I$96,"FY2030",'Capacity Expansion Tracker'!$L$77:$L$96,"Yes")*'Model Assumptions'!H$12</f>
        <v/>
      </c>
      <c r="G23" s="895">
        <f>F23+SUMIFS('Capacity Expansion Tracker'!$F$77:$F$96,'Capacity Expansion Tracker'!$B$77:$B$96,$A23,'Capacity Expansion Tracker'!$I$77:$I$96,"FY2031",'Capacity Expansion Tracker'!$L$77:$L$96,"Yes")*'Model Assumptions'!I$12</f>
        <v/>
      </c>
      <c r="H23" s="895">
        <f>G23+SUMIFS('Capacity Expansion Tracker'!$F$77:$F$96,'Capacity Expansion Tracker'!$B$77:$B$96,$A23,'Capacity Expansion Tracker'!$I$77:$I$96,"FY2032",'Capacity Expansion Tracker'!$L$77:$L$96,"Yes")*'Model Assumptions'!J$12</f>
        <v/>
      </c>
      <c r="I23" s="882">
        <f>H23+SUMIFS('Capacity Expansion Tracker'!$F$77:$F$96,'Capacity Expansion Tracker'!$B$77:$B$96,$A23,'Capacity Expansion Tracker'!$I$77:$I$96,"FY2033",'Capacity Expansion Tracker'!$L$77:$L$96,"Yes")*'Model Assumptions'!K$12</f>
        <v/>
      </c>
      <c r="J23" s="576" t="n"/>
      <c r="K23" s="576" t="n"/>
      <c r="L23" s="576" t="n"/>
      <c r="M23" s="576" t="n"/>
      <c r="N23" s="576" t="n"/>
    </row>
    <row r="24">
      <c r="A24" s="247" t="inlineStr">
        <is>
          <t>AM/NS India</t>
        </is>
      </c>
      <c r="B24" s="828">
        <f>'Comparable Valuation'!$K$113</f>
        <v/>
      </c>
      <c r="C24" s="895">
        <f>B24+SUMIFS('Capacity Expansion Tracker'!$F$77:$F$96,'Capacity Expansion Tracker'!$B$77:$B$96,$A24,'Capacity Expansion Tracker'!$I$77:$I$96,"FY2027",'Capacity Expansion Tracker'!$L$77:$L$96,"Yes")*'Model Assumptions'!E$12</f>
        <v/>
      </c>
      <c r="D24" s="895">
        <f>C24+SUMIFS('Capacity Expansion Tracker'!$F$77:$F$96,'Capacity Expansion Tracker'!$B$77:$B$96,$A24,'Capacity Expansion Tracker'!$I$77:$I$96,"FY2028",'Capacity Expansion Tracker'!$L$77:$L$96,"Yes")*'Model Assumptions'!F$12</f>
        <v/>
      </c>
      <c r="E24" s="895">
        <f>D24+SUMIFS('Capacity Expansion Tracker'!$F$77:$F$96,'Capacity Expansion Tracker'!$B$77:$B$96,$A24,'Capacity Expansion Tracker'!$I$77:$I$96,"FY2029",'Capacity Expansion Tracker'!$L$77:$L$96,"Yes")*'Model Assumptions'!G$12</f>
        <v/>
      </c>
      <c r="F24" s="895">
        <f>E24+SUMIFS('Capacity Expansion Tracker'!$F$77:$F$96,'Capacity Expansion Tracker'!$B$77:$B$96,$A24,'Capacity Expansion Tracker'!$I$77:$I$96,"FY2030",'Capacity Expansion Tracker'!$L$77:$L$96,"Yes")*'Model Assumptions'!H$12</f>
        <v/>
      </c>
      <c r="G24" s="895">
        <f>F24+SUMIFS('Capacity Expansion Tracker'!$F$77:$F$96,'Capacity Expansion Tracker'!$B$77:$B$96,$A24,'Capacity Expansion Tracker'!$I$77:$I$96,"FY2031",'Capacity Expansion Tracker'!$L$77:$L$96,"Yes")*'Model Assumptions'!I$12</f>
        <v/>
      </c>
      <c r="H24" s="895">
        <f>G24+SUMIFS('Capacity Expansion Tracker'!$F$77:$F$96,'Capacity Expansion Tracker'!$B$77:$B$96,$A24,'Capacity Expansion Tracker'!$I$77:$I$96,"FY2032",'Capacity Expansion Tracker'!$L$77:$L$96,"Yes")*'Model Assumptions'!J$12</f>
        <v/>
      </c>
      <c r="I24" s="882">
        <f>H24+SUMIFS('Capacity Expansion Tracker'!$F$77:$F$96,'Capacity Expansion Tracker'!$B$77:$B$96,$A24,'Capacity Expansion Tracker'!$I$77:$I$96,"FY2033",'Capacity Expansion Tracker'!$L$77:$L$96,"Yes")*'Model Assumptions'!K$12</f>
        <v/>
      </c>
      <c r="J24" s="576" t="n"/>
      <c r="K24" s="576" t="n"/>
      <c r="L24" s="576" t="n"/>
      <c r="M24" s="576" t="n"/>
      <c r="N24" s="576" t="n"/>
    </row>
    <row r="25">
      <c r="A25" s="247" t="inlineStr">
        <is>
          <t>Shyam Metalics</t>
        </is>
      </c>
      <c r="B25" s="955" t="n"/>
      <c r="C25" s="955" t="n"/>
      <c r="D25" s="955" t="n"/>
      <c r="E25" s="955" t="n"/>
      <c r="F25" s="955" t="n"/>
      <c r="G25" s="955" t="n"/>
      <c r="H25" s="955" t="n"/>
      <c r="I25" s="956" t="n"/>
      <c r="J25" s="576" t="n"/>
      <c r="K25" s="708" t="inlineStr">
        <is>
          <t>CF14</t>
        </is>
      </c>
      <c r="L25" s="576" t="n"/>
      <c r="M25" s="576" t="n"/>
      <c r="N25" s="576" t="n"/>
    </row>
    <row r="26">
      <c r="A26" s="247" t="inlineStr">
        <is>
          <t>APL Apollo</t>
        </is>
      </c>
      <c r="B26" s="955" t="n"/>
      <c r="C26" s="955" t="n"/>
      <c r="D26" s="955" t="n"/>
      <c r="E26" s="955" t="n"/>
      <c r="F26" s="955" t="n"/>
      <c r="G26" s="955" t="n"/>
      <c r="H26" s="955" t="n"/>
      <c r="I26" s="956" t="n"/>
      <c r="J26" s="576" t="n"/>
      <c r="K26" s="708" t="inlineStr">
        <is>
          <t>CF14</t>
        </is>
      </c>
      <c r="L26" s="576" t="n"/>
      <c r="M26" s="576" t="n"/>
      <c r="N26" s="576" t="n"/>
    </row>
    <row r="27">
      <c r="A27" s="247" t="inlineStr">
        <is>
          <t>GPIL</t>
        </is>
      </c>
      <c r="B27" s="955" t="n"/>
      <c r="C27" s="955" t="n"/>
      <c r="D27" s="955" t="n"/>
      <c r="E27" s="955" t="n"/>
      <c r="F27" s="955" t="n"/>
      <c r="G27" s="955" t="n"/>
      <c r="H27" s="955" t="n"/>
      <c r="I27" s="956" t="n"/>
      <c r="J27" s="576" t="n"/>
      <c r="K27" s="708" t="inlineStr">
        <is>
          <t>CF14</t>
        </is>
      </c>
      <c r="L27" s="576" t="n"/>
      <c r="M27" s="576" t="n"/>
      <c r="N27" s="576" t="n"/>
    </row>
    <row r="28">
      <c r="A28" s="247" t="inlineStr">
        <is>
          <t>Others</t>
        </is>
      </c>
      <c r="B28" s="895">
        <f>$C$101-SUM(B19:B27)</f>
        <v/>
      </c>
      <c r="C28" s="895">
        <f>$D$101-SUM(C19:C27)</f>
        <v/>
      </c>
      <c r="D28" s="895">
        <f>$E$101-SUM(D19:D27)</f>
        <v/>
      </c>
      <c r="E28" s="895">
        <f>$F$101-SUM(E19:E27)</f>
        <v/>
      </c>
      <c r="F28" s="895">
        <f>$G$101-SUM(F19:F27)</f>
        <v/>
      </c>
      <c r="G28" s="895">
        <f>$H$101-SUM(G19:G27)</f>
        <v/>
      </c>
      <c r="H28" s="895">
        <f>$I$101-SUM(H19:H27)</f>
        <v/>
      </c>
      <c r="I28" s="882">
        <f>$J$101-SUM(I19:I27)</f>
        <v/>
      </c>
      <c r="J28" s="576" t="n"/>
      <c r="K28" s="576" t="n"/>
      <c r="L28" s="576" t="n"/>
      <c r="M28" s="576" t="n"/>
      <c r="N28" s="576" t="n"/>
    </row>
    <row r="29" ht="15" customHeight="1" s="632" thickBot="1">
      <c r="A29" s="307" t="inlineStr">
        <is>
          <t>India Total</t>
        </is>
      </c>
      <c r="B29" s="500">
        <f>SUM(B19:B28)</f>
        <v/>
      </c>
      <c r="C29" s="500">
        <f>SUM(C19:C28)</f>
        <v/>
      </c>
      <c r="D29" s="500">
        <f>SUM(D19:D28)</f>
        <v/>
      </c>
      <c r="E29" s="500">
        <f>SUM(E19:E28)</f>
        <v/>
      </c>
      <c r="F29" s="500">
        <f>SUM(F19:F28)</f>
        <v/>
      </c>
      <c r="G29" s="500">
        <f>SUM(G19:G28)</f>
        <v/>
      </c>
      <c r="H29" s="500">
        <f>SUM(H19:H28)</f>
        <v/>
      </c>
      <c r="I29" s="523">
        <f>SUM(I19:I28)</f>
        <v/>
      </c>
      <c r="J29" s="576" t="n"/>
      <c r="K29" s="708" t="inlineStr">
        <is>
          <t>CF01</t>
        </is>
      </c>
      <c r="L29" s="576" t="n"/>
      <c r="M29" s="576" t="n"/>
      <c r="N29" s="576" t="n"/>
    </row>
    <row r="30">
      <c r="A30" s="576" t="n"/>
      <c r="B30" s="576" t="n"/>
      <c r="C30" s="576" t="n"/>
      <c r="D30" s="576" t="n"/>
      <c r="E30" s="576" t="n"/>
      <c r="F30" s="576" t="n"/>
      <c r="G30" s="576" t="n"/>
      <c r="H30" s="576" t="n"/>
      <c r="I30" s="576" t="n"/>
      <c r="J30" s="576" t="n"/>
      <c r="K30" s="576" t="n"/>
      <c r="L30" s="576" t="n"/>
      <c r="M30" s="576" t="n"/>
      <c r="N30" s="576" t="n"/>
    </row>
    <row r="31">
      <c r="A31" s="576" t="n"/>
      <c r="B31" s="576" t="n"/>
      <c r="C31" s="576" t="n"/>
      <c r="D31" s="576" t="n"/>
      <c r="E31" s="576" t="n"/>
      <c r="F31" s="576" t="n"/>
      <c r="G31" s="576" t="n"/>
      <c r="H31" s="576" t="n"/>
      <c r="I31" s="576" t="n"/>
      <c r="J31" s="576" t="n"/>
      <c r="K31" s="576" t="n"/>
      <c r="L31" s="576" t="n"/>
      <c r="M31" s="576" t="n"/>
      <c r="N31" s="576" t="n"/>
    </row>
    <row r="32" ht="16.2" customHeight="1" s="632" thickBot="1">
      <c r="A32" s="493" t="inlineStr">
        <is>
          <t>Capacity Expansion Pipeline</t>
        </is>
      </c>
      <c r="J32" s="576" t="n"/>
      <c r="K32" s="576" t="n"/>
      <c r="L32" s="576" t="n"/>
      <c r="M32" s="576" t="n"/>
      <c r="N32" s="576" t="n"/>
    </row>
    <row r="33" ht="15" customHeight="1" s="632" thickBot="1">
      <c r="A33" s="503" t="inlineStr">
        <is>
          <t>Project</t>
        </is>
      </c>
      <c r="B33" s="503" t="inlineStr">
        <is>
          <t>Company</t>
        </is>
      </c>
      <c r="C33" s="503" t="inlineStr">
        <is>
          <t>Type</t>
        </is>
      </c>
      <c r="D33" s="503" t="inlineStr">
        <is>
          <t>Start</t>
        </is>
      </c>
      <c r="E33" s="503" t="inlineStr">
        <is>
          <t>Completion</t>
        </is>
      </c>
      <c r="F33" s="503" t="inlineStr">
        <is>
          <t>Capacity (Mt)</t>
        </is>
      </c>
      <c r="G33" s="503" t="inlineStr">
        <is>
          <t>Status</t>
        </is>
      </c>
      <c r="H33" s="576" t="n"/>
      <c r="I33" s="707" t="inlineStr">
        <is>
          <t>Ref</t>
        </is>
      </c>
      <c r="J33" s="576" t="n"/>
      <c r="K33" s="576" t="n"/>
      <c r="L33" s="576" t="n"/>
      <c r="M33" s="576" t="n"/>
      <c r="N33" s="576" t="n"/>
    </row>
    <row r="34" ht="29.4" customHeight="1" s="632" thickTop="1">
      <c r="A34" s="683" t="inlineStr">
        <is>
          <t>Kalinganagar Phase II</t>
        </is>
      </c>
      <c r="B34" s="683" t="inlineStr">
        <is>
          <t>Tata Steel</t>
        </is>
      </c>
      <c r="C34" s="683" t="inlineStr">
        <is>
          <t>Brownfield</t>
        </is>
      </c>
      <c r="D34" s="683" t="inlineStr">
        <is>
          <t>FY27</t>
        </is>
      </c>
      <c r="E34" s="683" t="inlineStr">
        <is>
          <t>FY28</t>
        </is>
      </c>
      <c r="F34" s="596" t="n">
        <v>5</v>
      </c>
      <c r="G34" s="683" t="inlineStr">
        <is>
          <t>Under Construction</t>
        </is>
      </c>
      <c r="H34" s="576" t="n"/>
      <c r="I34" s="576" t="n"/>
      <c r="J34" s="576" t="n"/>
      <c r="K34" s="576" t="n"/>
      <c r="L34" s="576" t="n"/>
      <c r="M34" s="576" t="n"/>
      <c r="N34" s="576" t="n"/>
    </row>
    <row r="35">
      <c r="A35" s="683" t="inlineStr">
        <is>
          <t>Vijayanagar Expansion</t>
        </is>
      </c>
      <c r="B35" s="683" t="inlineStr">
        <is>
          <t>JSW Steel</t>
        </is>
      </c>
      <c r="C35" s="683" t="inlineStr">
        <is>
          <t>Brownfield</t>
        </is>
      </c>
      <c r="D35" s="683" t="inlineStr">
        <is>
          <t>FY27</t>
        </is>
      </c>
      <c r="E35" s="683" t="inlineStr">
        <is>
          <t>FY29</t>
        </is>
      </c>
      <c r="F35" s="596" t="n">
        <v>5</v>
      </c>
      <c r="G35" s="683" t="inlineStr">
        <is>
          <t>Approved</t>
        </is>
      </c>
      <c r="H35" s="576" t="n"/>
      <c r="I35" s="576" t="n"/>
      <c r="J35" s="576" t="n"/>
      <c r="K35" s="576" t="n"/>
      <c r="L35" s="576" t="n"/>
      <c r="M35" s="576" t="n"/>
      <c r="N35" s="576" t="n"/>
    </row>
    <row r="36">
      <c r="A36" s="957">
        <f>'Capacity Expansion Tracker'!$C$78</f>
        <v/>
      </c>
      <c r="B36" s="957">
        <f>'Capacity Expansion Tracker'!$B$78</f>
        <v/>
      </c>
      <c r="C36" s="957">
        <f>'Capacity Expansion Tracker'!$E$78</f>
        <v/>
      </c>
      <c r="D36" s="958">
        <f>IF('Capacity Expansion Tracker'!$I$78="","","FY"&amp;RIGHT('Capacity Expansion Tracker'!$I$78,2))</f>
        <v/>
      </c>
      <c r="E36" s="957">
        <f>'Capacity Expansion Tracker'!$I$78</f>
        <v/>
      </c>
      <c r="F36" s="959">
        <f>'Capacity Expansion Tracker'!$F$78</f>
        <v/>
      </c>
      <c r="G36" s="957">
        <f>'Capacity Expansion Tracker'!$H$78</f>
        <v/>
      </c>
      <c r="H36" s="576" t="n"/>
      <c r="I36" s="708" t="inlineStr">
        <is>
          <t>CF02</t>
        </is>
      </c>
      <c r="J36" s="576" t="n"/>
      <c r="K36" s="576" t="n"/>
      <c r="L36" s="576" t="n"/>
      <c r="M36" s="576" t="n"/>
      <c r="N36" s="576" t="n"/>
    </row>
    <row r="37">
      <c r="A37" s="960">
        <f>'Capacity Expansion Tracker'!$C$79</f>
        <v/>
      </c>
      <c r="B37" s="960">
        <f>'Capacity Expansion Tracker'!$B$79</f>
        <v/>
      </c>
      <c r="C37" s="960">
        <f>'Capacity Expansion Tracker'!$E$79</f>
        <v/>
      </c>
      <c r="D37" s="880">
        <f>IF('Capacity Expansion Tracker'!$I$79="","","FY"&amp;RIGHT('Capacity Expansion Tracker'!$I$79,2))</f>
        <v/>
      </c>
      <c r="E37" s="960">
        <f>'Capacity Expansion Tracker'!$I$79</f>
        <v/>
      </c>
      <c r="F37" s="961">
        <f>'Capacity Expansion Tracker'!$F$79</f>
        <v/>
      </c>
      <c r="G37" s="960">
        <f>'Capacity Expansion Tracker'!$H$79</f>
        <v/>
      </c>
      <c r="H37" s="576" t="n"/>
      <c r="I37" s="576" t="n"/>
      <c r="J37" s="576" t="n"/>
      <c r="K37" s="576" t="n"/>
      <c r="L37" s="576" t="n"/>
      <c r="M37" s="576" t="n"/>
      <c r="N37" s="576" t="n"/>
    </row>
    <row r="38">
      <c r="A38" s="960">
        <f>'Capacity Expansion Tracker'!$C$80</f>
        <v/>
      </c>
      <c r="B38" s="960">
        <f>'Capacity Expansion Tracker'!$B$80</f>
        <v/>
      </c>
      <c r="C38" s="960">
        <f>'Capacity Expansion Tracker'!$E$80</f>
        <v/>
      </c>
      <c r="D38" s="880">
        <f>IF('Capacity Expansion Tracker'!$I$80="","","FY"&amp;RIGHT('Capacity Expansion Tracker'!$I$80,2))</f>
        <v/>
      </c>
      <c r="E38" s="960">
        <f>'Capacity Expansion Tracker'!$I$80</f>
        <v/>
      </c>
      <c r="F38" s="961">
        <f>'Capacity Expansion Tracker'!$F$80</f>
        <v/>
      </c>
      <c r="G38" s="960">
        <f>'Capacity Expansion Tracker'!$H$80</f>
        <v/>
      </c>
      <c r="H38" s="576" t="n"/>
      <c r="I38" s="576" t="n"/>
      <c r="J38" s="576" t="n"/>
      <c r="K38" s="576" t="n"/>
      <c r="L38" s="576" t="n"/>
      <c r="M38" s="576" t="n"/>
      <c r="N38" s="576" t="n"/>
    </row>
    <row r="39">
      <c r="A39" s="960">
        <f>'Capacity Expansion Tracker'!$C$81</f>
        <v/>
      </c>
      <c r="B39" s="960">
        <f>'Capacity Expansion Tracker'!$B$81</f>
        <v/>
      </c>
      <c r="C39" s="960">
        <f>'Capacity Expansion Tracker'!$E$81</f>
        <v/>
      </c>
      <c r="D39" s="880">
        <f>IF('Capacity Expansion Tracker'!$I$81="","","FY"&amp;RIGHT('Capacity Expansion Tracker'!$I$81,2))</f>
        <v/>
      </c>
      <c r="E39" s="960">
        <f>'Capacity Expansion Tracker'!$I$81</f>
        <v/>
      </c>
      <c r="F39" s="961">
        <f>'Capacity Expansion Tracker'!$F$81</f>
        <v/>
      </c>
      <c r="G39" s="960">
        <f>'Capacity Expansion Tracker'!$H$81</f>
        <v/>
      </c>
      <c r="H39" s="576" t="n"/>
      <c r="I39" s="576" t="n"/>
      <c r="J39" s="576" t="n"/>
      <c r="K39" s="576" t="n"/>
      <c r="L39" s="576" t="n"/>
      <c r="M39" s="576" t="n"/>
      <c r="N39" s="576" t="n"/>
    </row>
    <row r="40">
      <c r="A40" s="960">
        <f>'Capacity Expansion Tracker'!$C$83</f>
        <v/>
      </c>
      <c r="B40" s="960">
        <f>'Capacity Expansion Tracker'!$B$83</f>
        <v/>
      </c>
      <c r="C40" s="960">
        <f>'Capacity Expansion Tracker'!$E$83</f>
        <v/>
      </c>
      <c r="D40" s="880">
        <f>IF('Capacity Expansion Tracker'!$I$83="","","FY"&amp;RIGHT('Capacity Expansion Tracker'!$I$83,2))</f>
        <v/>
      </c>
      <c r="E40" s="960">
        <f>'Capacity Expansion Tracker'!$I$83</f>
        <v/>
      </c>
      <c r="F40" s="961">
        <f>'Capacity Expansion Tracker'!$F$83</f>
        <v/>
      </c>
      <c r="G40" s="960">
        <f>'Capacity Expansion Tracker'!$H$83</f>
        <v/>
      </c>
      <c r="H40" s="576" t="n"/>
      <c r="I40" s="576" t="n"/>
      <c r="J40" s="576" t="n"/>
      <c r="K40" s="576" t="n"/>
      <c r="L40" s="576" t="n"/>
      <c r="M40" s="576" t="n"/>
      <c r="N40" s="576" t="n"/>
    </row>
    <row r="41">
      <c r="A41" s="960">
        <f>'Capacity Expansion Tracker'!$C$84</f>
        <v/>
      </c>
      <c r="B41" s="960">
        <f>'Capacity Expansion Tracker'!$B$84</f>
        <v/>
      </c>
      <c r="C41" s="960">
        <f>'Capacity Expansion Tracker'!$E$84</f>
        <v/>
      </c>
      <c r="D41" s="880">
        <f>IF('Capacity Expansion Tracker'!$I$84="","","FY"&amp;RIGHT('Capacity Expansion Tracker'!$I$84,2))</f>
        <v/>
      </c>
      <c r="E41" s="960">
        <f>'Capacity Expansion Tracker'!$I$84</f>
        <v/>
      </c>
      <c r="F41" s="961">
        <f>'Capacity Expansion Tracker'!$F$84</f>
        <v/>
      </c>
      <c r="G41" s="960">
        <f>'Capacity Expansion Tracker'!$H$84</f>
        <v/>
      </c>
      <c r="H41" s="576" t="n"/>
      <c r="I41" s="576" t="n"/>
      <c r="J41" s="576" t="n"/>
      <c r="K41" s="576" t="n"/>
      <c r="L41" s="576" t="n"/>
      <c r="M41" s="576" t="n"/>
      <c r="N41" s="576" t="n"/>
    </row>
    <row r="42">
      <c r="A42" s="960">
        <f>'Capacity Expansion Tracker'!$C$85</f>
        <v/>
      </c>
      <c r="B42" s="960">
        <f>'Capacity Expansion Tracker'!$B$85</f>
        <v/>
      </c>
      <c r="C42" s="960">
        <f>'Capacity Expansion Tracker'!$E$85</f>
        <v/>
      </c>
      <c r="D42" s="880">
        <f>IF('Capacity Expansion Tracker'!$I$85="","","FY"&amp;RIGHT('Capacity Expansion Tracker'!$I$85,2))</f>
        <v/>
      </c>
      <c r="E42" s="960">
        <f>'Capacity Expansion Tracker'!$I$85</f>
        <v/>
      </c>
      <c r="F42" s="961">
        <f>'Capacity Expansion Tracker'!$F$85</f>
        <v/>
      </c>
      <c r="G42" s="960">
        <f>'Capacity Expansion Tracker'!$H$85</f>
        <v/>
      </c>
      <c r="H42" s="576" t="n"/>
      <c r="I42" s="576" t="n"/>
      <c r="J42" s="576" t="n"/>
      <c r="K42" s="576" t="n"/>
      <c r="L42" s="576" t="n"/>
      <c r="M42" s="576" t="n"/>
      <c r="N42" s="576" t="n"/>
    </row>
    <row r="43">
      <c r="A43" s="960">
        <f>'Capacity Expansion Tracker'!$C$86</f>
        <v/>
      </c>
      <c r="B43" s="960">
        <f>'Capacity Expansion Tracker'!$B$86</f>
        <v/>
      </c>
      <c r="C43" s="960">
        <f>'Capacity Expansion Tracker'!$E$86</f>
        <v/>
      </c>
      <c r="D43" s="880">
        <f>IF('Capacity Expansion Tracker'!$I$86="","","FY"&amp;RIGHT('Capacity Expansion Tracker'!$I$86,2))</f>
        <v/>
      </c>
      <c r="E43" s="960">
        <f>'Capacity Expansion Tracker'!$I$86</f>
        <v/>
      </c>
      <c r="F43" s="961">
        <f>'Capacity Expansion Tracker'!$F$86</f>
        <v/>
      </c>
      <c r="G43" s="960">
        <f>'Capacity Expansion Tracker'!$H$86</f>
        <v/>
      </c>
      <c r="H43" s="576" t="n"/>
      <c r="I43" s="576" t="n"/>
      <c r="J43" s="576" t="n"/>
      <c r="K43" s="576" t="n"/>
      <c r="L43" s="576" t="n"/>
      <c r="M43" s="576" t="n"/>
      <c r="N43" s="576" t="n"/>
    </row>
    <row r="44">
      <c r="A44" s="960">
        <f>'Capacity Expansion Tracker'!$C$88</f>
        <v/>
      </c>
      <c r="B44" s="960">
        <f>'Capacity Expansion Tracker'!$B$88</f>
        <v/>
      </c>
      <c r="C44" s="960">
        <f>'Capacity Expansion Tracker'!$E$88</f>
        <v/>
      </c>
      <c r="D44" s="880">
        <f>IF('Capacity Expansion Tracker'!$I$88="","","FY"&amp;RIGHT('Capacity Expansion Tracker'!$I$88,2))</f>
        <v/>
      </c>
      <c r="E44" s="960">
        <f>'Capacity Expansion Tracker'!$I$88</f>
        <v/>
      </c>
      <c r="F44" s="961">
        <f>'Capacity Expansion Tracker'!$F$88</f>
        <v/>
      </c>
      <c r="G44" s="960">
        <f>'Capacity Expansion Tracker'!$H$88</f>
        <v/>
      </c>
      <c r="H44" s="576" t="n"/>
      <c r="I44" s="576" t="n"/>
      <c r="J44" s="576" t="n"/>
      <c r="K44" s="576" t="n"/>
      <c r="L44" s="576" t="n"/>
      <c r="M44" s="576" t="n"/>
      <c r="N44" s="576" t="n"/>
    </row>
    <row r="45">
      <c r="A45" s="960">
        <f>'Capacity Expansion Tracker'!$C$89</f>
        <v/>
      </c>
      <c r="B45" s="960">
        <f>'Capacity Expansion Tracker'!$B$89</f>
        <v/>
      </c>
      <c r="C45" s="960">
        <f>'Capacity Expansion Tracker'!$E$89</f>
        <v/>
      </c>
      <c r="D45" s="880">
        <f>IF('Capacity Expansion Tracker'!$I$89="","","FY"&amp;RIGHT('Capacity Expansion Tracker'!$I$89,2))</f>
        <v/>
      </c>
      <c r="E45" s="960">
        <f>'Capacity Expansion Tracker'!$I$89</f>
        <v/>
      </c>
      <c r="F45" s="961">
        <f>'Capacity Expansion Tracker'!$F$89</f>
        <v/>
      </c>
      <c r="G45" s="960">
        <f>'Capacity Expansion Tracker'!$H$89</f>
        <v/>
      </c>
      <c r="H45" s="576" t="n"/>
      <c r="I45" s="576" t="n"/>
      <c r="J45" s="576" t="n"/>
      <c r="K45" s="576" t="n"/>
      <c r="L45" s="576" t="n"/>
      <c r="M45" s="576" t="n"/>
      <c r="N45" s="576" t="n"/>
    </row>
    <row r="46">
      <c r="A46" s="960">
        <f>'Capacity Expansion Tracker'!$C$95</f>
        <v/>
      </c>
      <c r="B46" s="960">
        <f>'Capacity Expansion Tracker'!$B$95</f>
        <v/>
      </c>
      <c r="C46" s="960">
        <f>'Capacity Expansion Tracker'!$E$95</f>
        <v/>
      </c>
      <c r="D46" s="880">
        <f>IF('Capacity Expansion Tracker'!$I$95="","","FY"&amp;RIGHT('Capacity Expansion Tracker'!$I$95,2))</f>
        <v/>
      </c>
      <c r="E46" s="960">
        <f>'Capacity Expansion Tracker'!$I$95</f>
        <v/>
      </c>
      <c r="F46" s="961">
        <f>'Capacity Expansion Tracker'!$F$95</f>
        <v/>
      </c>
      <c r="G46" s="960">
        <f>'Capacity Expansion Tracker'!$H$95</f>
        <v/>
      </c>
      <c r="H46" s="576" t="n"/>
      <c r="I46" s="576" t="n"/>
      <c r="J46" s="576" t="n"/>
      <c r="K46" s="576" t="n"/>
      <c r="L46" s="576" t="n"/>
      <c r="M46" s="576" t="n"/>
      <c r="N46" s="576" t="n"/>
    </row>
    <row r="47">
      <c r="A47" s="576" t="n"/>
      <c r="B47" s="576" t="n"/>
      <c r="C47" s="576" t="n"/>
      <c r="D47" s="576" t="n"/>
      <c r="E47" s="576" t="n"/>
      <c r="F47" s="576" t="n"/>
      <c r="G47" s="576" t="n"/>
      <c r="H47" s="576" t="n"/>
      <c r="I47" s="576" t="n"/>
      <c r="J47" s="576" t="n"/>
      <c r="K47" s="576" t="n"/>
      <c r="L47" s="576" t="n"/>
      <c r="M47" s="576" t="n"/>
      <c r="N47" s="576" t="n"/>
    </row>
    <row r="48">
      <c r="A48" s="576" t="n"/>
      <c r="B48" s="576" t="n"/>
      <c r="C48" s="576" t="n"/>
      <c r="D48" s="576" t="n"/>
      <c r="E48" s="576" t="n"/>
      <c r="F48" s="576" t="n"/>
      <c r="G48" s="576" t="n"/>
      <c r="H48" s="576" t="n"/>
      <c r="I48" s="576" t="n"/>
      <c r="J48" s="576" t="n"/>
      <c r="K48" s="576" t="n"/>
      <c r="L48" s="576" t="n"/>
      <c r="M48" s="576" t="n"/>
      <c r="N48" s="576" t="n"/>
    </row>
    <row r="49" ht="15.6" customHeight="1" s="632">
      <c r="A49" s="493" t="inlineStr">
        <is>
          <t>Capacity Bridge</t>
        </is>
      </c>
      <c r="J49" s="576" t="n"/>
      <c r="K49" s="576" t="n"/>
      <c r="L49" s="576" t="n"/>
      <c r="M49" s="576" t="n"/>
      <c r="N49" s="576" t="n"/>
    </row>
    <row r="50">
      <c r="A50" s="506" t="inlineStr">
        <is>
          <t>Item</t>
        </is>
      </c>
      <c r="B50" s="506" t="inlineStr">
        <is>
          <t>FY27E</t>
        </is>
      </c>
      <c r="C50" s="506" t="inlineStr">
        <is>
          <t>FY28E</t>
        </is>
      </c>
      <c r="D50" s="506" t="inlineStr">
        <is>
          <t>FY29E</t>
        </is>
      </c>
      <c r="E50" s="506" t="inlineStr">
        <is>
          <t>FY30E</t>
        </is>
      </c>
      <c r="F50" s="506" t="inlineStr">
        <is>
          <t>FY31E</t>
        </is>
      </c>
      <c r="G50" s="506" t="inlineStr">
        <is>
          <t>FY32E</t>
        </is>
      </c>
      <c r="H50" s="506" t="inlineStr">
        <is>
          <t>FY33E</t>
        </is>
      </c>
      <c r="I50" s="576" t="n"/>
      <c r="J50" s="707" t="inlineStr">
        <is>
          <t>Ref</t>
        </is>
      </c>
      <c r="K50" s="576" t="n"/>
      <c r="L50" s="576" t="n"/>
      <c r="M50" s="576" t="n"/>
      <c r="N50" s="576" t="n"/>
    </row>
    <row r="51">
      <c r="A51" s="670" t="inlineStr">
        <is>
          <t>Opening Capacity</t>
        </is>
      </c>
      <c r="B51" s="828">
        <f>$D$95</f>
        <v/>
      </c>
      <c r="C51" s="828">
        <f>$E$95</f>
        <v/>
      </c>
      <c r="D51" s="828">
        <f>$F$95</f>
        <v/>
      </c>
      <c r="E51" s="828">
        <f>$G$95</f>
        <v/>
      </c>
      <c r="F51" s="828">
        <f>$H$95</f>
        <v/>
      </c>
      <c r="G51" s="828">
        <f>$I$95</f>
        <v/>
      </c>
      <c r="H51" s="828">
        <f>$J$95</f>
        <v/>
      </c>
      <c r="I51" s="576" t="n"/>
      <c r="J51" s="576" t="n"/>
      <c r="K51" s="576" t="n"/>
      <c r="L51" s="576" t="n"/>
      <c r="M51" s="576" t="n"/>
      <c r="N51" s="576" t="n"/>
    </row>
    <row r="52">
      <c r="A52" s="670" t="inlineStr">
        <is>
          <t>Brownfield Additions</t>
        </is>
      </c>
      <c r="B52" s="895">
        <f>SUMIFS('Capacity Expansion Tracker'!$F$77:$F$96,'Capacity Expansion Tracker'!$E$77:$E$96,"Brownfield*",'Capacity Expansion Tracker'!$I$77:$I$96,"FY2027",'Capacity Expansion Tracker'!$L$77:$L$96,"Yes")*$D$97</f>
        <v/>
      </c>
      <c r="C52" s="895">
        <f>SUMIFS('Capacity Expansion Tracker'!$F$77:$F$96,'Capacity Expansion Tracker'!$E$77:$E$96,"Brownfield*",'Capacity Expansion Tracker'!$I$77:$I$96,"FY2028",'Capacity Expansion Tracker'!$L$77:$L$96,"Yes")*$E$97</f>
        <v/>
      </c>
      <c r="D52" s="895">
        <f>SUMIFS('Capacity Expansion Tracker'!$F$77:$F$96,'Capacity Expansion Tracker'!$E$77:$E$96,"Brownfield*",'Capacity Expansion Tracker'!$I$77:$I$96,"FY2029",'Capacity Expansion Tracker'!$L$77:$L$96,"Yes")*$F$97</f>
        <v/>
      </c>
      <c r="E52" s="895">
        <f>SUMIFS('Capacity Expansion Tracker'!$F$77:$F$96,'Capacity Expansion Tracker'!$E$77:$E$96,"Brownfield*",'Capacity Expansion Tracker'!$I$77:$I$96,"FY2030",'Capacity Expansion Tracker'!$L$77:$L$96,"Yes")*$G$97</f>
        <v/>
      </c>
      <c r="F52" s="895">
        <f>SUMIFS('Capacity Expansion Tracker'!$F$77:$F$96,'Capacity Expansion Tracker'!$E$77:$E$96,"Brownfield*",'Capacity Expansion Tracker'!$I$77:$I$96,"FY2031",'Capacity Expansion Tracker'!$L$77:$L$96,"Yes")*$H$97</f>
        <v/>
      </c>
      <c r="G52" s="895">
        <f>SUMIFS('Capacity Expansion Tracker'!$F$77:$F$96,'Capacity Expansion Tracker'!$E$77:$E$96,"Brownfield*",'Capacity Expansion Tracker'!$I$77:$I$96,"FY2032",'Capacity Expansion Tracker'!$L$77:$L$96,"Yes")*$I$97</f>
        <v/>
      </c>
      <c r="H52" s="895">
        <f>SUMIFS('Capacity Expansion Tracker'!$F$77:$F$96,'Capacity Expansion Tracker'!$E$77:$E$96,"Brownfield*",'Capacity Expansion Tracker'!$I$77:$I$96,"FY2033",'Capacity Expansion Tracker'!$L$77:$L$96,"Yes")*$J$97</f>
        <v/>
      </c>
      <c r="I52" s="576" t="n"/>
      <c r="J52" s="576" t="n"/>
      <c r="K52" s="576" t="n"/>
      <c r="L52" s="576" t="n"/>
      <c r="M52" s="576" t="n"/>
      <c r="N52" s="576" t="n"/>
    </row>
    <row r="53">
      <c r="A53" s="670" t="inlineStr">
        <is>
          <t>Greenfield Additions</t>
        </is>
      </c>
      <c r="B53" s="895">
        <f>$D$96*$D$97-B52</f>
        <v/>
      </c>
      <c r="C53" s="895">
        <f>$E$96*$E$97-C52</f>
        <v/>
      </c>
      <c r="D53" s="895">
        <f>$F$96*$F$97-D52</f>
        <v/>
      </c>
      <c r="E53" s="895">
        <f>$G$96*$G$97-E52</f>
        <v/>
      </c>
      <c r="F53" s="895">
        <f>$H$96*$H$97-F52</f>
        <v/>
      </c>
      <c r="G53" s="895">
        <f>$I$96*$I$97-G52</f>
        <v/>
      </c>
      <c r="H53" s="895">
        <f>$J$96*$J$97-H52</f>
        <v/>
      </c>
      <c r="I53" s="576" t="n"/>
      <c r="J53" s="576" t="n"/>
      <c r="K53" s="576" t="n"/>
      <c r="L53" s="576" t="n"/>
      <c r="M53" s="576" t="n"/>
      <c r="N53" s="576" t="n"/>
    </row>
    <row r="54">
      <c r="A54" s="670" t="inlineStr">
        <is>
          <t>Debottlenecking</t>
        </is>
      </c>
      <c r="B54" s="828">
        <f>$D$99</f>
        <v/>
      </c>
      <c r="C54" s="828">
        <f>$E$99</f>
        <v/>
      </c>
      <c r="D54" s="828">
        <f>$F$99</f>
        <v/>
      </c>
      <c r="E54" s="828">
        <f>$G$99</f>
        <v/>
      </c>
      <c r="F54" s="828">
        <f>$H$99</f>
        <v/>
      </c>
      <c r="G54" s="828">
        <f>$I$99</f>
        <v/>
      </c>
      <c r="H54" s="828">
        <f>$J$99</f>
        <v/>
      </c>
      <c r="I54" s="576" t="n"/>
      <c r="J54" s="576" t="n"/>
      <c r="K54" s="576" t="n"/>
      <c r="L54" s="576" t="n"/>
      <c r="M54" s="576" t="n"/>
      <c r="N54" s="576" t="n"/>
    </row>
    <row r="55">
      <c r="A55" s="670" t="inlineStr">
        <is>
          <t>Permanent Closures</t>
        </is>
      </c>
      <c r="B55" s="962" t="n">
        <v>0</v>
      </c>
      <c r="C55" s="962" t="n">
        <v>0</v>
      </c>
      <c r="D55" s="962" t="n">
        <v>0</v>
      </c>
      <c r="E55" s="962" t="n">
        <v>0</v>
      </c>
      <c r="F55" s="962" t="n">
        <v>0</v>
      </c>
      <c r="G55" s="962" t="n">
        <v>0</v>
      </c>
      <c r="H55" s="962" t="n">
        <v>0</v>
      </c>
      <c r="I55" s="576" t="n"/>
      <c r="J55" s="576" t="n"/>
      <c r="K55" s="576" t="n"/>
      <c r="L55" s="576" t="n"/>
      <c r="M55" s="576" t="n"/>
      <c r="N55" s="576" t="n"/>
    </row>
    <row r="56">
      <c r="A56" s="670" t="inlineStr">
        <is>
          <t>Net Capacity Addition</t>
        </is>
      </c>
      <c r="B56" s="895">
        <f>B52+B53+B54-B55</f>
        <v/>
      </c>
      <c r="C56" s="895">
        <f>C52+C53+C54-C55</f>
        <v/>
      </c>
      <c r="D56" s="895">
        <f>D52+D53+D54-D55</f>
        <v/>
      </c>
      <c r="E56" s="895">
        <f>E52+E53+E54-E55</f>
        <v/>
      </c>
      <c r="F56" s="895">
        <f>F52+F53+F54-F55</f>
        <v/>
      </c>
      <c r="G56" s="895">
        <f>G52+G53+G54-G55</f>
        <v/>
      </c>
      <c r="H56" s="895">
        <f>H52+H53+H54-H55</f>
        <v/>
      </c>
      <c r="I56" s="576" t="n"/>
      <c r="J56" s="576" t="n"/>
      <c r="K56" s="576" t="n"/>
      <c r="L56" s="576" t="n"/>
      <c r="M56" s="576" t="n"/>
      <c r="N56" s="576" t="n"/>
    </row>
    <row r="57">
      <c r="A57" s="489" t="inlineStr">
        <is>
          <t>Closing Capacity</t>
        </is>
      </c>
      <c r="B57" s="895">
        <f>B51+B56</f>
        <v/>
      </c>
      <c r="C57" s="895">
        <f>C51+C56</f>
        <v/>
      </c>
      <c r="D57" s="895">
        <f>D51+D56</f>
        <v/>
      </c>
      <c r="E57" s="895">
        <f>E51+E56</f>
        <v/>
      </c>
      <c r="F57" s="895">
        <f>F51+F56</f>
        <v/>
      </c>
      <c r="G57" s="895">
        <f>G51+G56</f>
        <v/>
      </c>
      <c r="H57" s="895">
        <f>H51+H56</f>
        <v/>
      </c>
      <c r="I57" s="576" t="n"/>
      <c r="J57" s="708" t="inlineStr">
        <is>
          <t>CF03</t>
        </is>
      </c>
      <c r="K57" s="576" t="n"/>
      <c r="L57" s="576" t="n"/>
      <c r="M57" s="576" t="n"/>
      <c r="N57" s="576" t="n"/>
    </row>
    <row r="58">
      <c r="A58" s="576" t="n"/>
      <c r="B58" s="576" t="n"/>
      <c r="C58" s="576" t="n"/>
      <c r="D58" s="576" t="n"/>
      <c r="E58" s="576" t="n"/>
      <c r="F58" s="576" t="n"/>
      <c r="G58" s="576" t="n"/>
      <c r="H58" s="576" t="n"/>
      <c r="I58" s="576" t="n"/>
      <c r="J58" s="576" t="n"/>
      <c r="K58" s="576" t="n"/>
      <c r="L58" s="576" t="n"/>
      <c r="M58" s="576" t="n"/>
      <c r="N58" s="576" t="n"/>
    </row>
    <row r="59">
      <c r="A59" s="576" t="n"/>
      <c r="B59" s="576" t="n"/>
      <c r="C59" s="576" t="n"/>
      <c r="D59" s="576" t="n"/>
      <c r="E59" s="576" t="n"/>
      <c r="F59" s="576" t="n"/>
      <c r="G59" s="576" t="n"/>
      <c r="H59" s="576" t="n"/>
      <c r="I59" s="576" t="n"/>
      <c r="J59" s="576" t="n"/>
      <c r="K59" s="576" t="n"/>
      <c r="L59" s="576" t="n"/>
      <c r="M59" s="576" t="n"/>
      <c r="N59" s="576" t="n"/>
    </row>
    <row r="60" ht="15.6" customHeight="1" s="632">
      <c r="A60" s="493" t="inlineStr">
        <is>
          <t>Capacity vs Demand</t>
        </is>
      </c>
      <c r="J60" s="576" t="n"/>
      <c r="K60" s="576" t="n"/>
      <c r="L60" s="576" t="n"/>
      <c r="M60" s="576" t="n"/>
      <c r="N60" s="576" t="n"/>
    </row>
    <row r="61">
      <c r="A61" s="506" t="inlineStr">
        <is>
          <t>Year</t>
        </is>
      </c>
      <c r="B61" s="506" t="inlineStr">
        <is>
          <t>Capacity</t>
        </is>
      </c>
      <c r="C61" s="506" t="inlineStr">
        <is>
          <t>Demand</t>
        </is>
      </c>
      <c r="D61" s="506" t="inlineStr">
        <is>
          <t>Buffer</t>
        </is>
      </c>
      <c r="E61" s="506" t="inlineStr">
        <is>
          <t>Coverage</t>
        </is>
      </c>
      <c r="F61" s="576" t="n"/>
      <c r="G61" s="576" t="n"/>
      <c r="H61" s="576" t="n"/>
      <c r="I61" s="576" t="n"/>
      <c r="J61" s="576" t="n"/>
      <c r="K61" s="576" t="n"/>
      <c r="L61" s="576" t="n"/>
      <c r="M61" s="576" t="n"/>
      <c r="N61" s="576" t="n"/>
    </row>
    <row r="62">
      <c r="A62" s="670" t="inlineStr">
        <is>
          <t>FY27</t>
        </is>
      </c>
      <c r="B62" s="828">
        <f>$D$101</f>
        <v/>
      </c>
      <c r="C62" s="828">
        <f>'Steel Supply Model'!$D$94</f>
        <v/>
      </c>
      <c r="D62" s="895">
        <f>B62-C62</f>
        <v/>
      </c>
      <c r="E62" s="963">
        <f>IFERROR(B62/C62,"")</f>
        <v/>
      </c>
      <c r="F62" s="576" t="n"/>
      <c r="G62" s="576" t="n"/>
      <c r="H62" s="576" t="n"/>
      <c r="I62" s="576" t="n"/>
      <c r="J62" s="576" t="n"/>
      <c r="K62" s="576" t="n"/>
      <c r="L62" s="576" t="n"/>
      <c r="M62" s="576" t="n"/>
      <c r="N62" s="576" t="n"/>
    </row>
    <row r="63">
      <c r="A63" s="670" t="inlineStr">
        <is>
          <t>FY28</t>
        </is>
      </c>
      <c r="B63" s="828">
        <f>$E$101</f>
        <v/>
      </c>
      <c r="C63" s="828">
        <f>'Steel Supply Model'!$E$94</f>
        <v/>
      </c>
      <c r="D63" s="895">
        <f>B63-C63</f>
        <v/>
      </c>
      <c r="E63" s="963">
        <f>IFERROR(B63/C63,"")</f>
        <v/>
      </c>
      <c r="F63" s="576" t="n"/>
      <c r="G63" s="576" t="n"/>
      <c r="H63" s="576" t="n"/>
      <c r="I63" s="576" t="n"/>
      <c r="J63" s="576" t="n"/>
      <c r="K63" s="576" t="n"/>
      <c r="L63" s="576" t="n"/>
      <c r="M63" s="576" t="n"/>
      <c r="N63" s="576" t="n"/>
    </row>
    <row r="64">
      <c r="A64" s="670" t="inlineStr">
        <is>
          <t>FY29</t>
        </is>
      </c>
      <c r="B64" s="828">
        <f>$F$101</f>
        <v/>
      </c>
      <c r="C64" s="828">
        <f>'Steel Supply Model'!$F$94</f>
        <v/>
      </c>
      <c r="D64" s="895">
        <f>B64-C64</f>
        <v/>
      </c>
      <c r="E64" s="963">
        <f>IFERROR(B64/C64,"")</f>
        <v/>
      </c>
      <c r="F64" s="576" t="n"/>
      <c r="G64" s="576" t="n"/>
      <c r="H64" s="576" t="n"/>
      <c r="I64" s="576" t="n"/>
      <c r="J64" s="576" t="n"/>
      <c r="K64" s="576" t="n"/>
      <c r="L64" s="576" t="n"/>
      <c r="M64" s="576" t="n"/>
      <c r="N64" s="576" t="n"/>
    </row>
    <row r="65">
      <c r="A65" s="670" t="inlineStr">
        <is>
          <t>FY30</t>
        </is>
      </c>
      <c r="B65" s="828">
        <f>$G$101</f>
        <v/>
      </c>
      <c r="C65" s="828">
        <f>'Steel Supply Model'!$G$94</f>
        <v/>
      </c>
      <c r="D65" s="895">
        <f>B65-C65</f>
        <v/>
      </c>
      <c r="E65" s="963">
        <f>IFERROR(B65/C65,"")</f>
        <v/>
      </c>
      <c r="F65" s="576" t="n"/>
      <c r="G65" s="576" t="n"/>
      <c r="H65" s="576" t="n"/>
      <c r="I65" s="576" t="n"/>
      <c r="J65" s="576" t="n"/>
      <c r="K65" s="576" t="n"/>
      <c r="L65" s="576" t="n"/>
      <c r="M65" s="576" t="n"/>
      <c r="N65" s="576" t="n"/>
    </row>
    <row r="66">
      <c r="A66" s="670" t="inlineStr">
        <is>
          <t>FY31</t>
        </is>
      </c>
      <c r="B66" s="828">
        <f>$H$101</f>
        <v/>
      </c>
      <c r="C66" s="828">
        <f>'Steel Supply Model'!$H$94</f>
        <v/>
      </c>
      <c r="D66" s="895">
        <f>B66-C66</f>
        <v/>
      </c>
      <c r="E66" s="963">
        <f>IFERROR(B66/C66,"")</f>
        <v/>
      </c>
      <c r="F66" s="576" t="n"/>
      <c r="G66" s="576" t="n"/>
      <c r="H66" s="576" t="n"/>
      <c r="I66" s="576" t="n"/>
      <c r="J66" s="576" t="n"/>
      <c r="K66" s="576" t="n"/>
      <c r="L66" s="576" t="n"/>
      <c r="M66" s="576" t="n"/>
      <c r="N66" s="576" t="n"/>
    </row>
    <row r="67">
      <c r="A67" s="670" t="inlineStr">
        <is>
          <t>FY32</t>
        </is>
      </c>
      <c r="B67" s="828">
        <f>$I$101</f>
        <v/>
      </c>
      <c r="C67" s="828">
        <f>'Steel Supply Model'!$I$94</f>
        <v/>
      </c>
      <c r="D67" s="895">
        <f>B67-C67</f>
        <v/>
      </c>
      <c r="E67" s="963">
        <f>IFERROR(B67/C67,"")</f>
        <v/>
      </c>
      <c r="F67" s="576" t="n"/>
      <c r="G67" s="576" t="n"/>
      <c r="H67" s="576" t="n"/>
      <c r="I67" s="576" t="n"/>
      <c r="J67" s="576" t="n"/>
      <c r="K67" s="576" t="n"/>
      <c r="L67" s="576" t="n"/>
      <c r="M67" s="576" t="n"/>
      <c r="N67" s="576" t="n"/>
    </row>
    <row r="68">
      <c r="A68" s="670" t="inlineStr">
        <is>
          <t>FY33</t>
        </is>
      </c>
      <c r="B68" s="828">
        <f>$J$101</f>
        <v/>
      </c>
      <c r="C68" s="828">
        <f>'Steel Supply Model'!$J$94</f>
        <v/>
      </c>
      <c r="D68" s="895">
        <f>B68-C68</f>
        <v/>
      </c>
      <c r="E68" s="963">
        <f>IFERROR(B68/C68,"")</f>
        <v/>
      </c>
      <c r="F68" s="576" t="n"/>
      <c r="G68" s="576" t="n"/>
      <c r="H68" s="576" t="n"/>
      <c r="I68" s="576" t="n"/>
      <c r="J68" s="576" t="n"/>
      <c r="K68" s="576" t="n"/>
      <c r="L68" s="576" t="n"/>
      <c r="M68" s="576" t="n"/>
      <c r="N68" s="576" t="n"/>
    </row>
    <row r="69">
      <c r="A69" s="576" t="n"/>
      <c r="B69" s="576" t="n"/>
      <c r="C69" s="576" t="n"/>
      <c r="D69" s="576" t="n"/>
      <c r="E69" s="576" t="n"/>
      <c r="F69" s="576" t="n"/>
      <c r="G69" s="576" t="n"/>
      <c r="H69" s="576" t="n"/>
      <c r="I69" s="576" t="n"/>
      <c r="J69" s="576" t="n"/>
      <c r="K69" s="576" t="n"/>
      <c r="L69" s="576" t="n"/>
      <c r="M69" s="576" t="n"/>
      <c r="N69" s="576" t="n"/>
    </row>
    <row r="70">
      <c r="A70" s="576" t="n"/>
      <c r="B70" s="576" t="n"/>
      <c r="C70" s="576" t="n"/>
      <c r="D70" s="576" t="n"/>
      <c r="E70" s="576" t="n"/>
      <c r="F70" s="576" t="n"/>
      <c r="G70" s="576" t="n"/>
      <c r="H70" s="576" t="n"/>
      <c r="I70" s="576" t="n"/>
      <c r="J70" s="576" t="n"/>
      <c r="K70" s="576" t="n"/>
      <c r="L70" s="576" t="n"/>
      <c r="M70" s="576" t="n"/>
      <c r="N70" s="576" t="n"/>
    </row>
    <row r="71" ht="15.6" customHeight="1" s="632">
      <c r="A71" s="493" t="inlineStr">
        <is>
          <t>Capacity Utilisation Outlook</t>
        </is>
      </c>
      <c r="J71" s="576" t="n"/>
      <c r="K71" s="576" t="n"/>
      <c r="L71" s="576" t="n"/>
      <c r="M71" s="576" t="n"/>
      <c r="N71" s="576" t="n"/>
    </row>
    <row r="72">
      <c r="A72" s="506" t="inlineStr">
        <is>
          <t>Year</t>
        </is>
      </c>
      <c r="B72" s="506" t="inlineStr">
        <is>
          <t>Capacity</t>
        </is>
      </c>
      <c r="C72" s="506" t="inlineStr">
        <is>
          <t>Production</t>
        </is>
      </c>
      <c r="D72" s="506" t="inlineStr">
        <is>
          <t>Utilisation</t>
        </is>
      </c>
      <c r="E72" s="576" t="n"/>
      <c r="F72" s="576" t="n"/>
      <c r="G72" s="576" t="n"/>
      <c r="H72" s="576" t="n"/>
      <c r="I72" s="576" t="n"/>
      <c r="J72" s="576" t="n"/>
      <c r="K72" s="576" t="n"/>
      <c r="L72" s="576" t="n"/>
      <c r="M72" s="576" t="n"/>
      <c r="N72" s="576" t="n"/>
    </row>
    <row r="73">
      <c r="A73" s="670" t="inlineStr">
        <is>
          <t>FY27</t>
        </is>
      </c>
      <c r="B73" s="828">
        <f>$D$101</f>
        <v/>
      </c>
      <c r="C73" s="828">
        <f>'Steel Supply Model'!$D$99</f>
        <v/>
      </c>
      <c r="D73" s="954">
        <f>IFERROR(C73/B73,"")</f>
        <v/>
      </c>
      <c r="E73" s="576" t="n"/>
      <c r="F73" s="576" t="n"/>
      <c r="G73" s="576" t="n"/>
      <c r="H73" s="576" t="n"/>
      <c r="I73" s="576" t="n"/>
      <c r="J73" s="576" t="n"/>
      <c r="K73" s="576" t="n"/>
      <c r="L73" s="576" t="n"/>
      <c r="M73" s="576" t="n"/>
      <c r="N73" s="576" t="n"/>
    </row>
    <row r="74">
      <c r="A74" s="670" t="inlineStr">
        <is>
          <t>FY28</t>
        </is>
      </c>
      <c r="B74" s="828">
        <f>$E$101</f>
        <v/>
      </c>
      <c r="C74" s="828">
        <f>'Steel Supply Model'!$E$99</f>
        <v/>
      </c>
      <c r="D74" s="954">
        <f>IFERROR(C74/B74,"")</f>
        <v/>
      </c>
      <c r="E74" s="576" t="n"/>
      <c r="F74" s="576" t="n"/>
      <c r="G74" s="576" t="n"/>
      <c r="H74" s="576" t="n"/>
      <c r="I74" s="576" t="n"/>
      <c r="J74" s="576" t="n"/>
      <c r="K74" s="576" t="n"/>
      <c r="L74" s="576" t="n"/>
      <c r="M74" s="576" t="n"/>
      <c r="N74" s="576" t="n"/>
    </row>
    <row r="75">
      <c r="A75" s="670" t="inlineStr">
        <is>
          <t>FY29</t>
        </is>
      </c>
      <c r="B75" s="828">
        <f>$F$101</f>
        <v/>
      </c>
      <c r="C75" s="828">
        <f>'Steel Supply Model'!$F$99</f>
        <v/>
      </c>
      <c r="D75" s="954">
        <f>IFERROR(C75/B75,"")</f>
        <v/>
      </c>
      <c r="E75" s="576" t="n"/>
      <c r="F75" s="576" t="n"/>
      <c r="G75" s="576" t="n"/>
      <c r="H75" s="576" t="n"/>
      <c r="I75" s="576" t="n"/>
      <c r="J75" s="576" t="n"/>
      <c r="K75" s="576" t="n"/>
      <c r="L75" s="576" t="n"/>
      <c r="M75" s="576" t="n"/>
      <c r="N75" s="576" t="n"/>
    </row>
    <row r="76">
      <c r="A76" s="670" t="inlineStr">
        <is>
          <t>FY30</t>
        </is>
      </c>
      <c r="B76" s="828">
        <f>$G$101</f>
        <v/>
      </c>
      <c r="C76" s="828">
        <f>'Steel Supply Model'!$G$99</f>
        <v/>
      </c>
      <c r="D76" s="954">
        <f>IFERROR(C76/B76,"")</f>
        <v/>
      </c>
      <c r="E76" s="576" t="n"/>
      <c r="F76" s="576" t="n"/>
      <c r="G76" s="576" t="n"/>
      <c r="H76" s="576" t="n"/>
      <c r="I76" s="576" t="n"/>
      <c r="J76" s="576" t="n"/>
      <c r="K76" s="576" t="n"/>
      <c r="L76" s="576" t="n"/>
      <c r="M76" s="576" t="n"/>
      <c r="N76" s="576" t="n"/>
    </row>
    <row r="77">
      <c r="A77" s="670" t="inlineStr">
        <is>
          <t>FY31</t>
        </is>
      </c>
      <c r="B77" s="828">
        <f>$H$101</f>
        <v/>
      </c>
      <c r="C77" s="828">
        <f>'Steel Supply Model'!$H$99</f>
        <v/>
      </c>
      <c r="D77" s="954">
        <f>IFERROR(C77/B77,"")</f>
        <v/>
      </c>
      <c r="E77" s="576" t="n"/>
      <c r="F77" s="576" t="n"/>
      <c r="G77" s="576" t="n"/>
      <c r="H77" s="576" t="n"/>
      <c r="I77" s="576" t="n"/>
      <c r="J77" s="576" t="n"/>
      <c r="K77" s="576" t="n"/>
      <c r="L77" s="576" t="n"/>
      <c r="M77" s="576" t="n"/>
      <c r="N77" s="576" t="n"/>
    </row>
    <row r="78">
      <c r="A78" s="670" t="inlineStr">
        <is>
          <t>FY32</t>
        </is>
      </c>
      <c r="B78" s="828">
        <f>$I$101</f>
        <v/>
      </c>
      <c r="C78" s="828">
        <f>'Steel Supply Model'!$I$99</f>
        <v/>
      </c>
      <c r="D78" s="954">
        <f>IFERROR(C78/B78,"")</f>
        <v/>
      </c>
      <c r="E78" s="576" t="n"/>
      <c r="F78" s="576" t="n"/>
      <c r="G78" s="576" t="n"/>
      <c r="H78" s="576" t="n"/>
      <c r="I78" s="576" t="n"/>
      <c r="J78" s="576" t="n"/>
      <c r="K78" s="576" t="n"/>
      <c r="L78" s="576" t="n"/>
      <c r="M78" s="576" t="n"/>
      <c r="N78" s="576" t="n"/>
    </row>
    <row r="79">
      <c r="A79" s="670" t="inlineStr">
        <is>
          <t>FY33</t>
        </is>
      </c>
      <c r="B79" s="828">
        <f>$J$101</f>
        <v/>
      </c>
      <c r="C79" s="828">
        <f>'Steel Supply Model'!$J$99</f>
        <v/>
      </c>
      <c r="D79" s="954">
        <f>IFERROR(C79/B79,"")</f>
        <v/>
      </c>
      <c r="E79" s="576" t="n"/>
      <c r="F79" s="576" t="n"/>
      <c r="G79" s="576" t="n"/>
      <c r="H79" s="576" t="n"/>
      <c r="I79" s="576" t="n"/>
      <c r="J79" s="576" t="n"/>
      <c r="K79" s="576" t="n"/>
      <c r="L79" s="576" t="n"/>
      <c r="M79" s="576" t="n"/>
      <c r="N79" s="576" t="n"/>
    </row>
    <row r="80">
      <c r="A80" s="576" t="n"/>
      <c r="B80" s="576" t="n"/>
      <c r="C80" s="576" t="n"/>
      <c r="D80" s="576" t="n"/>
      <c r="E80" s="576" t="n"/>
      <c r="F80" s="576" t="n"/>
      <c r="G80" s="576" t="n"/>
      <c r="H80" s="576" t="n"/>
      <c r="I80" s="576" t="n"/>
      <c r="J80" s="576" t="n"/>
      <c r="K80" s="576" t="n"/>
      <c r="L80" s="576" t="n"/>
      <c r="M80" s="576" t="n"/>
      <c r="N80" s="576" t="n"/>
    </row>
    <row r="81">
      <c r="A81" s="576" t="n"/>
      <c r="B81" s="576" t="n"/>
      <c r="C81" s="576" t="n"/>
      <c r="D81" s="576" t="n"/>
      <c r="E81" s="576" t="n"/>
      <c r="F81" s="576" t="n"/>
      <c r="G81" s="576" t="n"/>
      <c r="H81" s="576" t="n"/>
      <c r="I81" s="576" t="n"/>
      <c r="J81" s="576" t="n"/>
      <c r="K81" s="576" t="n"/>
      <c r="L81" s="576" t="n"/>
      <c r="M81" s="576" t="n"/>
      <c r="N81" s="576" t="n"/>
    </row>
    <row r="82" ht="15.6" customHeight="1" s="632">
      <c r="A82" s="493" t="inlineStr">
        <is>
          <t>Regional Capacity</t>
        </is>
      </c>
      <c r="J82" s="576" t="n"/>
      <c r="K82" s="576" t="n"/>
      <c r="L82" s="576" t="n"/>
      <c r="M82" s="576" t="n"/>
      <c r="N82" s="576" t="n"/>
    </row>
    <row r="83">
      <c r="A83" s="506" t="inlineStr">
        <is>
          <t>Region</t>
        </is>
      </c>
      <c r="B83" s="506" t="inlineStr">
        <is>
          <t>FY26A</t>
        </is>
      </c>
      <c r="C83" s="506" t="inlineStr">
        <is>
          <t>FY33E</t>
        </is>
      </c>
      <c r="D83" s="576" t="n"/>
      <c r="E83" s="707" t="inlineStr">
        <is>
          <t>Ref</t>
        </is>
      </c>
      <c r="F83" s="576" t="n"/>
      <c r="G83" s="576" t="n"/>
      <c r="H83" s="576" t="n"/>
      <c r="I83" s="576" t="n"/>
      <c r="J83" s="576" t="n"/>
      <c r="K83" s="576" t="n"/>
      <c r="L83" s="576" t="n"/>
      <c r="M83" s="576" t="n"/>
      <c r="N83" s="576" t="n"/>
    </row>
    <row r="84">
      <c r="A84" s="670" t="inlineStr">
        <is>
          <t>East</t>
        </is>
      </c>
      <c r="B84" s="955" t="n"/>
      <c r="C84" s="955" t="n"/>
      <c r="D84" s="576" t="n"/>
      <c r="E84" s="708" t="inlineStr">
        <is>
          <t>CF15</t>
        </is>
      </c>
      <c r="F84" s="576" t="n"/>
      <c r="G84" s="576" t="n"/>
      <c r="H84" s="576" t="n"/>
      <c r="I84" s="576" t="n"/>
      <c r="J84" s="576" t="n"/>
      <c r="K84" s="576" t="n"/>
      <c r="L84" s="576" t="n"/>
      <c r="M84" s="576" t="n"/>
      <c r="N84" s="576" t="n"/>
    </row>
    <row r="85">
      <c r="A85" s="670" t="inlineStr">
        <is>
          <t>West</t>
        </is>
      </c>
      <c r="B85" s="955" t="n"/>
      <c r="C85" s="955" t="n"/>
      <c r="D85" s="576" t="n"/>
      <c r="E85" s="708" t="inlineStr">
        <is>
          <t>CF15</t>
        </is>
      </c>
      <c r="F85" s="576" t="n"/>
      <c r="G85" s="576" t="n"/>
      <c r="H85" s="576" t="n"/>
      <c r="I85" s="576" t="n"/>
      <c r="J85" s="576" t="n"/>
      <c r="K85" s="576" t="n"/>
      <c r="L85" s="576" t="n"/>
      <c r="M85" s="576" t="n"/>
      <c r="N85" s="576" t="n"/>
    </row>
    <row r="86">
      <c r="A86" s="670" t="inlineStr">
        <is>
          <t>South</t>
        </is>
      </c>
      <c r="B86" s="955" t="n"/>
      <c r="C86" s="955" t="n"/>
      <c r="D86" s="576" t="n"/>
      <c r="E86" s="708" t="inlineStr">
        <is>
          <t>CF15</t>
        </is>
      </c>
      <c r="F86" s="576" t="n"/>
      <c r="G86" s="576" t="n"/>
      <c r="H86" s="576" t="n"/>
      <c r="I86" s="576" t="n"/>
      <c r="J86" s="576" t="n"/>
      <c r="K86" s="576" t="n"/>
      <c r="L86" s="576" t="n"/>
      <c r="M86" s="576" t="n"/>
      <c r="N86" s="576" t="n"/>
    </row>
    <row r="87">
      <c r="A87" s="670" t="inlineStr">
        <is>
          <t>North</t>
        </is>
      </c>
      <c r="B87" s="955" t="n"/>
      <c r="C87" s="955" t="n"/>
      <c r="D87" s="576" t="n"/>
      <c r="E87" s="708" t="inlineStr">
        <is>
          <t>CF15</t>
        </is>
      </c>
      <c r="F87" s="576" t="n"/>
      <c r="G87" s="576" t="n"/>
      <c r="H87" s="576" t="n"/>
      <c r="I87" s="576" t="n"/>
      <c r="J87" s="576" t="n"/>
      <c r="K87" s="576" t="n"/>
      <c r="L87" s="576" t="n"/>
      <c r="M87" s="576" t="n"/>
      <c r="N87" s="576" t="n"/>
    </row>
    <row r="88">
      <c r="A88" s="670" t="inlineStr">
        <is>
          <t>Central</t>
        </is>
      </c>
      <c r="B88" s="955" t="n"/>
      <c r="C88" s="955" t="n"/>
      <c r="D88" s="576" t="n"/>
      <c r="E88" s="708" t="inlineStr">
        <is>
          <t>CF15</t>
        </is>
      </c>
      <c r="F88" s="576" t="n"/>
      <c r="G88" s="576" t="n"/>
      <c r="H88" s="576" t="n"/>
      <c r="I88" s="576" t="n"/>
      <c r="J88" s="576" t="n"/>
      <c r="K88" s="576" t="n"/>
      <c r="L88" s="576" t="n"/>
      <c r="M88" s="576" t="n"/>
      <c r="N88" s="576" t="n"/>
    </row>
    <row r="89">
      <c r="A89" s="576" t="n"/>
      <c r="B89" s="576" t="n"/>
      <c r="C89" s="576" t="n"/>
      <c r="D89" s="576" t="n"/>
      <c r="E89" s="576" t="n"/>
      <c r="F89" s="576" t="n"/>
      <c r="G89" s="576" t="n"/>
      <c r="H89" s="576" t="n"/>
      <c r="I89" s="576" t="n"/>
      <c r="J89" s="576" t="n"/>
      <c r="K89" s="576" t="n"/>
      <c r="L89" s="576" t="n"/>
      <c r="M89" s="576" t="n"/>
      <c r="N89" s="576" t="n"/>
    </row>
    <row r="90">
      <c r="A90" s="576" t="n"/>
      <c r="B90" s="576" t="n"/>
      <c r="C90" s="576" t="n"/>
      <c r="D90" s="576" t="n"/>
      <c r="E90" s="576" t="n"/>
      <c r="F90" s="576" t="n"/>
      <c r="G90" s="576" t="n"/>
      <c r="H90" s="576" t="n"/>
      <c r="I90" s="576" t="n"/>
      <c r="J90" s="576" t="n"/>
      <c r="K90" s="576" t="n"/>
      <c r="L90" s="576" t="n"/>
      <c r="M90" s="576" t="n"/>
      <c r="N90" s="576" t="n"/>
    </row>
    <row r="91">
      <c r="A91" s="576" t="n"/>
      <c r="B91" s="576" t="n"/>
      <c r="C91" s="576" t="n"/>
      <c r="D91" s="576" t="n"/>
      <c r="E91" s="576" t="n"/>
      <c r="F91" s="576" t="n"/>
      <c r="G91" s="576" t="n"/>
      <c r="H91" s="576" t="n"/>
      <c r="I91" s="576" t="n"/>
      <c r="J91" s="576" t="n"/>
      <c r="K91" s="576" t="n"/>
      <c r="L91" s="576" t="n"/>
      <c r="M91" s="576" t="n"/>
      <c r="N91" s="576" t="n"/>
    </row>
    <row r="92">
      <c r="A92" s="576" t="n"/>
      <c r="B92" s="576" t="n"/>
      <c r="C92" s="576" t="n"/>
      <c r="D92" s="576" t="n"/>
      <c r="E92" s="576" t="n"/>
      <c r="F92" s="576" t="n"/>
      <c r="G92" s="576" t="n"/>
      <c r="H92" s="576" t="n"/>
      <c r="I92" s="576" t="n"/>
      <c r="J92" s="576" t="n"/>
      <c r="K92" s="576" t="n"/>
      <c r="L92" s="576" t="n"/>
      <c r="M92" s="576" t="n"/>
      <c r="N92" s="576" t="n"/>
    </row>
    <row r="93" ht="15" customHeight="1" s="632" thickBot="1">
      <c r="A93" s="371" t="n"/>
    </row>
    <row r="94">
      <c r="A94" s="63" t="inlineStr">
        <is>
          <t>Line item</t>
        </is>
      </c>
      <c r="B94" s="65" t="inlineStr">
        <is>
          <t>Unit</t>
        </is>
      </c>
      <c r="C94" s="65" t="inlineStr">
        <is>
          <t>FY2026A</t>
        </is>
      </c>
      <c r="D94" s="65" t="inlineStr">
        <is>
          <t>FY2027E</t>
        </is>
      </c>
      <c r="E94" s="65" t="inlineStr">
        <is>
          <t>FY2028E</t>
        </is>
      </c>
      <c r="F94" s="65" t="inlineStr">
        <is>
          <t>FY2029E</t>
        </is>
      </c>
      <c r="G94" s="65" t="inlineStr">
        <is>
          <t>FY2030E</t>
        </is>
      </c>
      <c r="H94" s="65" t="inlineStr">
        <is>
          <t>FY2031E</t>
        </is>
      </c>
      <c r="I94" s="65" t="inlineStr">
        <is>
          <t>FY2032E</t>
        </is>
      </c>
      <c r="J94" s="65" t="inlineStr">
        <is>
          <t>FY2033E</t>
        </is>
      </c>
      <c r="K94" s="65" t="inlineStr">
        <is>
          <t>CAGR</t>
        </is>
      </c>
      <c r="L94" s="409" t="inlineStr">
        <is>
          <t>Source</t>
        </is>
      </c>
      <c r="M94" s="65" t="inlineStr">
        <is>
          <t>Conf.</t>
        </is>
      </c>
      <c r="N94" s="410" t="inlineStr">
        <is>
          <t>Notes / methodology</t>
        </is>
      </c>
      <c r="P94" s="707" t="inlineStr">
        <is>
          <t>Ref</t>
        </is>
      </c>
    </row>
    <row r="95">
      <c r="A95" s="69" t="inlineStr">
        <is>
          <t>Opening capacity</t>
        </is>
      </c>
      <c r="B95" s="78" t="inlineStr">
        <is>
          <t>Mtpa</t>
        </is>
      </c>
      <c r="C95" s="83" t="n"/>
      <c r="D95" s="952">
        <f>C101</f>
        <v/>
      </c>
      <c r="E95" s="952">
        <f>D101</f>
        <v/>
      </c>
      <c r="F95" s="952">
        <f>E101</f>
        <v/>
      </c>
      <c r="G95" s="952">
        <f>F101</f>
        <v/>
      </c>
      <c r="H95" s="952">
        <f>G101</f>
        <v/>
      </c>
      <c r="I95" s="952">
        <f>H101</f>
        <v/>
      </c>
      <c r="J95" s="952">
        <f>I101</f>
        <v/>
      </c>
      <c r="K95" s="83" t="n"/>
      <c r="L95" s="344" t="inlineStr">
        <is>
          <t>Computed</t>
        </is>
      </c>
      <c r="M95" s="352" t="inlineStr">
        <is>
          <t>High</t>
        </is>
      </c>
      <c r="N95" s="345" t="inlineStr">
        <is>
          <t>Prior-year closing capacity.</t>
        </is>
      </c>
      <c r="P95" s="708" t="inlineStr">
        <is>
          <t>CF04</t>
        </is>
      </c>
    </row>
    <row r="96" ht="27.6" customHeight="1" s="632">
      <c r="A96" s="69" t="inlineStr">
        <is>
          <t>Gross announced additions (from tracker)</t>
        </is>
      </c>
      <c r="B96" s="78" t="inlineStr">
        <is>
          <t>Mtpa</t>
        </is>
      </c>
      <c r="C96" s="83" t="n"/>
      <c r="D96" s="907">
        <f>'Capacity Expansion Tracker'!E$99</f>
        <v/>
      </c>
      <c r="E96" s="907">
        <f>'Capacity Expansion Tracker'!F$99</f>
        <v/>
      </c>
      <c r="F96" s="907">
        <f>'Capacity Expansion Tracker'!G$99</f>
        <v/>
      </c>
      <c r="G96" s="907">
        <f>'Capacity Expansion Tracker'!H$99</f>
        <v/>
      </c>
      <c r="H96" s="907">
        <f>'Capacity Expansion Tracker'!I$99</f>
        <v/>
      </c>
      <c r="I96" s="907">
        <f>'Capacity Expansion Tracker'!J$99</f>
        <v/>
      </c>
      <c r="J96" s="907">
        <f>'Capacity Expansion Tracker'!K$99</f>
        <v/>
      </c>
      <c r="K96" s="83" t="n"/>
      <c r="L96" s="344" t="inlineStr">
        <is>
          <t>07 Tracker (SUMIFS)</t>
        </is>
      </c>
      <c r="M96" s="352" t="inlineStr">
        <is>
          <t>Medium</t>
        </is>
      </c>
      <c r="N96" s="345" t="inlineStr">
        <is>
          <t>Live from the project tracker. Excludes acquisitions, downstream lines, overseas assets and already-commissioned projects.</t>
        </is>
      </c>
      <c r="P96" s="708" t="inlineStr">
        <is>
          <t>CF05</t>
        </is>
      </c>
    </row>
    <row r="97" ht="48" customHeight="1" s="632">
      <c r="A97" s="69" t="inlineStr">
        <is>
          <t>Pipeline delivery factor</t>
        </is>
      </c>
      <c r="B97" s="78" t="inlineStr">
        <is>
          <t>%</t>
        </is>
      </c>
      <c r="C97" s="83" t="n"/>
      <c r="D97" s="904">
        <f>'Model Assumptions'!E$12</f>
        <v/>
      </c>
      <c r="E97" s="904">
        <f>'Model Assumptions'!F$12</f>
        <v/>
      </c>
      <c r="F97" s="904">
        <f>'Model Assumptions'!G$12</f>
        <v/>
      </c>
      <c r="G97" s="904">
        <f>'Model Assumptions'!H$12</f>
        <v/>
      </c>
      <c r="H97" s="904">
        <f>'Model Assumptions'!I$12</f>
        <v/>
      </c>
      <c r="I97" s="904">
        <f>'Model Assumptions'!J$12</f>
        <v/>
      </c>
      <c r="J97" s="904">
        <f>'Model Assumptions'!K$12</f>
        <v/>
      </c>
      <c r="K97" s="83" t="n"/>
      <c r="L97" s="344" t="inlineStr">
        <is>
          <t>Derived from Master DB</t>
        </is>
      </c>
      <c r="M97" s="352" t="inlineStr">
        <is>
          <t>Medium</t>
        </is>
      </c>
      <c r="N97" s="345" t="inlineStr">
        <is>
          <t>85% in the base case. India delivered ~20 Mtpa a year in FY2025 and FY2026 against a National Steel Policy requirement of ~16 Mtpa a year, so delivery capability is demonstrated; the 15% haircut reflects project-level slippage such as JSW Vijayanagar BF-3 still testing at FY2026 year-end.</t>
        </is>
      </c>
      <c r="P97" s="708" t="inlineStr">
        <is>
          <t>CF06</t>
        </is>
      </c>
    </row>
    <row r="98">
      <c r="A98" s="69" t="inlineStr">
        <is>
          <t>Announced additions delivered</t>
        </is>
      </c>
      <c r="B98" s="78" t="inlineStr">
        <is>
          <t>Mtpa</t>
        </is>
      </c>
      <c r="C98" s="83" t="n"/>
      <c r="D98" s="907">
        <f>D96*D97</f>
        <v/>
      </c>
      <c r="E98" s="907">
        <f>E96*E97</f>
        <v/>
      </c>
      <c r="F98" s="907">
        <f>F96*F97</f>
        <v/>
      </c>
      <c r="G98" s="907">
        <f>G96*G97</f>
        <v/>
      </c>
      <c r="H98" s="907">
        <f>H96*H97</f>
        <v/>
      </c>
      <c r="I98" s="907">
        <f>I96*I97</f>
        <v/>
      </c>
      <c r="J98" s="907">
        <f>J96*J97</f>
        <v/>
      </c>
      <c r="K98" s="83" t="n"/>
      <c r="L98" s="344" t="inlineStr">
        <is>
          <t>Computed</t>
        </is>
      </c>
      <c r="M98" s="352" t="inlineStr">
        <is>
          <t>Medium</t>
        </is>
      </c>
      <c r="N98" s="68" t="n"/>
      <c r="P98" s="708" t="inlineStr">
        <is>
          <t>CF07</t>
        </is>
      </c>
    </row>
    <row r="99" ht="24" customHeight="1" s="632">
      <c r="A99" s="69" t="inlineStr">
        <is>
          <t>Secondary and unattributed additions</t>
        </is>
      </c>
      <c r="B99" s="78" t="inlineStr">
        <is>
          <t>Mtpa</t>
        </is>
      </c>
      <c r="C99" s="83" t="n"/>
      <c r="D99" s="907">
        <f>'Model Assumptions'!E$29</f>
        <v/>
      </c>
      <c r="E99" s="907">
        <f>'Model Assumptions'!F$29</f>
        <v/>
      </c>
      <c r="F99" s="907">
        <f>'Model Assumptions'!G$29</f>
        <v/>
      </c>
      <c r="G99" s="907">
        <f>'Model Assumptions'!H$29</f>
        <v/>
      </c>
      <c r="H99" s="907">
        <f>'Model Assumptions'!I$29</f>
        <v/>
      </c>
      <c r="I99" s="907">
        <f>'Model Assumptions'!J$29</f>
        <v/>
      </c>
      <c r="J99" s="907">
        <f>'Model Assumptions'!K$29</f>
        <v/>
      </c>
      <c r="K99" s="83" t="n"/>
      <c r="L99" s="344" t="inlineStr">
        <is>
          <t>Derived from Master DB</t>
        </is>
      </c>
      <c r="M99" s="352" t="inlineStr">
        <is>
          <t>Medium</t>
        </is>
      </c>
      <c r="N99" s="345" t="inlineStr">
        <is>
          <t>ESSENTIAL RECONCILIATION ITEM. Omitting this would understate FY2031 capacity by about 54 Mtpa, or 18%.</t>
        </is>
      </c>
      <c r="P99" s="708" t="inlineStr">
        <is>
          <t>CF08</t>
        </is>
      </c>
    </row>
    <row r="100" ht="24" customHeight="1" s="632">
      <c r="A100" s="69" t="inlineStr">
        <is>
          <t>Total additions</t>
        </is>
      </c>
      <c r="B100" s="78" t="inlineStr">
        <is>
          <t>Mtpa</t>
        </is>
      </c>
      <c r="C100" s="907" t="n">
        <v>20.07</v>
      </c>
      <c r="D100" s="907">
        <f>D98+D99</f>
        <v/>
      </c>
      <c r="E100" s="907">
        <f>E98+E99</f>
        <v/>
      </c>
      <c r="F100" s="907">
        <f>F98+F99</f>
        <v/>
      </c>
      <c r="G100" s="907">
        <f>G98+G99</f>
        <v/>
      </c>
      <c r="H100" s="907">
        <f>H98+H99</f>
        <v/>
      </c>
      <c r="I100" s="907">
        <f>I98+I99</f>
        <v/>
      </c>
      <c r="J100" s="907">
        <f>J98+J99</f>
        <v/>
      </c>
      <c r="K100" s="83" t="n"/>
      <c r="L100" s="344" t="inlineStr">
        <is>
          <t>Computed</t>
        </is>
      </c>
      <c r="M100" s="352" t="inlineStr">
        <is>
          <t>Medium</t>
        </is>
      </c>
      <c r="N100" s="345" t="inlineStr">
        <is>
          <t>FY2026A of 20.07 Mtpa is the actual year-on-year capacity increase from the database (220.4 less 200.33).</t>
        </is>
      </c>
      <c r="P100" s="708" t="inlineStr">
        <is>
          <t>CF09</t>
        </is>
      </c>
    </row>
    <row r="101" ht="24" customHeight="1" s="632">
      <c r="A101" s="76" t="inlineStr">
        <is>
          <t>Closing crude steel capacity</t>
        </is>
      </c>
      <c r="B101" s="78" t="inlineStr">
        <is>
          <t>Mtpa</t>
        </is>
      </c>
      <c r="C101" s="964" t="n">
        <v>220.4</v>
      </c>
      <c r="D101" s="964">
        <f>C101+D100</f>
        <v/>
      </c>
      <c r="E101" s="964">
        <f>D101+E100</f>
        <v/>
      </c>
      <c r="F101" s="964">
        <f>E101+F100</f>
        <v/>
      </c>
      <c r="G101" s="964">
        <f>F101+G100</f>
        <v/>
      </c>
      <c r="H101" s="964">
        <f>G101+H100</f>
        <v/>
      </c>
      <c r="I101" s="964">
        <f>H101+I100</f>
        <v/>
      </c>
      <c r="J101" s="964">
        <f>I101+J100</f>
        <v/>
      </c>
      <c r="K101" s="965">
        <f>IFERROR(IF(AND(ISNUMBER(C101),ISNUMBER(J101),C101&gt;0),(J101/C101)^(1/7)-1,""),"")</f>
        <v/>
      </c>
      <c r="L101" s="344" t="inlineStr">
        <is>
          <t>00 Database Import A04</t>
        </is>
      </c>
      <c r="M101" s="352" t="inlineStr">
        <is>
          <t>High</t>
        </is>
      </c>
      <c r="N101" s="345" t="inlineStr">
        <is>
          <t>FY2026A of 220.4 Mtpa is the database figure (June-2026 Ministry vintage; the March vintage said 220.3 - Conflict C04).</t>
        </is>
      </c>
      <c r="P101" s="708" t="inlineStr">
        <is>
          <t>CF10</t>
        </is>
      </c>
    </row>
    <row r="102">
      <c r="A102" s="71" t="n"/>
      <c r="B102" s="45" t="n"/>
      <c r="C102" s="45" t="n"/>
      <c r="D102" s="45" t="n"/>
      <c r="E102" s="45" t="n"/>
      <c r="F102" s="45" t="n"/>
      <c r="G102" s="45" t="n"/>
      <c r="H102" s="45" t="n"/>
      <c r="I102" s="45" t="n"/>
      <c r="J102" s="45" t="n"/>
      <c r="K102" s="45" t="n"/>
      <c r="L102" s="45" t="n"/>
      <c r="M102" s="45" t="n"/>
      <c r="N102" s="68" t="n"/>
    </row>
    <row r="103">
      <c r="A103" s="836" t="inlineStr">
        <is>
          <t>VALIDATION AGAINST NATIONAL STEEL POLICY 2017</t>
        </is>
      </c>
      <c r="B103" s="837" t="n"/>
      <c r="C103" s="837" t="n"/>
      <c r="D103" s="837" t="n"/>
      <c r="E103" s="837" t="n"/>
      <c r="F103" s="837" t="n"/>
      <c r="G103" s="837" t="n"/>
      <c r="H103" s="837" t="n"/>
      <c r="I103" s="837" t="n"/>
      <c r="J103" s="837" t="n"/>
      <c r="K103" s="837" t="n"/>
      <c r="L103" s="837" t="n"/>
      <c r="M103" s="837" t="n"/>
      <c r="N103" s="838" t="n"/>
    </row>
    <row r="104" ht="24" customHeight="1" s="632">
      <c r="A104" s="69" t="inlineStr">
        <is>
          <t>National Steel Policy 2017 target</t>
        </is>
      </c>
      <c r="B104" s="78" t="inlineStr">
        <is>
          <t>Mtpa</t>
        </is>
      </c>
      <c r="C104" s="83" t="n"/>
      <c r="D104" s="83" t="n"/>
      <c r="E104" s="83" t="n"/>
      <c r="F104" s="83" t="n"/>
      <c r="G104" s="83" t="n"/>
      <c r="H104" s="952" t="n">
        <v>300</v>
      </c>
      <c r="I104" s="83" t="n"/>
      <c r="J104" s="83" t="n"/>
      <c r="K104" s="83" t="n"/>
      <c r="L104" s="344" t="inlineStr">
        <is>
          <t>Master DB policy P10</t>
        </is>
      </c>
      <c r="M104" s="352" t="inlineStr">
        <is>
          <t>High</t>
        </is>
      </c>
      <c r="N104" s="345" t="inlineStr">
        <is>
          <t>300 Mtpa of crude steel capacity by FY2031.</t>
        </is>
      </c>
      <c r="P104" s="708" t="inlineStr">
        <is>
          <t>CF11</t>
        </is>
      </c>
    </row>
    <row r="105">
      <c r="A105" s="69" t="inlineStr">
        <is>
          <t>Model capacity in FY2031E</t>
        </is>
      </c>
      <c r="B105" s="78" t="inlineStr">
        <is>
          <t>Mtpa</t>
        </is>
      </c>
      <c r="C105" s="83" t="n"/>
      <c r="D105" s="83" t="n"/>
      <c r="E105" s="83" t="n"/>
      <c r="F105" s="83" t="n"/>
      <c r="G105" s="83" t="n"/>
      <c r="H105" s="952">
        <f>H101</f>
        <v/>
      </c>
      <c r="I105" s="83" t="n"/>
      <c r="J105" s="83" t="n"/>
      <c r="K105" s="83" t="n"/>
      <c r="L105" s="344" t="inlineStr">
        <is>
          <t>Computed</t>
        </is>
      </c>
      <c r="M105" s="352" t="inlineStr">
        <is>
          <t>High</t>
        </is>
      </c>
      <c r="N105" s="68" t="n"/>
      <c r="P105" s="708" t="inlineStr">
        <is>
          <t>CF12</t>
        </is>
      </c>
    </row>
    <row r="106" ht="36.6" customHeight="1" s="632" thickBot="1">
      <c r="A106" s="102" t="inlineStr">
        <is>
          <t>Model as % of policy target</t>
        </is>
      </c>
      <c r="B106" s="79" t="inlineStr">
        <is>
          <t>%</t>
        </is>
      </c>
      <c r="C106" s="97" t="n"/>
      <c r="D106" s="97" t="n"/>
      <c r="E106" s="97" t="n"/>
      <c r="F106" s="97" t="n"/>
      <c r="G106" s="97" t="n"/>
      <c r="H106" s="966">
        <f>H105/H104</f>
        <v/>
      </c>
      <c r="I106" s="97" t="n"/>
      <c r="J106" s="97" t="n"/>
      <c r="K106" s="97" t="n"/>
      <c r="L106" s="346" t="inlineStr">
        <is>
          <t>Computed</t>
        </is>
      </c>
      <c r="M106" s="353" t="inlineStr">
        <is>
          <t>High</t>
        </is>
      </c>
      <c r="N106" s="347" t="inlineStr">
        <is>
          <t>The model was built bottom-up from the project tracker plus the secondary residual and was NOT calibrated to the policy target, so agreement within roughly 1% is a genuine independent check on the capacity block.</t>
        </is>
      </c>
      <c r="P106" s="708" t="inlineStr">
        <is>
          <t>CF13</t>
        </is>
      </c>
    </row>
    <row r="107"/>
    <row r="108" ht="20.4" customHeight="1" s="632">
      <c r="A108" s="383" t="inlineStr">
        <is>
          <t>Sign warning: more capacity is EBITDA-NEGATIVE in this model, because it depresses utilisation which feeds back into price via driver D23. See 09 Steel Price Forecast.</t>
        </is>
      </c>
    </row>
  </sheetData>
  <mergeCells count="12">
    <mergeCell ref="A7:I7"/>
    <mergeCell ref="A82:I82"/>
    <mergeCell ref="A71:I71"/>
    <mergeCell ref="A49:I49"/>
    <mergeCell ref="A60:I60"/>
    <mergeCell ref="A32:I32"/>
    <mergeCell ref="A2:H2"/>
    <mergeCell ref="A108:I108"/>
    <mergeCell ref="A17:I17"/>
    <mergeCell ref="A5:N5"/>
    <mergeCell ref="A103:N103"/>
    <mergeCell ref="A1:N1"/>
  </mergeCells>
  <hyperlinks>
    <hyperlink ref="K25" location="'Audit Checks'!A283" tooltip="Open the reference register on 25 Audit Checks"/>
    <hyperlink ref="K26" location="'Audit Checks'!A283" tooltip="Open the reference register on 25 Audit Checks"/>
    <hyperlink ref="K27" location="'Audit Checks'!A283" tooltip="Open the reference register on 25 Audit Checks"/>
    <hyperlink ref="K29" location="'Audit Checks'!A283" tooltip="Open the reference register on 25 Audit Checks"/>
    <hyperlink ref="I36" location="'Audit Checks'!A283" tooltip="Open the reference register on 25 Audit Checks"/>
    <hyperlink ref="J57" location="'Audit Checks'!A283" tooltip="Open the reference register on 25 Audit Checks"/>
    <hyperlink ref="E84" location="'Audit Checks'!A283" tooltip="Open the reference register on 25 Audit Checks"/>
    <hyperlink ref="E85" location="'Audit Checks'!A283" tooltip="Open the reference register on 25 Audit Checks"/>
    <hyperlink ref="E86" location="'Audit Checks'!A283" tooltip="Open the reference register on 25 Audit Checks"/>
    <hyperlink ref="E87" location="'Audit Checks'!A283" tooltip="Open the reference register on 25 Audit Checks"/>
    <hyperlink ref="E88" location="'Audit Checks'!A283" tooltip="Open the reference register on 25 Audit Checks"/>
    <hyperlink ref="P95" location="'Audit Checks'!A283" tooltip="Open the reference register on 25 Audit Checks"/>
    <hyperlink ref="P96" location="'Audit Checks'!A283" tooltip="Open the reference register on 25 Audit Checks"/>
    <hyperlink ref="P97" location="'Audit Checks'!A283" tooltip="Open the reference register on 25 Audit Checks"/>
    <hyperlink ref="P98" location="'Audit Checks'!A283" tooltip="Open the reference register on 25 Audit Checks"/>
    <hyperlink ref="P99" location="'Audit Checks'!A283" tooltip="Open the reference register on 25 Audit Checks"/>
    <hyperlink ref="P100" location="'Audit Checks'!A283" tooltip="Open the reference register on 25 Audit Checks"/>
    <hyperlink ref="P101" location="'Audit Checks'!A283" tooltip="Open the reference register on 25 Audit Checks"/>
    <hyperlink ref="P104" location="'Audit Checks'!A283" tooltip="Open the reference register on 25 Audit Checks"/>
    <hyperlink ref="P105" location="'Audit Checks'!A283" tooltip="Open the reference register on 25 Audit Checks"/>
    <hyperlink ref="P106" location="'Audit Checks'!A283" tooltip="Open the reference register on 25 Audit Checks"/>
  </hyperlink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codeName="Sheet12">
    <tabColor rgb="FF002060"/>
    <outlinePr summaryBelow="1" summaryRight="1"/>
    <pageSetUpPr/>
  </sheetPr>
  <dimension ref="A1:Q101"/>
  <sheetViews>
    <sheetView showGridLines="0" zoomScaleNormal="100" workbookViewId="0">
      <selection activeCell="A3" sqref="A3"/>
    </sheetView>
  </sheetViews>
  <sheetFormatPr baseColWidth="8" defaultRowHeight="14.4"/>
  <cols>
    <col width="30.77734375" bestFit="1" customWidth="1" style="632" min="1" max="1"/>
    <col width="19.88671875" customWidth="1" style="632" min="2" max="14"/>
    <col width="7" customWidth="1" style="632" min="4" max="4"/>
    <col width="7" customWidth="1" style="632" min="8" max="8"/>
    <col width="26.109375" customWidth="1" style="632" min="15" max="15"/>
    <col width="7" customWidth="1" style="632" min="17" max="17"/>
  </cols>
  <sheetData>
    <row r="1" ht="25.8" customHeight="1" s="632">
      <c r="A1" s="372" t="inlineStr">
        <is>
          <t>CAPACITY EXPANSION TRACKER</t>
        </is>
      </c>
    </row>
    <row r="2">
      <c r="A2" s="355" t="inlineStr">
        <is>
          <t xml:space="preserve">Industry Financial Model  |  Indian Steel Industry  |  Horizon FY2027E-FY2033E  |  Base year FY2026A </t>
        </is>
      </c>
    </row>
    <row r="3">
      <c r="B3" s="389" t="n"/>
    </row>
    <row r="4">
      <c r="A4" s="356" t="inlineStr">
        <is>
          <t>OBJECTIVE</t>
        </is>
      </c>
      <c r="C4" s="62" t="n"/>
      <c r="D4" s="62" t="n"/>
      <c r="E4" s="62" t="n"/>
      <c r="F4" s="62" t="n"/>
      <c r="G4" s="62" t="n"/>
      <c r="H4" s="62" t="n"/>
      <c r="I4" s="62" t="n"/>
      <c r="J4" s="62" t="n"/>
      <c r="K4" s="62" t="n"/>
      <c r="L4" s="62" t="n"/>
      <c r="M4" s="62" t="n"/>
      <c r="N4" s="62" t="n"/>
      <c r="O4" s="62" t="n"/>
    </row>
    <row r="5">
      <c r="A5" s="597" t="inlineStr">
        <is>
          <t>The dated project pipeline that drives the capacity forecast. Twenty projects, each with its capacity, status, expected commissioning year and whether it counts towards INDIA's national crude steel capacity.</t>
        </is>
      </c>
    </row>
    <row r="6">
      <c r="A6" s="597" t="n"/>
      <c r="B6" s="597" t="n"/>
      <c r="C6" s="597" t="n"/>
      <c r="D6" s="597" t="n"/>
      <c r="E6" s="597" t="n"/>
      <c r="F6" s="597" t="n"/>
      <c r="G6" s="597" t="n"/>
      <c r="H6" s="597" t="n"/>
      <c r="I6" s="597" t="n"/>
      <c r="J6" s="597" t="n"/>
      <c r="K6" s="597" t="n"/>
      <c r="L6" s="597" t="n"/>
      <c r="M6" s="597" t="n"/>
      <c r="N6" s="597" t="n"/>
      <c r="O6" s="597" t="n"/>
    </row>
    <row r="7" ht="16.2" customHeight="1" s="632" thickBot="1">
      <c r="A7" s="493" t="inlineStr">
        <is>
          <t>Executive Summary</t>
        </is>
      </c>
      <c r="J7" s="597" t="n"/>
      <c r="K7" s="597" t="n"/>
      <c r="L7" s="597" t="n"/>
      <c r="M7" s="597" t="n"/>
      <c r="N7" s="597" t="n"/>
      <c r="O7" s="597" t="n"/>
    </row>
    <row r="8" ht="15" customHeight="1" s="632" thickBot="1">
      <c r="A8" s="503" t="inlineStr">
        <is>
          <t>KPI</t>
        </is>
      </c>
      <c r="B8" s="598" t="inlineStr">
        <is>
          <t>Value</t>
        </is>
      </c>
      <c r="C8" s="595" t="n"/>
      <c r="D8" s="707" t="inlineStr">
        <is>
          <t>Ref</t>
        </is>
      </c>
      <c r="E8" s="595" t="n"/>
      <c r="F8" s="595" t="n"/>
      <c r="G8" s="595" t="n"/>
      <c r="H8" s="595" t="n"/>
      <c r="I8" s="595" t="n"/>
      <c r="J8" s="597" t="n"/>
      <c r="K8" s="597" t="n"/>
      <c r="L8" s="597" t="n"/>
      <c r="M8" s="597" t="n"/>
      <c r="N8" s="597" t="n"/>
      <c r="O8" s="597" t="n"/>
    </row>
    <row r="9" ht="15" customHeight="1" s="632" thickTop="1">
      <c r="A9" s="247" t="inlineStr">
        <is>
          <t>Total Active Projects</t>
        </is>
      </c>
      <c r="B9" s="967">
        <f>COUNTA($A$77:$A$96)</f>
        <v/>
      </c>
      <c r="C9" s="596" t="n"/>
      <c r="D9" s="596" t="n"/>
      <c r="E9" s="596" t="n"/>
      <c r="F9" s="596" t="n"/>
      <c r="G9" s="596" t="n"/>
      <c r="H9" s="596" t="n"/>
      <c r="I9" s="596" t="n"/>
      <c r="J9" s="597" t="n"/>
      <c r="K9" s="597" t="n"/>
      <c r="L9" s="597" t="n"/>
      <c r="M9" s="597" t="n"/>
      <c r="N9" s="597" t="n"/>
      <c r="O9" s="597" t="n"/>
    </row>
    <row r="10">
      <c r="A10" s="247" t="inlineStr">
        <is>
          <t>Total Planned Capacity (Mtpa)</t>
        </is>
      </c>
      <c r="B10" s="968">
        <f>SUM($F$77:$F$96)</f>
        <v/>
      </c>
      <c r="C10" s="596" t="n"/>
      <c r="D10" s="596" t="n"/>
      <c r="E10" s="596" t="n"/>
      <c r="F10" s="596" t="n"/>
      <c r="G10" s="596" t="n"/>
      <c r="H10" s="596" t="n"/>
      <c r="I10" s="596" t="n"/>
      <c r="J10" s="597" t="n"/>
      <c r="K10" s="597" t="n"/>
      <c r="L10" s="597" t="n"/>
      <c r="M10" s="597" t="n"/>
      <c r="N10" s="597" t="n"/>
      <c r="O10" s="597" t="n"/>
    </row>
    <row r="11">
      <c r="A11" s="247" t="inlineStr">
        <is>
          <t>Capacity Under Construction (Mtpa)</t>
        </is>
      </c>
      <c r="B11" s="968">
        <f>SUMIFS($F$77:$F$96,$H$77:$H$96,"Under*")</f>
        <v/>
      </c>
      <c r="C11" s="596" t="n"/>
      <c r="D11" s="596" t="n"/>
      <c r="E11" s="596" t="n"/>
      <c r="F11" s="596" t="n"/>
      <c r="G11" s="596" t="n"/>
      <c r="H11" s="596" t="n"/>
      <c r="I11" s="596" t="n"/>
      <c r="J11" s="597" t="n"/>
      <c r="K11" s="597" t="n"/>
      <c r="L11" s="597" t="n"/>
      <c r="M11" s="597" t="n"/>
      <c r="N11" s="597" t="n"/>
      <c r="O11" s="597" t="n"/>
    </row>
    <row r="12">
      <c r="A12" s="247" t="inlineStr">
        <is>
          <t>Capacity Commissioned (Mtpa)</t>
        </is>
      </c>
      <c r="B12" s="968">
        <f>SUMIFS($F$77:$F$96,$H$77:$H$96,"Commissioned*")+SUMIFS($F$77:$F$96,$H$77:$H$96,"Completed*")</f>
        <v/>
      </c>
      <c r="C12" s="596" t="n"/>
      <c r="D12" s="596" t="n"/>
      <c r="E12" s="596" t="n"/>
      <c r="F12" s="596" t="n"/>
      <c r="G12" s="596" t="n"/>
      <c r="H12" s="596" t="n"/>
      <c r="I12" s="596" t="n"/>
      <c r="J12" s="597" t="n"/>
      <c r="K12" s="597" t="n"/>
      <c r="L12" s="597" t="n"/>
      <c r="M12" s="597" t="n"/>
      <c r="N12" s="597" t="n"/>
      <c r="O12" s="597" t="n"/>
    </row>
    <row r="13">
      <c r="A13" s="247" t="inlineStr">
        <is>
          <t>Weighted Expected Capacity (Mtpa)</t>
        </is>
      </c>
      <c r="B13" s="968">
        <f>$D$101*'Model Assumptions'!$E$12</f>
        <v/>
      </c>
      <c r="C13" s="596" t="n"/>
      <c r="D13" s="708" t="inlineStr">
        <is>
          <t>CT01</t>
        </is>
      </c>
      <c r="E13" s="596" t="n"/>
      <c r="F13" s="596" t="n"/>
      <c r="G13" s="596" t="n"/>
      <c r="H13" s="596" t="n"/>
      <c r="I13" s="596" t="n"/>
      <c r="J13" s="597" t="n"/>
      <c r="K13" s="597" t="n"/>
      <c r="L13" s="597" t="n"/>
      <c r="M13" s="597" t="n"/>
      <c r="N13" s="597" t="n"/>
      <c r="O13" s="597" t="n"/>
    </row>
    <row r="14">
      <c r="A14" s="247" t="inlineStr">
        <is>
          <t>Average Completion Probability</t>
        </is>
      </c>
      <c r="B14" s="969">
        <f>'Model Assumptions'!$E$12</f>
        <v/>
      </c>
      <c r="C14" s="596" t="n"/>
      <c r="D14" s="596" t="n"/>
      <c r="E14" s="596" t="n"/>
      <c r="F14" s="596" t="n"/>
      <c r="G14" s="596" t="n"/>
      <c r="H14" s="596" t="n"/>
      <c r="I14" s="596" t="n"/>
      <c r="J14" s="597" t="n"/>
      <c r="K14" s="597" t="n"/>
      <c r="L14" s="597" t="n"/>
      <c r="M14" s="597" t="n"/>
      <c r="N14" s="597" t="n"/>
      <c r="O14" s="597" t="n"/>
    </row>
    <row r="15" ht="15" customHeight="1" s="632" thickBot="1">
      <c r="A15" s="248" t="inlineStr">
        <is>
          <t>Average Project Size (Mtpa)</t>
        </is>
      </c>
      <c r="B15" s="970">
        <f>IFERROR(SUM($F$77:$F$96)/COUNT($F$77:$F$96),"")</f>
        <v/>
      </c>
      <c r="C15" s="597" t="n"/>
      <c r="D15" s="597" t="n"/>
      <c r="E15" s="597" t="n"/>
      <c r="F15" s="597" t="n"/>
      <c r="G15" s="597" t="n"/>
      <c r="H15" s="597" t="n"/>
      <c r="I15" s="597" t="n"/>
      <c r="J15" s="597" t="n"/>
      <c r="K15" s="597" t="n"/>
      <c r="L15" s="597" t="n"/>
      <c r="M15" s="597" t="n"/>
      <c r="N15" s="597" t="n"/>
      <c r="O15" s="597" t="n"/>
    </row>
    <row r="16">
      <c r="A16" s="597" t="n"/>
      <c r="B16" s="597" t="n"/>
      <c r="C16" s="597" t="n"/>
      <c r="D16" s="597" t="n"/>
      <c r="E16" s="597" t="n"/>
      <c r="F16" s="597" t="n"/>
      <c r="G16" s="597" t="n"/>
      <c r="H16" s="597" t="n"/>
      <c r="I16" s="597" t="n"/>
      <c r="J16" s="597" t="n"/>
      <c r="K16" s="597" t="n"/>
      <c r="L16" s="597" t="n"/>
      <c r="M16" s="597" t="n"/>
      <c r="N16" s="597" t="n"/>
      <c r="O16" s="597" t="n"/>
    </row>
    <row r="17">
      <c r="A17" s="597" t="n"/>
      <c r="B17" s="597" t="n"/>
      <c r="C17" s="597" t="n"/>
      <c r="D17" s="597" t="n"/>
      <c r="E17" s="597" t="n"/>
      <c r="F17" s="597" t="n"/>
      <c r="G17" s="597" t="n"/>
      <c r="H17" s="597" t="n"/>
      <c r="I17" s="597" t="n"/>
      <c r="J17" s="597" t="n"/>
      <c r="K17" s="597" t="n"/>
      <c r="L17" s="597" t="n"/>
      <c r="M17" s="597" t="n"/>
      <c r="N17" s="597" t="n"/>
      <c r="O17" s="597" t="n"/>
    </row>
    <row r="18" ht="15.6" customHeight="1" s="632">
      <c r="A18" s="493" t="inlineStr">
        <is>
          <t>Master Project Resigter</t>
        </is>
      </c>
      <c r="J18" s="597" t="n"/>
      <c r="K18" s="597" t="n"/>
      <c r="L18" s="597" t="n"/>
      <c r="M18" s="597" t="n"/>
      <c r="N18" s="597" t="n"/>
      <c r="O18" s="597" t="n"/>
    </row>
    <row r="19">
      <c r="A19" s="506" t="inlineStr">
        <is>
          <t>Project ID</t>
        </is>
      </c>
      <c r="B19" s="506" t="inlineStr">
        <is>
          <t>Company</t>
        </is>
      </c>
      <c r="C19" s="506" t="inlineStr">
        <is>
          <t>Plant</t>
        </is>
      </c>
      <c r="D19" s="506" t="inlineStr">
        <is>
          <t>State</t>
        </is>
      </c>
      <c r="E19" s="506" t="inlineStr">
        <is>
          <t>Route</t>
        </is>
      </c>
      <c r="F19" s="506" t="inlineStr">
        <is>
          <t>Project Type</t>
        </is>
      </c>
      <c r="G19" s="506" t="inlineStr">
        <is>
          <t>Existing Capacity</t>
        </is>
      </c>
      <c r="H19" s="506" t="inlineStr">
        <is>
          <t>Expansion Capacity</t>
        </is>
      </c>
      <c r="I19" s="506" t="inlineStr">
        <is>
          <t>Total Capacity</t>
        </is>
      </c>
      <c r="J19" s="506" t="inlineStr">
        <is>
          <t>Announcement</t>
        </is>
      </c>
      <c r="K19" s="506" t="inlineStr">
        <is>
          <t>COD</t>
        </is>
      </c>
      <c r="L19" s="506" t="inlineStr">
        <is>
          <t>Probability</t>
        </is>
      </c>
      <c r="M19" s="506" t="inlineStr">
        <is>
          <t>Status</t>
        </is>
      </c>
      <c r="N19" s="506" t="inlineStr">
        <is>
          <t>Capex (₹ Cr)</t>
        </is>
      </c>
      <c r="O19" s="506" t="inlineStr">
        <is>
          <t>Source</t>
        </is>
      </c>
      <c r="Q19" s="707" t="inlineStr">
        <is>
          <t>Ref</t>
        </is>
      </c>
    </row>
    <row r="20">
      <c r="A20" s="599" t="inlineStr">
        <is>
          <t>P01</t>
        </is>
      </c>
      <c r="B20" s="971">
        <f>$B$77</f>
        <v/>
      </c>
      <c r="C20" s="971">
        <f>$C$77</f>
        <v/>
      </c>
      <c r="D20" s="971">
        <f>$D$77</f>
        <v/>
      </c>
      <c r="E20" s="972">
        <f>IF(ISNUMBER(SEARCH("EAF",$E$77)),"EAF",IF(ISNUMBER(SEARCH("BF",$E$77)),"BF-BOF",IF(ISNUMBER(SEARCH("integrated",$E$77)),"BF-BOF (integrated)",IF(ISNUMBER(SEARCH("melt",$G$77)),"Stainless melt","Not specified"))))</f>
        <v/>
      </c>
      <c r="F20" s="971">
        <f>$E$77</f>
        <v/>
      </c>
      <c r="G20" s="973" t="n"/>
      <c r="H20" s="974">
        <f>$F$77</f>
        <v/>
      </c>
      <c r="I20" s="973" t="n"/>
      <c r="J20" s="973" t="n"/>
      <c r="K20" s="971">
        <f>$I$77</f>
        <v/>
      </c>
      <c r="L20" s="975">
        <f>IF($L$77="Yes",'Model Assumptions'!$E$12,0)</f>
        <v/>
      </c>
      <c r="M20" s="971">
        <f>$H$77</f>
        <v/>
      </c>
      <c r="N20" s="976">
        <f>$J$77</f>
        <v/>
      </c>
      <c r="O20" s="971">
        <f>$M$77</f>
        <v/>
      </c>
      <c r="Q20" s="708" t="inlineStr">
        <is>
          <t>CT02, CT27</t>
        </is>
      </c>
    </row>
    <row r="21">
      <c r="A21" s="599" t="inlineStr">
        <is>
          <t>P02</t>
        </is>
      </c>
      <c r="B21" s="971">
        <f>$B$78</f>
        <v/>
      </c>
      <c r="C21" s="971">
        <f>$C$78</f>
        <v/>
      </c>
      <c r="D21" s="971">
        <f>$D$78</f>
        <v/>
      </c>
      <c r="E21" s="972">
        <f>IF(ISNUMBER(SEARCH("EAF",$E$78)),"EAF",IF(ISNUMBER(SEARCH("BF",$E$78)),"BF-BOF",IF(ISNUMBER(SEARCH("integrated",$E$78)),"BF-BOF (integrated)",IF(ISNUMBER(SEARCH("melt",$G$78)),"Stainless melt","Not specified"))))</f>
        <v/>
      </c>
      <c r="F21" s="971">
        <f>$E$78</f>
        <v/>
      </c>
      <c r="G21" s="973" t="n"/>
      <c r="H21" s="974">
        <f>$F$78</f>
        <v/>
      </c>
      <c r="I21" s="973" t="n"/>
      <c r="J21" s="973" t="n"/>
      <c r="K21" s="971">
        <f>$I$78</f>
        <v/>
      </c>
      <c r="L21" s="975">
        <f>IF($L$78="Yes",'Model Assumptions'!$E$12,0)</f>
        <v/>
      </c>
      <c r="M21" s="971">
        <f>$H$78</f>
        <v/>
      </c>
      <c r="N21" s="976">
        <f>$J$78</f>
        <v/>
      </c>
      <c r="O21" s="971">
        <f>$M$78</f>
        <v/>
      </c>
      <c r="Q21" s="708" t="inlineStr">
        <is>
          <t>CT27</t>
        </is>
      </c>
    </row>
    <row r="22">
      <c r="A22" s="599" t="inlineStr">
        <is>
          <t>P03</t>
        </is>
      </c>
      <c r="B22" s="971">
        <f>$B$79</f>
        <v/>
      </c>
      <c r="C22" s="971">
        <f>$C$79</f>
        <v/>
      </c>
      <c r="D22" s="971">
        <f>$D$79</f>
        <v/>
      </c>
      <c r="E22" s="972">
        <f>IF(ISNUMBER(SEARCH("EAF",$E$79)),"EAF",IF(ISNUMBER(SEARCH("BF",$E$79)),"BF-BOF",IF(ISNUMBER(SEARCH("integrated",$E$79)),"BF-BOF (integrated)",IF(ISNUMBER(SEARCH("melt",$G$79)),"Stainless melt","Not specified"))))</f>
        <v/>
      </c>
      <c r="F22" s="971">
        <f>$E$79</f>
        <v/>
      </c>
      <c r="G22" s="973" t="n"/>
      <c r="H22" s="974">
        <f>$F$79</f>
        <v/>
      </c>
      <c r="I22" s="973" t="n"/>
      <c r="J22" s="973" t="n"/>
      <c r="K22" s="971">
        <f>$I$79</f>
        <v/>
      </c>
      <c r="L22" s="975">
        <f>IF($L$79="Yes",'Model Assumptions'!$E$12,0)</f>
        <v/>
      </c>
      <c r="M22" s="971">
        <f>$H$79</f>
        <v/>
      </c>
      <c r="N22" s="976">
        <f>$J$79</f>
        <v/>
      </c>
      <c r="O22" s="971">
        <f>$M$79</f>
        <v/>
      </c>
      <c r="Q22" s="708" t="inlineStr">
        <is>
          <t>CT27</t>
        </is>
      </c>
    </row>
    <row r="23">
      <c r="A23" s="599" t="inlineStr">
        <is>
          <t>P04</t>
        </is>
      </c>
      <c r="B23" s="971">
        <f>$B$80</f>
        <v/>
      </c>
      <c r="C23" s="971">
        <f>$C$80</f>
        <v/>
      </c>
      <c r="D23" s="971">
        <f>$D$80</f>
        <v/>
      </c>
      <c r="E23" s="972">
        <f>IF(ISNUMBER(SEARCH("EAF",$E$80)),"EAF",IF(ISNUMBER(SEARCH("BF",$E$80)),"BF-BOF",IF(ISNUMBER(SEARCH("integrated",$E$80)),"BF-BOF (integrated)",IF(ISNUMBER(SEARCH("melt",$G$80)),"Stainless melt","Not specified"))))</f>
        <v/>
      </c>
      <c r="F23" s="971">
        <f>$E$80</f>
        <v/>
      </c>
      <c r="G23" s="973" t="n"/>
      <c r="H23" s="974">
        <f>$F$80</f>
        <v/>
      </c>
      <c r="I23" s="973" t="n"/>
      <c r="J23" s="973" t="n"/>
      <c r="K23" s="971">
        <f>$I$80</f>
        <v/>
      </c>
      <c r="L23" s="975">
        <f>IF($L$80="Yes",'Model Assumptions'!$E$12,0)</f>
        <v/>
      </c>
      <c r="M23" s="971">
        <f>$H$80</f>
        <v/>
      </c>
      <c r="N23" s="976">
        <f>$J$80</f>
        <v/>
      </c>
      <c r="O23" s="971">
        <f>$M$80</f>
        <v/>
      </c>
      <c r="Q23" s="708" t="inlineStr">
        <is>
          <t>CT27</t>
        </is>
      </c>
    </row>
    <row r="24">
      <c r="A24" s="599" t="inlineStr">
        <is>
          <t>P05</t>
        </is>
      </c>
      <c r="B24" s="971">
        <f>$B$81</f>
        <v/>
      </c>
      <c r="C24" s="971">
        <f>$C$81</f>
        <v/>
      </c>
      <c r="D24" s="971">
        <f>$D$81</f>
        <v/>
      </c>
      <c r="E24" s="972">
        <f>IF(ISNUMBER(SEARCH("EAF",$E$81)),"EAF",IF(ISNUMBER(SEARCH("BF",$E$81)),"BF-BOF",IF(ISNUMBER(SEARCH("integrated",$E$81)),"BF-BOF (integrated)",IF(ISNUMBER(SEARCH("melt",$G$81)),"Stainless melt","Not specified"))))</f>
        <v/>
      </c>
      <c r="F24" s="971">
        <f>$E$81</f>
        <v/>
      </c>
      <c r="G24" s="973" t="n"/>
      <c r="H24" s="974">
        <f>$F$81</f>
        <v/>
      </c>
      <c r="I24" s="973" t="n"/>
      <c r="J24" s="973" t="n"/>
      <c r="K24" s="971">
        <f>$I$81</f>
        <v/>
      </c>
      <c r="L24" s="975">
        <f>IF($L$81="Yes",'Model Assumptions'!$E$12,0)</f>
        <v/>
      </c>
      <c r="M24" s="971">
        <f>$H$81</f>
        <v/>
      </c>
      <c r="N24" s="976">
        <f>$J$81</f>
        <v/>
      </c>
      <c r="O24" s="971">
        <f>$M$81</f>
        <v/>
      </c>
      <c r="Q24" s="708" t="inlineStr">
        <is>
          <t>CT27</t>
        </is>
      </c>
    </row>
    <row r="25">
      <c r="A25" s="599" t="inlineStr">
        <is>
          <t>P06</t>
        </is>
      </c>
      <c r="B25" s="971">
        <f>$B$82</f>
        <v/>
      </c>
      <c r="C25" s="971">
        <f>$C$82</f>
        <v/>
      </c>
      <c r="D25" s="971">
        <f>$D$82</f>
        <v/>
      </c>
      <c r="E25" s="972">
        <f>IF(ISNUMBER(SEARCH("EAF",$E$82)),"EAF",IF(ISNUMBER(SEARCH("BF",$E$82)),"BF-BOF",IF(ISNUMBER(SEARCH("integrated",$E$82)),"BF-BOF (integrated)",IF(ISNUMBER(SEARCH("melt",$G$82)),"Stainless melt","Not specified"))))</f>
        <v/>
      </c>
      <c r="F25" s="971">
        <f>$E$82</f>
        <v/>
      </c>
      <c r="G25" s="973" t="n"/>
      <c r="H25" s="974">
        <f>$F$82</f>
        <v/>
      </c>
      <c r="I25" s="973" t="n"/>
      <c r="J25" s="973" t="n"/>
      <c r="K25" s="971">
        <f>$I$82</f>
        <v/>
      </c>
      <c r="L25" s="975">
        <f>IF($L$82="Yes",'Model Assumptions'!$E$12,0)</f>
        <v/>
      </c>
      <c r="M25" s="971">
        <f>$H$82</f>
        <v/>
      </c>
      <c r="N25" s="976">
        <f>$J$82</f>
        <v/>
      </c>
      <c r="O25" s="971">
        <f>$M$82</f>
        <v/>
      </c>
      <c r="Q25" s="708" t="inlineStr">
        <is>
          <t>CT27</t>
        </is>
      </c>
    </row>
    <row r="26">
      <c r="A26" s="599" t="inlineStr">
        <is>
          <t>P07</t>
        </is>
      </c>
      <c r="B26" s="971">
        <f>$B$83</f>
        <v/>
      </c>
      <c r="C26" s="971">
        <f>$C$83</f>
        <v/>
      </c>
      <c r="D26" s="971">
        <f>$D$83</f>
        <v/>
      </c>
      <c r="E26" s="972">
        <f>IF(ISNUMBER(SEARCH("EAF",$E$83)),"EAF",IF(ISNUMBER(SEARCH("BF",$E$83)),"BF-BOF",IF(ISNUMBER(SEARCH("integrated",$E$83)),"BF-BOF (integrated)",IF(ISNUMBER(SEARCH("melt",$G$83)),"Stainless melt","Not specified"))))</f>
        <v/>
      </c>
      <c r="F26" s="971">
        <f>$E$83</f>
        <v/>
      </c>
      <c r="G26" s="973" t="n"/>
      <c r="H26" s="974">
        <f>$F$83</f>
        <v/>
      </c>
      <c r="I26" s="973" t="n"/>
      <c r="J26" s="973" t="n"/>
      <c r="K26" s="971">
        <f>$I$83</f>
        <v/>
      </c>
      <c r="L26" s="975">
        <f>IF($L$83="Yes",'Model Assumptions'!$E$12,0)</f>
        <v/>
      </c>
      <c r="M26" s="971">
        <f>$H$83</f>
        <v/>
      </c>
      <c r="N26" s="976">
        <f>$J$83</f>
        <v/>
      </c>
      <c r="O26" s="971">
        <f>$M$83</f>
        <v/>
      </c>
      <c r="Q26" s="708" t="inlineStr">
        <is>
          <t>CT27</t>
        </is>
      </c>
    </row>
    <row r="27">
      <c r="A27" s="599" t="inlineStr">
        <is>
          <t>P08</t>
        </is>
      </c>
      <c r="B27" s="971">
        <f>$B$84</f>
        <v/>
      </c>
      <c r="C27" s="971">
        <f>$C$84</f>
        <v/>
      </c>
      <c r="D27" s="971">
        <f>$D$84</f>
        <v/>
      </c>
      <c r="E27" s="972">
        <f>IF(ISNUMBER(SEARCH("EAF",$E$84)),"EAF",IF(ISNUMBER(SEARCH("BF",$E$84)),"BF-BOF",IF(ISNUMBER(SEARCH("integrated",$E$84)),"BF-BOF (integrated)",IF(ISNUMBER(SEARCH("melt",$G$84)),"Stainless melt","Not specified"))))</f>
        <v/>
      </c>
      <c r="F27" s="971">
        <f>$E$84</f>
        <v/>
      </c>
      <c r="G27" s="973" t="n"/>
      <c r="H27" s="974">
        <f>$F$84</f>
        <v/>
      </c>
      <c r="I27" s="973" t="n"/>
      <c r="J27" s="973" t="n"/>
      <c r="K27" s="971">
        <f>$I$84</f>
        <v/>
      </c>
      <c r="L27" s="975">
        <f>IF($L$84="Yes",'Model Assumptions'!$E$12,0)</f>
        <v/>
      </c>
      <c r="M27" s="971">
        <f>$H$84</f>
        <v/>
      </c>
      <c r="N27" s="976">
        <f>$J$84</f>
        <v/>
      </c>
      <c r="O27" s="971">
        <f>$M$84</f>
        <v/>
      </c>
      <c r="Q27" s="708" t="inlineStr">
        <is>
          <t>CT27</t>
        </is>
      </c>
    </row>
    <row r="28">
      <c r="A28" s="599" t="inlineStr">
        <is>
          <t>P09</t>
        </is>
      </c>
      <c r="B28" s="971">
        <f>$B$85</f>
        <v/>
      </c>
      <c r="C28" s="971">
        <f>$C$85</f>
        <v/>
      </c>
      <c r="D28" s="971">
        <f>$D$85</f>
        <v/>
      </c>
      <c r="E28" s="972">
        <f>IF(ISNUMBER(SEARCH("EAF",$E$85)),"EAF",IF(ISNUMBER(SEARCH("BF",$E$85)),"BF-BOF",IF(ISNUMBER(SEARCH("integrated",$E$85)),"BF-BOF (integrated)",IF(ISNUMBER(SEARCH("melt",$G$85)),"Stainless melt","Not specified"))))</f>
        <v/>
      </c>
      <c r="F28" s="971">
        <f>$E$85</f>
        <v/>
      </c>
      <c r="G28" s="973" t="n"/>
      <c r="H28" s="974">
        <f>$F$85</f>
        <v/>
      </c>
      <c r="I28" s="973" t="n"/>
      <c r="J28" s="973" t="n"/>
      <c r="K28" s="971">
        <f>$I$85</f>
        <v/>
      </c>
      <c r="L28" s="975">
        <f>IF($L$85="Yes",'Model Assumptions'!$E$12,0)</f>
        <v/>
      </c>
      <c r="M28" s="971">
        <f>$H$85</f>
        <v/>
      </c>
      <c r="N28" s="976">
        <f>$J$85</f>
        <v/>
      </c>
      <c r="O28" s="971">
        <f>$M$85</f>
        <v/>
      </c>
      <c r="Q28" s="708" t="inlineStr">
        <is>
          <t>CT27</t>
        </is>
      </c>
    </row>
    <row r="29">
      <c r="A29" s="599" t="inlineStr">
        <is>
          <t>P10</t>
        </is>
      </c>
      <c r="B29" s="971">
        <f>$B$86</f>
        <v/>
      </c>
      <c r="C29" s="971">
        <f>$C$86</f>
        <v/>
      </c>
      <c r="D29" s="971">
        <f>$D$86</f>
        <v/>
      </c>
      <c r="E29" s="972">
        <f>IF(ISNUMBER(SEARCH("EAF",$E$86)),"EAF",IF(ISNUMBER(SEARCH("BF",$E$86)),"BF-BOF",IF(ISNUMBER(SEARCH("integrated",$E$86)),"BF-BOF (integrated)",IF(ISNUMBER(SEARCH("melt",$G$86)),"Stainless melt","Not specified"))))</f>
        <v/>
      </c>
      <c r="F29" s="971">
        <f>$E$86</f>
        <v/>
      </c>
      <c r="G29" s="973" t="n"/>
      <c r="H29" s="974">
        <f>$F$86</f>
        <v/>
      </c>
      <c r="I29" s="973" t="n"/>
      <c r="J29" s="973" t="n"/>
      <c r="K29" s="971">
        <f>$I$86</f>
        <v/>
      </c>
      <c r="L29" s="975">
        <f>IF($L$86="Yes",'Model Assumptions'!$E$12,0)</f>
        <v/>
      </c>
      <c r="M29" s="971">
        <f>$H$86</f>
        <v/>
      </c>
      <c r="N29" s="976">
        <f>$J$86</f>
        <v/>
      </c>
      <c r="O29" s="971">
        <f>$M$86</f>
        <v/>
      </c>
      <c r="Q29" s="708" t="inlineStr">
        <is>
          <t>CT27</t>
        </is>
      </c>
    </row>
    <row r="30">
      <c r="A30" s="599" t="inlineStr">
        <is>
          <t>P11</t>
        </is>
      </c>
      <c r="B30" s="971">
        <f>$B$87</f>
        <v/>
      </c>
      <c r="C30" s="971">
        <f>$C$87</f>
        <v/>
      </c>
      <c r="D30" s="971">
        <f>$D$87</f>
        <v/>
      </c>
      <c r="E30" s="972">
        <f>IF(ISNUMBER(SEARCH("EAF",$E$87)),"EAF",IF(ISNUMBER(SEARCH("BF",$E$87)),"BF-BOF",IF(ISNUMBER(SEARCH("integrated",$E$87)),"BF-BOF (integrated)",IF(ISNUMBER(SEARCH("melt",$G$87)),"Stainless melt","Not specified"))))</f>
        <v/>
      </c>
      <c r="F30" s="971">
        <f>$E$87</f>
        <v/>
      </c>
      <c r="G30" s="973" t="n"/>
      <c r="H30" s="974">
        <f>$F$87</f>
        <v/>
      </c>
      <c r="I30" s="973" t="n"/>
      <c r="J30" s="973" t="n"/>
      <c r="K30" s="971">
        <f>$I$87</f>
        <v/>
      </c>
      <c r="L30" s="975">
        <f>IF($L$87="Yes",'Model Assumptions'!$E$12,0)</f>
        <v/>
      </c>
      <c r="M30" s="971">
        <f>$H$87</f>
        <v/>
      </c>
      <c r="N30" s="976">
        <f>$J$87</f>
        <v/>
      </c>
      <c r="O30" s="971">
        <f>$M$87</f>
        <v/>
      </c>
      <c r="Q30" s="708" t="inlineStr">
        <is>
          <t>CT27</t>
        </is>
      </c>
    </row>
    <row r="31">
      <c r="A31" s="599" t="inlineStr">
        <is>
          <t>P12</t>
        </is>
      </c>
      <c r="B31" s="971">
        <f>$B$88</f>
        <v/>
      </c>
      <c r="C31" s="971">
        <f>$C$88</f>
        <v/>
      </c>
      <c r="D31" s="971">
        <f>$D$88</f>
        <v/>
      </c>
      <c r="E31" s="972">
        <f>IF(ISNUMBER(SEARCH("EAF",$E$88)),"EAF",IF(ISNUMBER(SEARCH("BF",$E$88)),"BF-BOF",IF(ISNUMBER(SEARCH("integrated",$E$88)),"BF-BOF (integrated)",IF(ISNUMBER(SEARCH("melt",$G$88)),"Stainless melt","Not specified"))))</f>
        <v/>
      </c>
      <c r="F31" s="971">
        <f>$E$88</f>
        <v/>
      </c>
      <c r="G31" s="973" t="n"/>
      <c r="H31" s="974">
        <f>$F$88</f>
        <v/>
      </c>
      <c r="I31" s="973" t="n"/>
      <c r="J31" s="973" t="n"/>
      <c r="K31" s="971">
        <f>$I$88</f>
        <v/>
      </c>
      <c r="L31" s="975">
        <f>IF($L$88="Yes",'Model Assumptions'!$E$12,0)</f>
        <v/>
      </c>
      <c r="M31" s="971">
        <f>$H$88</f>
        <v/>
      </c>
      <c r="N31" s="976">
        <f>$J$88</f>
        <v/>
      </c>
      <c r="O31" s="971">
        <f>$M$88</f>
        <v/>
      </c>
      <c r="Q31" s="708" t="inlineStr">
        <is>
          <t>CT27</t>
        </is>
      </c>
    </row>
    <row r="32">
      <c r="A32" s="599" t="inlineStr">
        <is>
          <t>P13</t>
        </is>
      </c>
      <c r="B32" s="971">
        <f>$B$89</f>
        <v/>
      </c>
      <c r="C32" s="971">
        <f>$C$89</f>
        <v/>
      </c>
      <c r="D32" s="971">
        <f>$D$89</f>
        <v/>
      </c>
      <c r="E32" s="972">
        <f>IF(ISNUMBER(SEARCH("EAF",$E$89)),"EAF",IF(ISNUMBER(SEARCH("BF",$E$89)),"BF-BOF",IF(ISNUMBER(SEARCH("integrated",$E$89)),"BF-BOF (integrated)",IF(ISNUMBER(SEARCH("melt",$G$89)),"Stainless melt","Not specified"))))</f>
        <v/>
      </c>
      <c r="F32" s="971">
        <f>$E$89</f>
        <v/>
      </c>
      <c r="G32" s="973" t="n"/>
      <c r="H32" s="974">
        <f>$F$89</f>
        <v/>
      </c>
      <c r="I32" s="973" t="n"/>
      <c r="J32" s="973" t="n"/>
      <c r="K32" s="971">
        <f>$I$89</f>
        <v/>
      </c>
      <c r="L32" s="975">
        <f>IF($L$89="Yes",'Model Assumptions'!$E$12,0)</f>
        <v/>
      </c>
      <c r="M32" s="971">
        <f>$H$89</f>
        <v/>
      </c>
      <c r="N32" s="976">
        <f>$J$89</f>
        <v/>
      </c>
      <c r="O32" s="971">
        <f>$M$89</f>
        <v/>
      </c>
      <c r="Q32" s="708" t="inlineStr">
        <is>
          <t>CT27</t>
        </is>
      </c>
    </row>
    <row r="33">
      <c r="A33" s="599" t="inlineStr">
        <is>
          <t>P14</t>
        </is>
      </c>
      <c r="B33" s="971">
        <f>$B$90</f>
        <v/>
      </c>
      <c r="C33" s="971">
        <f>$C$90</f>
        <v/>
      </c>
      <c r="D33" s="971">
        <f>$D$90</f>
        <v/>
      </c>
      <c r="E33" s="972">
        <f>IF(ISNUMBER(SEARCH("EAF",$E$90)),"EAF",IF(ISNUMBER(SEARCH("BF",$E$90)),"BF-BOF",IF(ISNUMBER(SEARCH("integrated",$E$90)),"BF-BOF (integrated)",IF(ISNUMBER(SEARCH("melt",$G$90)),"Stainless melt","Not specified"))))</f>
        <v/>
      </c>
      <c r="F33" s="971">
        <f>$E$90</f>
        <v/>
      </c>
      <c r="G33" s="973" t="n"/>
      <c r="H33" s="974">
        <f>$F$90</f>
        <v/>
      </c>
      <c r="I33" s="973" t="n"/>
      <c r="J33" s="973" t="n"/>
      <c r="K33" s="971">
        <f>$I$90</f>
        <v/>
      </c>
      <c r="L33" s="975">
        <f>IF($L$90="Yes",'Model Assumptions'!$E$12,0)</f>
        <v/>
      </c>
      <c r="M33" s="971">
        <f>$H$90</f>
        <v/>
      </c>
      <c r="N33" s="976">
        <f>$J$90</f>
        <v/>
      </c>
      <c r="O33" s="971">
        <f>$M$90</f>
        <v/>
      </c>
      <c r="Q33" s="708" t="inlineStr">
        <is>
          <t>CT27</t>
        </is>
      </c>
    </row>
    <row r="34">
      <c r="A34" s="599" t="inlineStr">
        <is>
          <t>P15</t>
        </is>
      </c>
      <c r="B34" s="971">
        <f>$B$91</f>
        <v/>
      </c>
      <c r="C34" s="971">
        <f>$C$91</f>
        <v/>
      </c>
      <c r="D34" s="971">
        <f>$D$91</f>
        <v/>
      </c>
      <c r="E34" s="972">
        <f>IF(ISNUMBER(SEARCH("EAF",$E$91)),"EAF",IF(ISNUMBER(SEARCH("BF",$E$91)),"BF-BOF",IF(ISNUMBER(SEARCH("integrated",$E$91)),"BF-BOF (integrated)",IF(ISNUMBER(SEARCH("melt",$G$91)),"Stainless melt","Not specified"))))</f>
        <v/>
      </c>
      <c r="F34" s="971">
        <f>$E$91</f>
        <v/>
      </c>
      <c r="G34" s="973" t="n"/>
      <c r="H34" s="974">
        <f>$F$91</f>
        <v/>
      </c>
      <c r="I34" s="973" t="n"/>
      <c r="J34" s="973" t="n"/>
      <c r="K34" s="971">
        <f>$I$91</f>
        <v/>
      </c>
      <c r="L34" s="975">
        <f>IF($L$91="Yes",'Model Assumptions'!$E$12,0)</f>
        <v/>
      </c>
      <c r="M34" s="971">
        <f>$H$91</f>
        <v/>
      </c>
      <c r="N34" s="976">
        <f>$J$91</f>
        <v/>
      </c>
      <c r="O34" s="971">
        <f>$M$91</f>
        <v/>
      </c>
      <c r="Q34" s="708" t="inlineStr">
        <is>
          <t>CT27</t>
        </is>
      </c>
    </row>
    <row r="35">
      <c r="A35" s="599" t="inlineStr">
        <is>
          <t>P16</t>
        </is>
      </c>
      <c r="B35" s="971">
        <f>$B$92</f>
        <v/>
      </c>
      <c r="C35" s="971">
        <f>$C$92</f>
        <v/>
      </c>
      <c r="D35" s="971">
        <f>$D$92</f>
        <v/>
      </c>
      <c r="E35" s="972">
        <f>IF(ISNUMBER(SEARCH("EAF",$E$92)),"EAF",IF(ISNUMBER(SEARCH("BF",$E$92)),"BF-BOF",IF(ISNUMBER(SEARCH("integrated",$E$92)),"BF-BOF (integrated)",IF(ISNUMBER(SEARCH("melt",$G$92)),"Stainless melt","Not specified"))))</f>
        <v/>
      </c>
      <c r="F35" s="971">
        <f>$E$92</f>
        <v/>
      </c>
      <c r="G35" s="973" t="n"/>
      <c r="H35" s="974">
        <f>$F$92</f>
        <v/>
      </c>
      <c r="I35" s="973" t="n"/>
      <c r="J35" s="973" t="n"/>
      <c r="K35" s="971">
        <f>$I$92</f>
        <v/>
      </c>
      <c r="L35" s="975">
        <f>IF($L$92="Yes",'Model Assumptions'!$E$12,0)</f>
        <v/>
      </c>
      <c r="M35" s="971">
        <f>$H$92</f>
        <v/>
      </c>
      <c r="N35" s="976">
        <f>$J$92</f>
        <v/>
      </c>
      <c r="O35" s="971">
        <f>$M$92</f>
        <v/>
      </c>
      <c r="Q35" s="708" t="inlineStr">
        <is>
          <t>CT27</t>
        </is>
      </c>
    </row>
    <row r="36">
      <c r="A36" s="599" t="inlineStr">
        <is>
          <t>P17</t>
        </is>
      </c>
      <c r="B36" s="971">
        <f>$B$93</f>
        <v/>
      </c>
      <c r="C36" s="971">
        <f>$C$93</f>
        <v/>
      </c>
      <c r="D36" s="971">
        <f>$D$93</f>
        <v/>
      </c>
      <c r="E36" s="972">
        <f>IF(ISNUMBER(SEARCH("EAF",$E$93)),"EAF",IF(ISNUMBER(SEARCH("BF",$E$93)),"BF-BOF",IF(ISNUMBER(SEARCH("integrated",$E$93)),"BF-BOF (integrated)",IF(ISNUMBER(SEARCH("melt",$G$93)),"Stainless melt","Not specified"))))</f>
        <v/>
      </c>
      <c r="F36" s="971">
        <f>$E$93</f>
        <v/>
      </c>
      <c r="G36" s="973" t="n"/>
      <c r="H36" s="974">
        <f>$F$93</f>
        <v/>
      </c>
      <c r="I36" s="973" t="n"/>
      <c r="J36" s="973" t="n"/>
      <c r="K36" s="971">
        <f>$I$93</f>
        <v/>
      </c>
      <c r="L36" s="975">
        <f>IF($L$93="Yes",'Model Assumptions'!$E$12,0)</f>
        <v/>
      </c>
      <c r="M36" s="971">
        <f>$H$93</f>
        <v/>
      </c>
      <c r="N36" s="976">
        <f>$J$93</f>
        <v/>
      </c>
      <c r="O36" s="971">
        <f>$M$93</f>
        <v/>
      </c>
      <c r="Q36" s="708" t="inlineStr">
        <is>
          <t>CT27</t>
        </is>
      </c>
    </row>
    <row r="37">
      <c r="A37" s="599" t="inlineStr">
        <is>
          <t>P18</t>
        </is>
      </c>
      <c r="B37" s="971">
        <f>$B$94</f>
        <v/>
      </c>
      <c r="C37" s="971">
        <f>$C$94</f>
        <v/>
      </c>
      <c r="D37" s="971">
        <f>$D$94</f>
        <v/>
      </c>
      <c r="E37" s="972">
        <f>IF(ISNUMBER(SEARCH("EAF",$E$94)),"EAF",IF(ISNUMBER(SEARCH("BF",$E$94)),"BF-BOF",IF(ISNUMBER(SEARCH("integrated",$E$94)),"BF-BOF (integrated)",IF(ISNUMBER(SEARCH("melt",$G$94)),"Stainless melt","Not specified"))))</f>
        <v/>
      </c>
      <c r="F37" s="971">
        <f>$E$94</f>
        <v/>
      </c>
      <c r="G37" s="973" t="n"/>
      <c r="H37" s="974">
        <f>$F$94</f>
        <v/>
      </c>
      <c r="I37" s="973" t="n"/>
      <c r="J37" s="973" t="n"/>
      <c r="K37" s="971">
        <f>$I$94</f>
        <v/>
      </c>
      <c r="L37" s="975">
        <f>IF($L$94="Yes",'Model Assumptions'!$E$12,0)</f>
        <v/>
      </c>
      <c r="M37" s="971">
        <f>$H$94</f>
        <v/>
      </c>
      <c r="N37" s="976">
        <f>$J$94</f>
        <v/>
      </c>
      <c r="O37" s="971">
        <f>$M$94</f>
        <v/>
      </c>
      <c r="Q37" s="708" t="inlineStr">
        <is>
          <t>CT27</t>
        </is>
      </c>
    </row>
    <row r="38">
      <c r="A38" s="599" t="inlineStr">
        <is>
          <t>P19</t>
        </is>
      </c>
      <c r="B38" s="971">
        <f>$B$95</f>
        <v/>
      </c>
      <c r="C38" s="971">
        <f>$C$95</f>
        <v/>
      </c>
      <c r="D38" s="971">
        <f>$D$95</f>
        <v/>
      </c>
      <c r="E38" s="972">
        <f>IF(ISNUMBER(SEARCH("EAF",$E$95)),"EAF",IF(ISNUMBER(SEARCH("BF",$E$95)),"BF-BOF",IF(ISNUMBER(SEARCH("integrated",$E$95)),"BF-BOF (integrated)",IF(ISNUMBER(SEARCH("melt",$G$95)),"Stainless melt","Not specified"))))</f>
        <v/>
      </c>
      <c r="F38" s="971">
        <f>$E$95</f>
        <v/>
      </c>
      <c r="G38" s="973" t="n"/>
      <c r="H38" s="974">
        <f>$F$95</f>
        <v/>
      </c>
      <c r="I38" s="973" t="n"/>
      <c r="J38" s="973" t="n"/>
      <c r="K38" s="971">
        <f>$I$95</f>
        <v/>
      </c>
      <c r="L38" s="975">
        <f>IF($L$95="Yes",'Model Assumptions'!$E$12,0)</f>
        <v/>
      </c>
      <c r="M38" s="971">
        <f>$H$95</f>
        <v/>
      </c>
      <c r="N38" s="976">
        <f>$J$95</f>
        <v/>
      </c>
      <c r="O38" s="971">
        <f>$M$95</f>
        <v/>
      </c>
      <c r="Q38" s="708" t="inlineStr">
        <is>
          <t>CT27</t>
        </is>
      </c>
    </row>
    <row r="39">
      <c r="A39" s="599" t="inlineStr">
        <is>
          <t>P20</t>
        </is>
      </c>
      <c r="B39" s="971">
        <f>$B$96</f>
        <v/>
      </c>
      <c r="C39" s="971">
        <f>$C$96</f>
        <v/>
      </c>
      <c r="D39" s="971">
        <f>$D$96</f>
        <v/>
      </c>
      <c r="E39" s="972">
        <f>IF(ISNUMBER(SEARCH("EAF",$E$96)),"EAF",IF(ISNUMBER(SEARCH("BF",$E$96)),"BF-BOF",IF(ISNUMBER(SEARCH("integrated",$E$96)),"BF-BOF (integrated)",IF(ISNUMBER(SEARCH("melt",$G$96)),"Stainless melt","Not specified"))))</f>
        <v/>
      </c>
      <c r="F39" s="971">
        <f>$E$96</f>
        <v/>
      </c>
      <c r="G39" s="973" t="n"/>
      <c r="H39" s="974">
        <f>$F$96</f>
        <v/>
      </c>
      <c r="I39" s="973" t="n"/>
      <c r="J39" s="973" t="n"/>
      <c r="K39" s="971">
        <f>$I$96</f>
        <v/>
      </c>
      <c r="L39" s="975">
        <f>IF($L$96="Yes",'Model Assumptions'!$E$12,0)</f>
        <v/>
      </c>
      <c r="M39" s="971">
        <f>$H$96</f>
        <v/>
      </c>
      <c r="N39" s="976">
        <f>$J$96</f>
        <v/>
      </c>
      <c r="O39" s="971">
        <f>$M$96</f>
        <v/>
      </c>
      <c r="Q39" s="708" t="inlineStr">
        <is>
          <t>CT27</t>
        </is>
      </c>
    </row>
    <row r="40">
      <c r="A40" s="597" t="n"/>
      <c r="B40" s="597" t="n"/>
      <c r="C40" s="597" t="n"/>
      <c r="D40" s="597" t="n"/>
      <c r="E40" s="597" t="n"/>
      <c r="F40" s="597" t="n"/>
      <c r="G40" s="597" t="n"/>
      <c r="H40" s="597" t="n"/>
      <c r="I40" s="597" t="n"/>
      <c r="J40" s="597" t="n"/>
      <c r="K40" s="597" t="n"/>
      <c r="L40" s="597" t="n"/>
      <c r="M40" s="597" t="n"/>
      <c r="N40" s="597" t="n"/>
      <c r="O40" s="597" t="n"/>
    </row>
    <row r="41">
      <c r="A41" s="597" t="n"/>
      <c r="B41" s="597" t="n"/>
      <c r="C41" s="597" t="n"/>
      <c r="D41" s="597" t="n"/>
      <c r="E41" s="597" t="n"/>
      <c r="F41" s="597" t="n"/>
      <c r="G41" s="597" t="n"/>
      <c r="H41" s="597" t="n"/>
      <c r="I41" s="597" t="n"/>
      <c r="J41" s="597" t="n"/>
      <c r="K41" s="597" t="n"/>
      <c r="L41" s="597" t="n"/>
      <c r="M41" s="597" t="n"/>
      <c r="N41" s="597" t="n"/>
      <c r="O41" s="597" t="n"/>
    </row>
    <row r="42" ht="16.2" customHeight="1" s="632" thickBot="1">
      <c r="A42" s="493" t="inlineStr">
        <is>
          <t>Annual Capacity Addition</t>
        </is>
      </c>
      <c r="J42" s="597" t="n"/>
      <c r="K42" s="597" t="n"/>
      <c r="L42" s="597" t="n"/>
      <c r="M42" s="597" t="n"/>
      <c r="N42" s="597" t="n"/>
      <c r="O42" s="597" t="n"/>
    </row>
    <row r="43" ht="15" customHeight="1" s="632" thickBot="1">
      <c r="A43" s="503" t="inlineStr">
        <is>
          <t>Year</t>
        </is>
      </c>
      <c r="B43" s="611" t="inlineStr">
        <is>
          <t>Brownfield</t>
        </is>
      </c>
      <c r="C43" s="611" t="inlineStr">
        <is>
          <t>Greenfield</t>
        </is>
      </c>
      <c r="D43" s="611" t="inlineStr">
        <is>
          <t>Debottlenecking</t>
        </is>
      </c>
      <c r="E43" s="611" t="inlineStr">
        <is>
          <t>Restart</t>
        </is>
      </c>
      <c r="F43" s="610" t="inlineStr">
        <is>
          <t>Total</t>
        </is>
      </c>
      <c r="G43" s="597" t="n"/>
      <c r="H43" s="707" t="inlineStr">
        <is>
          <t>Ref</t>
        </is>
      </c>
      <c r="I43" s="597" t="n"/>
      <c r="J43" s="597" t="n"/>
      <c r="K43" s="597" t="n"/>
      <c r="L43" s="597" t="n"/>
      <c r="M43" s="597" t="n"/>
      <c r="N43" s="597" t="n"/>
      <c r="O43" s="597" t="n"/>
    </row>
    <row r="44" ht="15" customHeight="1" s="632" thickTop="1">
      <c r="A44" s="246" t="inlineStr">
        <is>
          <t>FY27</t>
        </is>
      </c>
      <c r="B44" s="977">
        <f>SUMIFS($F$77:$F$96,$E$77:$E$96,"Brownfield*",$I$77:$I$96,"FY2027",$L$77:$L$96,"Yes")</f>
        <v/>
      </c>
      <c r="C44" s="977">
        <f>SUMIFS($F$77:$F$96,$E$77:$E$96,"Greenfield*",$I$77:$I$96,"FY2027",$L$77:$L$96,"Yes")+SUMIFS($F$77:$F$96,$E$77:$E$96,"Programme",$I$77:$I$96,"FY2027",$L$77:$L$96,"Yes")</f>
        <v/>
      </c>
      <c r="D44" s="977">
        <f>SUMIFS($F$77:$F$96,$E$77:$E$96,"Debottlenecking*",$I$77:$I$96,"FY2027",$L$77:$L$96,"Yes")</f>
        <v/>
      </c>
      <c r="E44" s="977">
        <f>SUMIFS($F$77:$F$96,$E$77:$E$96,"Restart*",$I$77:$I$96,"FY2027",$L$77:$L$96,"Yes")</f>
        <v/>
      </c>
      <c r="F44" s="978">
        <f>SUM(B44:E44)</f>
        <v/>
      </c>
      <c r="G44" s="597" t="n"/>
      <c r="H44" s="708" t="inlineStr">
        <is>
          <t>CT03</t>
        </is>
      </c>
      <c r="I44" s="597" t="n"/>
      <c r="J44" s="597" t="n"/>
      <c r="K44" s="597" t="n"/>
      <c r="L44" s="597" t="n"/>
      <c r="M44" s="597" t="n"/>
      <c r="N44" s="597" t="n"/>
      <c r="O44" s="597" t="n"/>
    </row>
    <row r="45">
      <c r="A45" s="247" t="inlineStr">
        <is>
          <t>FY28</t>
        </is>
      </c>
      <c r="B45" s="979">
        <f>SUMIFS($F$77:$F$96,$E$77:$E$96,"Brownfield*",$I$77:$I$96,"FY2028",$L$77:$L$96,"Yes")</f>
        <v/>
      </c>
      <c r="C45" s="979">
        <f>SUMIFS($F$77:$F$96,$E$77:$E$96,"Greenfield*",$I$77:$I$96,"FY2028",$L$77:$L$96,"Yes")+SUMIFS($F$77:$F$96,$E$77:$E$96,"Programme",$I$77:$I$96,"FY2028",$L$77:$L$96,"Yes")</f>
        <v/>
      </c>
      <c r="D45" s="979">
        <f>SUMIFS($F$77:$F$96,$E$77:$E$96,"Debottlenecking*",$I$77:$I$96,"FY2028",$L$77:$L$96,"Yes")</f>
        <v/>
      </c>
      <c r="E45" s="979">
        <f>SUMIFS($F$77:$F$96,$E$77:$E$96,"Restart*",$I$77:$I$96,"FY2028",$L$77:$L$96,"Yes")</f>
        <v/>
      </c>
      <c r="F45" s="968">
        <f>SUM(B45:E45)</f>
        <v/>
      </c>
      <c r="G45" s="597" t="n"/>
      <c r="H45" s="597" t="n"/>
      <c r="I45" s="597" t="n"/>
      <c r="J45" s="597" t="n"/>
      <c r="K45" s="597" t="n"/>
      <c r="L45" s="597" t="n"/>
      <c r="M45" s="597" t="n"/>
      <c r="N45" s="597" t="n"/>
      <c r="O45" s="597" t="n"/>
    </row>
    <row r="46">
      <c r="A46" s="247" t="inlineStr">
        <is>
          <t>FY29</t>
        </is>
      </c>
      <c r="B46" s="979">
        <f>SUMIFS($F$77:$F$96,$E$77:$E$96,"Brownfield*",$I$77:$I$96,"FY2029",$L$77:$L$96,"Yes")</f>
        <v/>
      </c>
      <c r="C46" s="979">
        <f>SUMIFS($F$77:$F$96,$E$77:$E$96,"Greenfield*",$I$77:$I$96,"FY2029",$L$77:$L$96,"Yes")+SUMIFS($F$77:$F$96,$E$77:$E$96,"Programme",$I$77:$I$96,"FY2029",$L$77:$L$96,"Yes")</f>
        <v/>
      </c>
      <c r="D46" s="979">
        <f>SUMIFS($F$77:$F$96,$E$77:$E$96,"Debottlenecking*",$I$77:$I$96,"FY2029",$L$77:$L$96,"Yes")</f>
        <v/>
      </c>
      <c r="E46" s="979">
        <f>SUMIFS($F$77:$F$96,$E$77:$E$96,"Restart*",$I$77:$I$96,"FY2029",$L$77:$L$96,"Yes")</f>
        <v/>
      </c>
      <c r="F46" s="968">
        <f>SUM(B46:E46)</f>
        <v/>
      </c>
      <c r="G46" s="597" t="n"/>
      <c r="H46" s="597" t="n"/>
      <c r="I46" s="597" t="n"/>
      <c r="J46" s="597" t="n"/>
      <c r="K46" s="597" t="n"/>
      <c r="L46" s="597" t="n"/>
      <c r="M46" s="597" t="n"/>
      <c r="N46" s="597" t="n"/>
      <c r="O46" s="597" t="n"/>
    </row>
    <row r="47">
      <c r="A47" s="247" t="inlineStr">
        <is>
          <t>FY30</t>
        </is>
      </c>
      <c r="B47" s="979">
        <f>SUMIFS($F$77:$F$96,$E$77:$E$96,"Brownfield*",$I$77:$I$96,"FY2030",$L$77:$L$96,"Yes")</f>
        <v/>
      </c>
      <c r="C47" s="979">
        <f>SUMIFS($F$77:$F$96,$E$77:$E$96,"Greenfield*",$I$77:$I$96,"FY2030",$L$77:$L$96,"Yes")+SUMIFS($F$77:$F$96,$E$77:$E$96,"Programme",$I$77:$I$96,"FY2030",$L$77:$L$96,"Yes")</f>
        <v/>
      </c>
      <c r="D47" s="979">
        <f>SUMIFS($F$77:$F$96,$E$77:$E$96,"Debottlenecking*",$I$77:$I$96,"FY2030",$L$77:$L$96,"Yes")</f>
        <v/>
      </c>
      <c r="E47" s="979">
        <f>SUMIFS($F$77:$F$96,$E$77:$E$96,"Restart*",$I$77:$I$96,"FY2030",$L$77:$L$96,"Yes")</f>
        <v/>
      </c>
      <c r="F47" s="968">
        <f>SUM(B47:E47)</f>
        <v/>
      </c>
      <c r="G47" s="597" t="n"/>
      <c r="H47" s="597" t="n"/>
      <c r="I47" s="597" t="n"/>
      <c r="J47" s="597" t="n"/>
      <c r="K47" s="597" t="n"/>
      <c r="L47" s="597" t="n"/>
      <c r="M47" s="597" t="n"/>
      <c r="N47" s="597" t="n"/>
      <c r="O47" s="597" t="n"/>
    </row>
    <row r="48">
      <c r="A48" s="247" t="inlineStr">
        <is>
          <t>FY31</t>
        </is>
      </c>
      <c r="B48" s="979">
        <f>SUMIFS($F$77:$F$96,$E$77:$E$96,"Brownfield*",$I$77:$I$96,"FY2031",$L$77:$L$96,"Yes")</f>
        <v/>
      </c>
      <c r="C48" s="979">
        <f>SUMIFS($F$77:$F$96,$E$77:$E$96,"Greenfield*",$I$77:$I$96,"FY2031",$L$77:$L$96,"Yes")+SUMIFS($F$77:$F$96,$E$77:$E$96,"Programme",$I$77:$I$96,"FY2031",$L$77:$L$96,"Yes")</f>
        <v/>
      </c>
      <c r="D48" s="979">
        <f>SUMIFS($F$77:$F$96,$E$77:$E$96,"Debottlenecking*",$I$77:$I$96,"FY2031",$L$77:$L$96,"Yes")</f>
        <v/>
      </c>
      <c r="E48" s="979">
        <f>SUMIFS($F$77:$F$96,$E$77:$E$96,"Restart*",$I$77:$I$96,"FY2031",$L$77:$L$96,"Yes")</f>
        <v/>
      </c>
      <c r="F48" s="968">
        <f>SUM(B48:E48)</f>
        <v/>
      </c>
      <c r="G48" s="597" t="n"/>
      <c r="H48" s="597" t="n"/>
      <c r="I48" s="597" t="n"/>
      <c r="J48" s="597" t="n"/>
      <c r="K48" s="597" t="n"/>
      <c r="L48" s="597" t="n"/>
      <c r="M48" s="597" t="n"/>
      <c r="N48" s="597" t="n"/>
      <c r="O48" s="597" t="n"/>
    </row>
    <row r="49">
      <c r="A49" s="247" t="inlineStr">
        <is>
          <t>FY32</t>
        </is>
      </c>
      <c r="B49" s="979">
        <f>SUMIFS($F$77:$F$96,$E$77:$E$96,"Brownfield*",$I$77:$I$96,"FY2032",$L$77:$L$96,"Yes")</f>
        <v/>
      </c>
      <c r="C49" s="979">
        <f>SUMIFS($F$77:$F$96,$E$77:$E$96,"Greenfield*",$I$77:$I$96,"FY2032",$L$77:$L$96,"Yes")+SUMIFS($F$77:$F$96,$E$77:$E$96,"Programme",$I$77:$I$96,"FY2032",$L$77:$L$96,"Yes")</f>
        <v/>
      </c>
      <c r="D49" s="979">
        <f>SUMIFS($F$77:$F$96,$E$77:$E$96,"Debottlenecking*",$I$77:$I$96,"FY2032",$L$77:$L$96,"Yes")</f>
        <v/>
      </c>
      <c r="E49" s="979">
        <f>SUMIFS($F$77:$F$96,$E$77:$E$96,"Restart*",$I$77:$I$96,"FY2032",$L$77:$L$96,"Yes")</f>
        <v/>
      </c>
      <c r="F49" s="968">
        <f>SUM(B49:E49)</f>
        <v/>
      </c>
      <c r="G49" s="597" t="n"/>
      <c r="H49" s="597" t="n"/>
      <c r="I49" s="597" t="n"/>
      <c r="J49" s="597" t="n"/>
      <c r="K49" s="597" t="n"/>
      <c r="L49" s="597" t="n"/>
      <c r="M49" s="597" t="n"/>
      <c r="N49" s="597" t="n"/>
      <c r="O49" s="597" t="n"/>
    </row>
    <row r="50" ht="15" customHeight="1" s="632" thickBot="1">
      <c r="A50" s="248" t="inlineStr">
        <is>
          <t>FY33</t>
        </is>
      </c>
      <c r="B50" s="980">
        <f>SUMIFS($F$77:$F$96,$E$77:$E$96,"Brownfield*",$I$77:$I$96,"FY2033",$L$77:$L$96,"Yes")</f>
        <v/>
      </c>
      <c r="C50" s="980">
        <f>SUMIFS($F$77:$F$96,$E$77:$E$96,"Greenfield*",$I$77:$I$96,"FY2033",$L$77:$L$96,"Yes")+SUMIFS($F$77:$F$96,$E$77:$E$96,"Programme",$I$77:$I$96,"FY2033",$L$77:$L$96,"Yes")</f>
        <v/>
      </c>
      <c r="D50" s="980">
        <f>SUMIFS($F$77:$F$96,$E$77:$E$96,"Debottlenecking*",$I$77:$I$96,"FY2033",$L$77:$L$96,"Yes")</f>
        <v/>
      </c>
      <c r="E50" s="980">
        <f>SUMIFS($F$77:$F$96,$E$77:$E$96,"Restart*",$I$77:$I$96,"FY2033",$L$77:$L$96,"Yes")</f>
        <v/>
      </c>
      <c r="F50" s="970">
        <f>SUM(B50:E50)</f>
        <v/>
      </c>
      <c r="G50" s="597" t="n"/>
      <c r="H50" s="597" t="n"/>
      <c r="I50" s="597" t="n"/>
      <c r="J50" s="597" t="n"/>
      <c r="K50" s="597" t="n"/>
      <c r="L50" s="597" t="n"/>
      <c r="M50" s="597" t="n"/>
      <c r="N50" s="597" t="n"/>
      <c r="O50" s="597" t="n"/>
    </row>
    <row r="51">
      <c r="A51" s="597" t="n"/>
      <c r="B51" s="597" t="n"/>
      <c r="C51" s="597" t="n"/>
      <c r="D51" s="597" t="n"/>
      <c r="E51" s="597" t="n"/>
      <c r="F51" s="597" t="n"/>
      <c r="G51" s="597" t="n"/>
      <c r="H51" s="597" t="n"/>
      <c r="I51" s="597" t="n"/>
      <c r="J51" s="597" t="n"/>
      <c r="K51" s="597" t="n"/>
      <c r="L51" s="597" t="n"/>
      <c r="M51" s="597" t="n"/>
      <c r="N51" s="597" t="n"/>
      <c r="O51" s="597" t="n"/>
    </row>
    <row r="52">
      <c r="A52" s="597" t="n"/>
      <c r="B52" s="597" t="n"/>
      <c r="C52" s="597" t="n"/>
      <c r="D52" s="597" t="n"/>
      <c r="E52" s="597" t="n"/>
      <c r="F52" s="597" t="n"/>
      <c r="G52" s="597" t="n"/>
      <c r="H52" s="597" t="n"/>
      <c r="I52" s="597" t="n"/>
      <c r="J52" s="597" t="n"/>
      <c r="K52" s="597" t="n"/>
      <c r="L52" s="597" t="n"/>
      <c r="M52" s="597" t="n"/>
      <c r="N52" s="597" t="n"/>
      <c r="O52" s="597" t="n"/>
    </row>
    <row r="53" ht="16.2" customHeight="1" s="632" thickBot="1">
      <c r="A53" s="493" t="inlineStr">
        <is>
          <t>Probability Matrix</t>
        </is>
      </c>
      <c r="J53" s="597" t="n"/>
      <c r="K53" s="597" t="n"/>
      <c r="L53" s="597" t="n"/>
      <c r="M53" s="597" t="n"/>
      <c r="N53" s="597" t="n"/>
      <c r="O53" s="597" t="n"/>
    </row>
    <row r="54">
      <c r="A54" s="507" t="inlineStr">
        <is>
          <t>Status</t>
        </is>
      </c>
      <c r="B54" s="508" t="inlineStr">
        <is>
          <t>Probability</t>
        </is>
      </c>
      <c r="C54" s="597" t="n"/>
      <c r="D54" s="597" t="n"/>
      <c r="E54" s="597" t="n"/>
      <c r="F54" s="597" t="n"/>
      <c r="G54" s="597" t="n"/>
      <c r="H54" s="597" t="n"/>
      <c r="I54" s="597" t="n"/>
      <c r="J54" s="597" t="n"/>
      <c r="K54" s="597" t="n"/>
      <c r="L54" s="597" t="n"/>
      <c r="M54" s="597" t="n"/>
      <c r="N54" s="597" t="n"/>
      <c r="O54" s="597" t="n"/>
    </row>
    <row r="55">
      <c r="A55" s="247" t="inlineStr">
        <is>
          <t>Commissioned</t>
        </is>
      </c>
      <c r="B55" s="602" t="n">
        <v>1</v>
      </c>
      <c r="C55" s="597" t="n"/>
      <c r="D55" s="597" t="n"/>
      <c r="E55" s="597" t="n"/>
      <c r="F55" s="597" t="n"/>
      <c r="G55" s="597" t="n"/>
      <c r="H55" s="597" t="n"/>
      <c r="I55" s="597" t="n"/>
      <c r="J55" s="597" t="n"/>
      <c r="K55" s="597" t="n"/>
      <c r="L55" s="597" t="n"/>
      <c r="M55" s="597" t="n"/>
      <c r="N55" s="597" t="n"/>
      <c r="O55" s="597" t="n"/>
    </row>
    <row r="56">
      <c r="A56" s="247" t="inlineStr">
        <is>
          <t>Under Construction</t>
        </is>
      </c>
      <c r="B56" s="602" t="n">
        <v>0.95</v>
      </c>
      <c r="C56" s="597" t="n"/>
      <c r="D56" s="597" t="n"/>
      <c r="E56" s="597" t="n"/>
      <c r="F56" s="597" t="n"/>
      <c r="G56" s="597" t="n"/>
      <c r="H56" s="597" t="n"/>
      <c r="I56" s="597" t="n"/>
      <c r="J56" s="597" t="n"/>
      <c r="K56" s="597" t="n"/>
      <c r="L56" s="597" t="n"/>
      <c r="M56" s="597" t="n"/>
      <c r="N56" s="597" t="n"/>
      <c r="O56" s="597" t="n"/>
    </row>
    <row r="57">
      <c r="A57" s="247" t="inlineStr">
        <is>
          <t>Financial Closure</t>
        </is>
      </c>
      <c r="B57" s="602" t="n">
        <v>0.85</v>
      </c>
      <c r="C57" s="597" t="n"/>
      <c r="D57" s="597" t="n"/>
      <c r="E57" s="597" t="n"/>
      <c r="F57" s="597" t="n"/>
      <c r="G57" s="597" t="n"/>
      <c r="H57" s="597" t="n"/>
      <c r="I57" s="597" t="n"/>
      <c r="J57" s="597" t="n"/>
      <c r="K57" s="597" t="n"/>
      <c r="L57" s="597" t="n"/>
      <c r="M57" s="597" t="n"/>
      <c r="N57" s="597" t="n"/>
      <c r="O57" s="597" t="n"/>
    </row>
    <row r="58">
      <c r="A58" s="247" t="inlineStr">
        <is>
          <t>Approved</t>
        </is>
      </c>
      <c r="B58" s="602" t="n">
        <v>0.7</v>
      </c>
      <c r="C58" s="597" t="n"/>
      <c r="D58" s="597" t="n"/>
      <c r="E58" s="597" t="n"/>
      <c r="F58" s="597" t="n"/>
      <c r="G58" s="597" t="n"/>
      <c r="H58" s="597" t="n"/>
      <c r="I58" s="597" t="n"/>
      <c r="J58" s="597" t="n"/>
      <c r="K58" s="597" t="n"/>
      <c r="L58" s="597" t="n"/>
      <c r="M58" s="597" t="n"/>
      <c r="N58" s="597" t="n"/>
      <c r="O58" s="597" t="n"/>
    </row>
    <row r="59">
      <c r="A59" s="247" t="inlineStr">
        <is>
          <t>Announced</t>
        </is>
      </c>
      <c r="B59" s="602" t="n">
        <v>0.5</v>
      </c>
      <c r="C59" s="597" t="n"/>
      <c r="D59" s="597" t="n"/>
      <c r="E59" s="597" t="n"/>
      <c r="F59" s="597" t="n"/>
      <c r="G59" s="597" t="n"/>
      <c r="H59" s="597" t="n"/>
      <c r="I59" s="597" t="n"/>
      <c r="J59" s="597" t="n"/>
      <c r="K59" s="597" t="n"/>
      <c r="L59" s="597" t="n"/>
      <c r="M59" s="597" t="n"/>
      <c r="N59" s="597" t="n"/>
      <c r="O59" s="597" t="n"/>
    </row>
    <row r="60">
      <c r="A60" s="247" t="inlineStr">
        <is>
          <t>Proposed</t>
        </is>
      </c>
      <c r="B60" s="602" t="n">
        <v>0.25</v>
      </c>
      <c r="C60" s="597" t="n"/>
      <c r="D60" s="597" t="n"/>
      <c r="E60" s="597" t="n"/>
      <c r="F60" s="597" t="n"/>
      <c r="G60" s="597" t="n"/>
      <c r="H60" s="597" t="n"/>
      <c r="I60" s="597" t="n"/>
      <c r="J60" s="597" t="n"/>
      <c r="K60" s="597" t="n"/>
      <c r="L60" s="597" t="n"/>
      <c r="M60" s="597" t="n"/>
      <c r="N60" s="597" t="n"/>
      <c r="O60" s="597" t="n"/>
    </row>
    <row r="61">
      <c r="A61" s="247" t="inlineStr">
        <is>
          <t>Suspended</t>
        </is>
      </c>
      <c r="B61" s="602" t="n">
        <v>0.1</v>
      </c>
      <c r="C61" s="597" t="n"/>
      <c r="D61" s="597" t="n"/>
      <c r="E61" s="597" t="n"/>
      <c r="F61" s="597" t="n"/>
      <c r="G61" s="597" t="n"/>
      <c r="H61" s="597" t="n"/>
      <c r="I61" s="597" t="n"/>
      <c r="J61" s="597" t="n"/>
      <c r="K61" s="597" t="n"/>
      <c r="L61" s="597" t="n"/>
      <c r="M61" s="597" t="n"/>
      <c r="N61" s="597" t="n"/>
      <c r="O61" s="597" t="n"/>
    </row>
    <row r="62" ht="15" customHeight="1" s="632" thickBot="1">
      <c r="A62" s="248" t="inlineStr">
        <is>
          <t>Cancelled</t>
        </is>
      </c>
      <c r="B62" s="603" t="n">
        <v>0</v>
      </c>
      <c r="C62" s="597" t="n"/>
      <c r="D62" s="597" t="n"/>
      <c r="E62" s="597" t="n"/>
      <c r="F62" s="597" t="n"/>
      <c r="G62" s="597" t="n"/>
      <c r="H62" s="597" t="n"/>
      <c r="I62" s="597" t="n"/>
      <c r="J62" s="597" t="n"/>
      <c r="K62" s="597" t="n"/>
      <c r="L62" s="597" t="n"/>
      <c r="M62" s="597" t="n"/>
      <c r="N62" s="597" t="n"/>
      <c r="O62" s="597" t="n"/>
    </row>
    <row r="63">
      <c r="A63" s="597" t="n"/>
      <c r="B63" s="597" t="n"/>
      <c r="C63" s="597" t="n"/>
      <c r="D63" s="597" t="n"/>
      <c r="E63" s="597" t="n"/>
      <c r="F63" s="597" t="n"/>
      <c r="G63" s="597" t="n"/>
      <c r="H63" s="597" t="n"/>
      <c r="I63" s="597" t="n"/>
      <c r="J63" s="597" t="n"/>
      <c r="K63" s="597" t="n"/>
      <c r="L63" s="597" t="n"/>
      <c r="M63" s="597" t="n"/>
      <c r="N63" s="597" t="n"/>
      <c r="O63" s="597" t="n"/>
    </row>
    <row r="64">
      <c r="A64" s="597" t="n"/>
      <c r="B64" s="597" t="n"/>
      <c r="C64" s="597" t="n"/>
      <c r="D64" s="597" t="n"/>
      <c r="E64" s="597" t="n"/>
      <c r="F64" s="597" t="n"/>
      <c r="G64" s="597" t="n"/>
      <c r="H64" s="597" t="n"/>
      <c r="I64" s="597" t="n"/>
      <c r="J64" s="597" t="n"/>
      <c r="K64" s="597" t="n"/>
      <c r="L64" s="597" t="n"/>
      <c r="M64" s="597" t="n"/>
      <c r="N64" s="597" t="n"/>
      <c r="O64" s="597" t="n"/>
    </row>
    <row r="65">
      <c r="A65" s="597" t="n"/>
      <c r="B65" s="597" t="n"/>
      <c r="C65" s="597" t="n"/>
      <c r="D65" s="597" t="n"/>
      <c r="E65" s="597" t="n"/>
      <c r="F65" s="597" t="n"/>
      <c r="G65" s="597" t="n"/>
      <c r="H65" s="597" t="n"/>
      <c r="I65" s="597" t="n"/>
      <c r="J65" s="597" t="n"/>
      <c r="K65" s="597" t="n"/>
      <c r="L65" s="597" t="n"/>
      <c r="M65" s="597" t="n"/>
      <c r="N65" s="597" t="n"/>
      <c r="O65" s="597" t="n"/>
    </row>
    <row r="66">
      <c r="A66" s="597" t="n"/>
      <c r="B66" s="597" t="n"/>
      <c r="C66" s="597" t="n"/>
      <c r="D66" s="597" t="n"/>
      <c r="E66" s="597" t="n"/>
      <c r="F66" s="597" t="n"/>
      <c r="G66" s="597" t="n"/>
      <c r="H66" s="597" t="n"/>
      <c r="I66" s="597" t="n"/>
      <c r="J66" s="597" t="n"/>
      <c r="K66" s="597" t="n"/>
      <c r="L66" s="597" t="n"/>
      <c r="M66" s="597" t="n"/>
      <c r="N66" s="597" t="n"/>
      <c r="O66" s="597" t="n"/>
    </row>
    <row r="67">
      <c r="A67" s="597" t="n"/>
      <c r="B67" s="597" t="n"/>
      <c r="C67" s="597" t="n"/>
      <c r="D67" s="597" t="n"/>
      <c r="E67" s="597" t="n"/>
      <c r="F67" s="597" t="n"/>
      <c r="G67" s="597" t="n"/>
      <c r="H67" s="597" t="n"/>
      <c r="I67" s="597" t="n"/>
      <c r="J67" s="597" t="n"/>
      <c r="K67" s="597" t="n"/>
      <c r="L67" s="597" t="n"/>
      <c r="M67" s="597" t="n"/>
      <c r="N67" s="597" t="n"/>
      <c r="O67" s="597" t="n"/>
    </row>
    <row r="68">
      <c r="A68" s="597" t="n"/>
      <c r="B68" s="597" t="n"/>
      <c r="C68" s="597" t="n"/>
      <c r="D68" s="597" t="n"/>
      <c r="E68" s="597" t="n"/>
      <c r="F68" s="597" t="n"/>
      <c r="G68" s="597" t="n"/>
      <c r="H68" s="597" t="n"/>
      <c r="I68" s="597" t="n"/>
      <c r="J68" s="597" t="n"/>
      <c r="K68" s="597" t="n"/>
      <c r="L68" s="597" t="n"/>
      <c r="M68" s="597" t="n"/>
      <c r="N68" s="597" t="n"/>
      <c r="O68" s="597" t="n"/>
    </row>
    <row r="69">
      <c r="A69" s="597" t="n"/>
      <c r="B69" s="597" t="n"/>
      <c r="C69" s="597" t="n"/>
      <c r="D69" s="597" t="n"/>
      <c r="E69" s="597" t="n"/>
      <c r="F69" s="597" t="n"/>
      <c r="G69" s="597" t="n"/>
      <c r="H69" s="597" t="n"/>
      <c r="I69" s="597" t="n"/>
      <c r="J69" s="597" t="n"/>
      <c r="K69" s="597" t="n"/>
      <c r="L69" s="597" t="n"/>
      <c r="M69" s="597" t="n"/>
      <c r="N69" s="597" t="n"/>
      <c r="O69" s="597" t="n"/>
    </row>
    <row r="70">
      <c r="A70" s="597" t="n"/>
      <c r="B70" s="597" t="n"/>
      <c r="C70" s="597" t="n"/>
      <c r="D70" s="597" t="n"/>
      <c r="E70" s="597" t="n"/>
      <c r="F70" s="597" t="n"/>
      <c r="G70" s="597" t="n"/>
      <c r="H70" s="597" t="n"/>
      <c r="I70" s="597" t="n"/>
      <c r="J70" s="597" t="n"/>
      <c r="K70" s="597" t="n"/>
      <c r="L70" s="597" t="n"/>
      <c r="M70" s="597" t="n"/>
      <c r="N70" s="597" t="n"/>
      <c r="O70" s="597" t="n"/>
    </row>
    <row r="71">
      <c r="A71" s="597" t="n"/>
      <c r="B71" s="597" t="n"/>
      <c r="C71" s="597" t="n"/>
      <c r="D71" s="597" t="n"/>
      <c r="E71" s="597" t="n"/>
      <c r="F71" s="597" t="n"/>
      <c r="G71" s="597" t="n"/>
      <c r="H71" s="597" t="n"/>
      <c r="I71" s="597" t="n"/>
      <c r="J71" s="597" t="n"/>
      <c r="K71" s="597" t="n"/>
      <c r="L71" s="597" t="n"/>
      <c r="M71" s="597" t="n"/>
      <c r="N71" s="597" t="n"/>
      <c r="O71" s="597" t="n"/>
    </row>
    <row r="72">
      <c r="A72" s="597" t="n"/>
      <c r="B72" s="597" t="n"/>
      <c r="C72" s="597" t="n"/>
      <c r="D72" s="597" t="n"/>
      <c r="E72" s="597" t="n"/>
      <c r="F72" s="597" t="n"/>
      <c r="G72" s="597" t="n"/>
      <c r="H72" s="597" t="n"/>
      <c r="I72" s="597" t="n"/>
      <c r="J72" s="597" t="n"/>
      <c r="K72" s="597" t="n"/>
      <c r="L72" s="597" t="n"/>
      <c r="M72" s="597" t="n"/>
      <c r="N72" s="597" t="n"/>
      <c r="O72" s="597" t="n"/>
    </row>
    <row r="73">
      <c r="A73" s="597" t="n"/>
      <c r="B73" s="597" t="n"/>
      <c r="C73" s="597" t="n"/>
      <c r="D73" s="597" t="n"/>
      <c r="E73" s="597" t="n"/>
      <c r="F73" s="597" t="n"/>
      <c r="G73" s="597" t="n"/>
      <c r="H73" s="597" t="n"/>
      <c r="I73" s="597" t="n"/>
      <c r="J73" s="597" t="n"/>
      <c r="K73" s="597" t="n"/>
      <c r="L73" s="597" t="n"/>
      <c r="M73" s="597" t="n"/>
      <c r="N73" s="597" t="n"/>
      <c r="O73" s="597" t="n"/>
    </row>
    <row r="74">
      <c r="A74" s="597" t="n"/>
      <c r="B74" s="597" t="n"/>
      <c r="C74" s="597" t="n"/>
      <c r="D74" s="597" t="n"/>
      <c r="E74" s="597" t="n"/>
      <c r="F74" s="597" t="n"/>
      <c r="G74" s="597" t="n"/>
      <c r="H74" s="597" t="n"/>
      <c r="I74" s="597" t="n"/>
      <c r="J74" s="597" t="n"/>
      <c r="K74" s="597" t="n"/>
      <c r="L74" s="597" t="n"/>
      <c r="M74" s="597" t="n"/>
      <c r="N74" s="597" t="n"/>
      <c r="O74" s="597" t="n"/>
    </row>
    <row r="75">
      <c r="A75" t="inlineStr">
        <is>
          <t>Master Project Register</t>
        </is>
      </c>
      <c r="B75" s="389" t="n"/>
      <c r="Q75" s="707" t="inlineStr">
        <is>
          <t>Ref</t>
        </is>
      </c>
    </row>
    <row r="76" ht="41.4" customHeight="1" s="632">
      <c r="A76" s="55" t="inlineStr">
        <is>
          <t>Project ID</t>
        </is>
      </c>
      <c r="B76" s="38" t="inlineStr">
        <is>
          <t>Company</t>
        </is>
      </c>
      <c r="C76" s="38" t="inlineStr">
        <is>
          <t>Project / Asset</t>
        </is>
      </c>
      <c r="D76" s="38" t="inlineStr">
        <is>
          <t>State / Country</t>
        </is>
      </c>
      <c r="E76" s="38" t="inlineStr">
        <is>
          <t>Type</t>
        </is>
      </c>
      <c r="F76" s="26" t="inlineStr">
        <is>
          <t>Capacity Added (Mtpa)</t>
        </is>
      </c>
      <c r="G76" s="38" t="inlineStr">
        <is>
          <t>Capacity Definition</t>
        </is>
      </c>
      <c r="H76" s="38" t="inlineStr">
        <is>
          <t>Status At Cutoff</t>
        </is>
      </c>
      <c r="I76" s="39" t="inlineStr">
        <is>
          <t>Expected Commissioning FY</t>
        </is>
      </c>
      <c r="J76" s="39" t="inlineStr">
        <is>
          <t>Capex (Rs cr)</t>
        </is>
      </c>
      <c r="K76" s="39" t="inlineStr">
        <is>
          <t>Implied Capex (Rs/t)</t>
        </is>
      </c>
      <c r="L76" s="38" t="inlineStr">
        <is>
          <t>Included In Forecast?</t>
        </is>
      </c>
      <c r="M76" s="39" t="inlineStr">
        <is>
          <t>Source ID</t>
        </is>
      </c>
      <c r="N76" s="39" t="inlineStr">
        <is>
          <t>Confidence</t>
        </is>
      </c>
      <c r="O76" s="40" t="inlineStr">
        <is>
          <t>Notes</t>
        </is>
      </c>
      <c r="Q76" s="708" t="inlineStr">
        <is>
          <t>CT04</t>
        </is>
      </c>
    </row>
    <row r="77" ht="48" customHeight="1" s="632">
      <c r="A77" s="103" t="inlineStr">
        <is>
          <t>P01</t>
        </is>
      </c>
      <c r="B77" s="104" t="inlineStr">
        <is>
          <t>Tata Steel</t>
        </is>
      </c>
      <c r="C77" s="104" t="inlineStr">
        <is>
          <t>Ludhiana scrap-based EAF</t>
        </is>
      </c>
      <c r="D77" s="104" t="inlineStr">
        <is>
          <t>Punjab</t>
        </is>
      </c>
      <c r="E77" s="104" t="inlineStr">
        <is>
          <t>Brownfield EAF</t>
        </is>
      </c>
      <c r="F77" s="981" t="n">
        <v>0.75</v>
      </c>
      <c r="G77" s="104" t="inlineStr">
        <is>
          <t>Crude steel</t>
        </is>
      </c>
      <c r="H77" s="104" t="inlineStr">
        <is>
          <t>Commissioned Mar-2026</t>
        </is>
      </c>
      <c r="I77" s="104" t="inlineStr">
        <is>
          <t>FY2026</t>
        </is>
      </c>
      <c r="J77" s="982" t="n">
        <v>3200</v>
      </c>
      <c r="K77" s="982">
        <f>J77/F77*10000</f>
        <v/>
      </c>
      <c r="L77" s="104" t="inlineStr">
        <is>
          <t>No - already in base</t>
        </is>
      </c>
      <c r="M77" s="114" t="inlineStr">
        <is>
          <t>S08</t>
        </is>
      </c>
      <c r="N77" s="114" t="inlineStr">
        <is>
          <t>High</t>
        </is>
      </c>
      <c r="O77" s="106" t="inlineStr">
        <is>
          <t>Commissioned in Mar-2026 and therefore already inside the FY2026 capacity base of 220.4 Mtpa. Designed for under 0.3 tCO2e per tonne of crude steel, which makes it 5-star green steel under the Taxonomy notified 23-Dec-2024.</t>
        </is>
      </c>
      <c r="Q77" s="708" t="inlineStr">
        <is>
          <t>CT05</t>
        </is>
      </c>
    </row>
    <row r="78" ht="36" customHeight="1" s="632">
      <c r="A78" s="103" t="inlineStr">
        <is>
          <t>P02</t>
        </is>
      </c>
      <c r="B78" s="104" t="inlineStr">
        <is>
          <t>Tata Steel</t>
        </is>
      </c>
      <c r="C78" s="104" t="inlineStr">
        <is>
          <t>NINL expansion</t>
        </is>
      </c>
      <c r="D78" s="104" t="inlineStr">
        <is>
          <t>Odisha</t>
        </is>
      </c>
      <c r="E78" s="104" t="inlineStr">
        <is>
          <t>Brownfield integrated</t>
        </is>
      </c>
      <c r="F78" s="981" t="n">
        <v>4.8</v>
      </c>
      <c r="G78" s="104" t="inlineStr">
        <is>
          <t>Crude steel</t>
        </is>
      </c>
      <c r="H78" s="104" t="inlineStr">
        <is>
          <t>Proposed</t>
        </is>
      </c>
      <c r="I78" s="104" t="inlineStr">
        <is>
          <t>FY2030</t>
        </is>
      </c>
      <c r="J78" s="16" t="n"/>
      <c r="K78" s="16" t="n"/>
      <c r="L78" s="104" t="inlineStr">
        <is>
          <t>Yes</t>
        </is>
      </c>
      <c r="M78" s="114" t="inlineStr">
        <is>
          <t>S08</t>
        </is>
      </c>
      <c r="N78" s="114" t="inlineStr">
        <is>
          <t>Medium</t>
        </is>
      </c>
      <c r="O78" s="106" t="inlineStr">
        <is>
          <t>Described as proposed in the FY2026 results release, so not yet Board-approved capex. Commissioning year is the modeller's estimate based on typical 4-year build.</t>
        </is>
      </c>
      <c r="Q78" s="708" t="inlineStr">
        <is>
          <t>CT06</t>
        </is>
      </c>
    </row>
    <row r="79" ht="48" customHeight="1" s="632">
      <c r="A79" s="103" t="inlineStr">
        <is>
          <t>P03</t>
        </is>
      </c>
      <c r="B79" s="104" t="inlineStr">
        <is>
          <t>Tata Steel</t>
        </is>
      </c>
      <c r="C79" s="104" t="inlineStr">
        <is>
          <t>India roadmap to 40 Mtpa</t>
        </is>
      </c>
      <c r="D79" s="104" t="inlineStr">
        <is>
          <t>India</t>
        </is>
      </c>
      <c r="E79" s="104" t="inlineStr">
        <is>
          <t>Programme</t>
        </is>
      </c>
      <c r="F79" s="981" t="n">
        <v>5</v>
      </c>
      <c r="G79" s="104" t="inlineStr">
        <is>
          <t>Crude steel</t>
        </is>
      </c>
      <c r="H79" s="104" t="inlineStr">
        <is>
          <t>Announced - aspirational</t>
        </is>
      </c>
      <c r="I79" s="104" t="inlineStr">
        <is>
          <t>FY2033</t>
        </is>
      </c>
      <c r="J79" s="16" t="n"/>
      <c r="K79" s="16" t="n"/>
      <c r="L79" s="104" t="inlineStr">
        <is>
          <t>Yes</t>
        </is>
      </c>
      <c r="M79" s="114" t="inlineStr">
        <is>
          <t>S37</t>
        </is>
      </c>
      <c r="N79" s="114" t="inlineStr">
        <is>
          <t>Low</t>
        </is>
      </c>
      <c r="O79" s="106" t="inlineStr">
        <is>
          <t>Tata Steel's Q1FY2027 presentation (31-Jul-2026) sets out an India roadmap to 40 Mtpa. The residual above identified projects is carried at low confidence and is materially reduced by the delivery factor D05.</t>
        </is>
      </c>
      <c r="Q79" s="708" t="inlineStr">
        <is>
          <t>CT07</t>
        </is>
      </c>
    </row>
    <row r="80" ht="36" customHeight="1" s="632">
      <c r="A80" s="103" t="inlineStr">
        <is>
          <t>P04</t>
        </is>
      </c>
      <c r="B80" s="104" t="inlineStr">
        <is>
          <t>JSW Steel</t>
        </is>
      </c>
      <c r="C80" s="104" t="inlineStr">
        <is>
          <t>Vijayanagar BF-3 expansion 3.0 to 4.5 Mtpa</t>
        </is>
      </c>
      <c r="D80" s="104" t="inlineStr">
        <is>
          <t>Karnataka</t>
        </is>
      </c>
      <c r="E80" s="104" t="inlineStr">
        <is>
          <t>Brownfield BF</t>
        </is>
      </c>
      <c r="F80" s="981" t="n">
        <v>1.5</v>
      </c>
      <c r="G80" s="104" t="inlineStr">
        <is>
          <t>Crude steel</t>
        </is>
      </c>
      <c r="H80" s="104" t="inlineStr">
        <is>
          <t>Under testing and commissioning</t>
        </is>
      </c>
      <c r="I80" s="104" t="inlineStr">
        <is>
          <t>FY2027</t>
        </is>
      </c>
      <c r="J80" s="16" t="n"/>
      <c r="K80" s="16" t="n"/>
      <c r="L80" s="104" t="inlineStr">
        <is>
          <t>Yes</t>
        </is>
      </c>
      <c r="M80" s="114" t="inlineStr">
        <is>
          <t>S09</t>
        </is>
      </c>
      <c r="N80" s="114" t="inlineStr">
        <is>
          <t>High</t>
        </is>
      </c>
      <c r="O80" s="106" t="inlineStr">
        <is>
          <t>Was under testing at FY2026 year-end and excluded from the FY2026 utilisation calculation, so it is genuinely incremental to the base.</t>
        </is>
      </c>
      <c r="Q80" s="708" t="inlineStr">
        <is>
          <t>CT08</t>
        </is>
      </c>
    </row>
    <row r="81" ht="36" customHeight="1" s="632">
      <c r="A81" s="103" t="inlineStr">
        <is>
          <t>P05</t>
        </is>
      </c>
      <c r="B81" s="104" t="inlineStr">
        <is>
          <t>JSW Steel</t>
        </is>
      </c>
      <c r="C81" s="104" t="inlineStr">
        <is>
          <t>JVML-Vijayanagar brownfield expansion</t>
        </is>
      </c>
      <c r="D81" s="104" t="inlineStr">
        <is>
          <t>Karnataka</t>
        </is>
      </c>
      <c r="E81" s="104" t="inlineStr">
        <is>
          <t>Brownfield integrated</t>
        </is>
      </c>
      <c r="F81" s="981" t="n">
        <v>5</v>
      </c>
      <c r="G81" s="104" t="inlineStr">
        <is>
          <t>Crude steel</t>
        </is>
      </c>
      <c r="H81" s="104" t="inlineStr">
        <is>
          <t>Board approved</t>
        </is>
      </c>
      <c r="I81" s="104" t="inlineStr">
        <is>
          <t>FY2030</t>
        </is>
      </c>
      <c r="J81" s="982" t="n">
        <v>26000</v>
      </c>
      <c r="K81" s="982">
        <f>J81/F81*10000</f>
        <v/>
      </c>
      <c r="L81" s="104" t="inlineStr">
        <is>
          <t>Yes</t>
        </is>
      </c>
      <c r="M81" s="114" t="inlineStr">
        <is>
          <t>S09</t>
        </is>
      </c>
      <c r="N81" s="114" t="inlineStr">
        <is>
          <t>High</t>
        </is>
      </c>
      <c r="O81" s="106" t="inlineStr">
        <is>
          <t>Board approved. Rs 26,000 cr for 5 Mtpa gives Rs 52,000 per tonne, the cleanest brownfield capex-intensity datapoint available and the primary calibration for D16.</t>
        </is>
      </c>
      <c r="Q81" s="708" t="inlineStr">
        <is>
          <t>CT09</t>
        </is>
      </c>
    </row>
    <row r="82" ht="120" customHeight="1" s="632">
      <c r="A82" s="103" t="inlineStr">
        <is>
          <t>P06</t>
        </is>
      </c>
      <c r="B82" s="104" t="inlineStr">
        <is>
          <t>JSW Steel</t>
        </is>
      </c>
      <c r="C82" s="104" t="inlineStr">
        <is>
          <t>BMM Ispat acquisition</t>
        </is>
      </c>
      <c r="D82" s="104" t="inlineStr">
        <is>
          <t>Karnataka</t>
        </is>
      </c>
      <c r="E82" s="104" t="inlineStr">
        <is>
          <t>Acquisition</t>
        </is>
      </c>
      <c r="F82" s="981" t="n">
        <v>0.9</v>
      </c>
      <c r="G82" s="104" t="inlineStr">
        <is>
          <t>Crude steel</t>
        </is>
      </c>
      <c r="H82" s="104" t="inlineStr">
        <is>
          <t>Board approved</t>
        </is>
      </c>
      <c r="I82" s="104" t="inlineStr">
        <is>
          <t>FY2027</t>
        </is>
      </c>
      <c r="J82" s="16" t="n"/>
      <c r="K82" s="16" t="n"/>
      <c r="L82" s="104" t="inlineStr">
        <is>
          <t>No - acquisition, not new national capacity</t>
        </is>
      </c>
      <c r="M82" s="114" t="inlineStr">
        <is>
          <t>S09</t>
        </is>
      </c>
      <c r="N82" s="114" t="inlineStr">
        <is>
          <t>High</t>
        </is>
      </c>
      <c r="O82" s="106" t="inlineStr">
        <is>
          <t>Acquisition of existing operating capacity, so it adds to JSW Steel's own capacity and volume but adds NOTHING to India's national capacity - those tonnes are already in the 220.4 Mtpa FY2026 base. Correctly excluded from the industry capacity build. This is a standard trap: summing company announcements without stripping out acquisitions double-counts national capacity. JSW's FY2027 guidance explicitly includes BMM Ispat production of 0.75 Mt and sales of 0.70 Mt, so it IS included in the company-level volume build on sheet 12.</t>
        </is>
      </c>
      <c r="Q82" s="708" t="inlineStr">
        <is>
          <t>CT10</t>
        </is>
      </c>
    </row>
    <row r="83" ht="60" customHeight="1" s="632">
      <c r="A83" s="103" t="inlineStr">
        <is>
          <t>P07</t>
        </is>
      </c>
      <c r="B83" s="104" t="inlineStr">
        <is>
          <t>JSW Steel / POSCO</t>
        </is>
      </c>
      <c r="C83" s="104" t="inlineStr">
        <is>
          <t>Greenfield integrated plant, 50:50 JV</t>
        </is>
      </c>
      <c r="D83" s="104" t="inlineStr">
        <is>
          <t>Odisha</t>
        </is>
      </c>
      <c r="E83" s="104" t="inlineStr">
        <is>
          <t>Greenfield JV</t>
        </is>
      </c>
      <c r="F83" s="981" t="n">
        <v>6</v>
      </c>
      <c r="G83" s="104" t="inlineStr">
        <is>
          <t>Crude steel</t>
        </is>
      </c>
      <c r="H83" s="104" t="inlineStr">
        <is>
          <t>Announced Apr-2026</t>
        </is>
      </c>
      <c r="I83" s="104" t="inlineStr">
        <is>
          <t>FY2031</t>
        </is>
      </c>
      <c r="J83" s="16" t="n"/>
      <c r="K83" s="16" t="n"/>
      <c r="L83" s="104" t="inlineStr">
        <is>
          <t>Yes</t>
        </is>
      </c>
      <c r="M83" s="114" t="inlineStr">
        <is>
          <t>S09</t>
        </is>
      </c>
      <c r="N83" s="114" t="inlineStr">
        <is>
          <t>Medium</t>
        </is>
      </c>
      <c r="O83" s="106" t="inlineStr">
        <is>
          <t>50:50 joint venture announced Apr-2026 targeting commissioning by 2031. This is the single most distant dated project in the pipeline and is the reason the announced pipeline terminates in FY2031, which in turn drives the horizon selection.</t>
        </is>
      </c>
      <c r="Q83" s="708" t="inlineStr">
        <is>
          <t>CT11</t>
        </is>
      </c>
    </row>
    <row r="84" ht="36" customHeight="1" s="632">
      <c r="A84" s="103" t="inlineStr">
        <is>
          <t>P08</t>
        </is>
      </c>
      <c r="B84" s="104" t="inlineStr">
        <is>
          <t>SAIL</t>
        </is>
      </c>
      <c r="C84" s="104" t="inlineStr">
        <is>
          <t>IISCO Steel Plant greenfield expansion</t>
        </is>
      </c>
      <c r="D84" s="104" t="inlineStr">
        <is>
          <t>West Bengal</t>
        </is>
      </c>
      <c r="E84" s="104" t="inlineStr">
        <is>
          <t>Greenfield</t>
        </is>
      </c>
      <c r="F84" s="981" t="n">
        <v>4.08</v>
      </c>
      <c r="G84" s="104" t="inlineStr">
        <is>
          <t>Crude steel</t>
        </is>
      </c>
      <c r="H84" s="104" t="inlineStr">
        <is>
          <t>Board approved</t>
        </is>
      </c>
      <c r="I84" s="104" t="inlineStr">
        <is>
          <t>FY2031</t>
        </is>
      </c>
      <c r="J84" s="16" t="n"/>
      <c r="K84" s="16" t="n"/>
      <c r="L84" s="104" t="inlineStr">
        <is>
          <t>Yes</t>
        </is>
      </c>
      <c r="M84" s="114" t="inlineStr">
        <is>
          <t>S26</t>
        </is>
      </c>
      <c r="N84" s="114" t="inlineStr">
        <is>
          <t>High</t>
        </is>
      </c>
      <c r="O84" s="106" t="inlineStr">
        <is>
          <t>Board approved per Ministry of Steel, Rajya Sabha USQ 3982 answered 27-Mar-2026. IISCO averaged 91.6% utilisation over FY2021-FY2025 on 2.5 Mtpa.</t>
        </is>
      </c>
      <c r="Q84" s="708" t="inlineStr">
        <is>
          <t>CT12</t>
        </is>
      </c>
    </row>
    <row r="85" ht="36" customHeight="1" s="632">
      <c r="A85" s="103" t="inlineStr">
        <is>
          <t>P09</t>
        </is>
      </c>
      <c r="B85" s="104" t="inlineStr">
        <is>
          <t>SAIL</t>
        </is>
      </c>
      <c r="C85" s="104" t="inlineStr">
        <is>
          <t>Bokaro Steel Plant brownfield expansion</t>
        </is>
      </c>
      <c r="D85" s="104" t="inlineStr">
        <is>
          <t>Jharkhand</t>
        </is>
      </c>
      <c r="E85" s="104" t="inlineStr">
        <is>
          <t>Brownfield</t>
        </is>
      </c>
      <c r="F85" s="981" t="n">
        <v>2.65</v>
      </c>
      <c r="G85" s="104" t="inlineStr">
        <is>
          <t>Crude steel</t>
        </is>
      </c>
      <c r="H85" s="104" t="inlineStr">
        <is>
          <t>Board approved</t>
        </is>
      </c>
      <c r="I85" s="104" t="inlineStr">
        <is>
          <t>FY2030</t>
        </is>
      </c>
      <c r="J85" s="16" t="n"/>
      <c r="K85" s="16" t="n"/>
      <c r="L85" s="104" t="inlineStr">
        <is>
          <t>Yes</t>
        </is>
      </c>
      <c r="M85" s="114" t="inlineStr">
        <is>
          <t>S26</t>
        </is>
      </c>
      <c r="N85" s="114" t="inlineStr">
        <is>
          <t>High</t>
        </is>
      </c>
      <c r="O85" s="106" t="inlineStr">
        <is>
          <t>Board approved per the same Parliamentary answer. Bokaro averaged 87.8% utilisation on 4.6 Mtpa, so there is headroom in the existing asset as well.</t>
        </is>
      </c>
      <c r="Q85" s="708" t="inlineStr">
        <is>
          <t>CT13</t>
        </is>
      </c>
    </row>
    <row r="86" ht="36" customHeight="1" s="632">
      <c r="A86" s="103" t="inlineStr">
        <is>
          <t>P10</t>
        </is>
      </c>
      <c r="B86" s="104" t="inlineStr">
        <is>
          <t>SAIL</t>
        </is>
      </c>
      <c r="C86" s="104" t="inlineStr">
        <is>
          <t>Durgapur Steel Plant brownfield expansion</t>
        </is>
      </c>
      <c r="D86" s="104" t="inlineStr">
        <is>
          <t>West Bengal</t>
        </is>
      </c>
      <c r="E86" s="104" t="inlineStr">
        <is>
          <t>Brownfield</t>
        </is>
      </c>
      <c r="F86" s="981" t="n">
        <v>0.89</v>
      </c>
      <c r="G86" s="104" t="inlineStr">
        <is>
          <t>Crude steel</t>
        </is>
      </c>
      <c r="H86" s="104" t="inlineStr">
        <is>
          <t>Board approved</t>
        </is>
      </c>
      <c r="I86" s="104" t="inlineStr">
        <is>
          <t>FY2029</t>
        </is>
      </c>
      <c r="J86" s="16" t="n"/>
      <c r="K86" s="16" t="n"/>
      <c r="L86" s="104" t="inlineStr">
        <is>
          <t>Yes</t>
        </is>
      </c>
      <c r="M86" s="114" t="inlineStr">
        <is>
          <t>S26</t>
        </is>
      </c>
      <c r="N86" s="114" t="inlineStr">
        <is>
          <t>High</t>
        </is>
      </c>
      <c r="O86" s="106" t="inlineStr">
        <is>
          <t>Board approved. Durgapur already averaged 101.6% utilisation on 2.2 Mtpa over FY2021-FY2025, i.e. it is running above nameplate and the expansion is debottlenecking.</t>
        </is>
      </c>
      <c r="Q86" s="708" t="inlineStr">
        <is>
          <t>CT14</t>
        </is>
      </c>
    </row>
    <row r="87" ht="60" customHeight="1" s="632">
      <c r="A87" s="103" t="inlineStr">
        <is>
          <t>P11</t>
        </is>
      </c>
      <c r="B87" s="104" t="inlineStr">
        <is>
          <t>SAIL</t>
        </is>
      </c>
      <c r="C87" s="104" t="inlineStr">
        <is>
          <t>Residual ambition to ~35 Mt by FY2031</t>
        </is>
      </c>
      <c r="D87" s="104" t="inlineStr">
        <is>
          <t>India</t>
        </is>
      </c>
      <c r="E87" s="104" t="inlineStr">
        <is>
          <t>Programme</t>
        </is>
      </c>
      <c r="F87" s="981" t="n">
        <v>8</v>
      </c>
      <c r="G87" s="104" t="inlineStr">
        <is>
          <t>Crude steel</t>
        </is>
      </c>
      <c r="H87" s="104" t="inlineStr">
        <is>
          <t>Announced - aspirational</t>
        </is>
      </c>
      <c r="I87" s="104" t="inlineStr">
        <is>
          <t>FY2033</t>
        </is>
      </c>
      <c r="J87" s="16" t="n"/>
      <c r="K87" s="16" t="n"/>
      <c r="L87" s="104" t="inlineStr">
        <is>
          <t>Yes</t>
        </is>
      </c>
      <c r="M87" s="114" t="inlineStr">
        <is>
          <t>S47</t>
        </is>
      </c>
      <c r="N87" s="114" t="inlineStr">
        <is>
          <t>Low</t>
        </is>
      </c>
      <c r="O87" s="106" t="inlineStr">
        <is>
          <t>SAIL has publicly targeted roughly 35 Mt by FY2031 against 19.676 Mtpa today at an indicated roughly Rs 1 lakh crore outlay. Board-approved tranches total only 7.62 Mtpa, so about 8 Mtpa of the ambition is unapproved and is carried at low confidence.</t>
        </is>
      </c>
      <c r="Q87" s="708" t="inlineStr">
        <is>
          <t>CT15</t>
        </is>
      </c>
    </row>
    <row r="88" ht="27.6" customHeight="1" s="632">
      <c r="A88" s="103" t="inlineStr">
        <is>
          <t>P12</t>
        </is>
      </c>
      <c r="B88" s="104" t="inlineStr">
        <is>
          <t>AM/NS India</t>
        </is>
      </c>
      <c r="C88" s="104" t="inlineStr">
        <is>
          <t>Hazira expansion 9 to 15 Mtpa</t>
        </is>
      </c>
      <c r="D88" s="104" t="inlineStr">
        <is>
          <t>Gujarat</t>
        </is>
      </c>
      <c r="E88" s="104" t="inlineStr">
        <is>
          <t>Brownfield integrated</t>
        </is>
      </c>
      <c r="F88" s="981" t="n">
        <v>6</v>
      </c>
      <c r="G88" s="104" t="inlineStr">
        <is>
          <t>Crude steel</t>
        </is>
      </c>
      <c r="H88" s="104" t="inlineStr">
        <is>
          <t>Under implementation</t>
        </is>
      </c>
      <c r="I88" s="104" t="inlineStr">
        <is>
          <t>FY2029</t>
        </is>
      </c>
      <c r="J88" s="16" t="n"/>
      <c r="K88" s="16" t="n"/>
      <c r="L88" s="104" t="inlineStr">
        <is>
          <t>Yes</t>
        </is>
      </c>
      <c r="M88" s="114" t="inlineStr">
        <is>
          <t>S13</t>
        </is>
      </c>
      <c r="N88" s="114" t="inlineStr">
        <is>
          <t>High</t>
        </is>
      </c>
      <c r="O88" s="106" t="inlineStr">
        <is>
          <t>Under implementation. The largest single brownfield addition in the pipeline.</t>
        </is>
      </c>
      <c r="Q88" s="708" t="inlineStr">
        <is>
          <t>CT16</t>
        </is>
      </c>
    </row>
    <row r="89" ht="36" customHeight="1" s="632">
      <c r="A89" s="103" t="inlineStr">
        <is>
          <t>P13</t>
        </is>
      </c>
      <c r="B89" s="104" t="inlineStr">
        <is>
          <t>AM/NS India</t>
        </is>
      </c>
      <c r="C89" s="104" t="inlineStr">
        <is>
          <t>Rajayyapeta greenfield, Phase 1</t>
        </is>
      </c>
      <c r="D89" s="104" t="inlineStr">
        <is>
          <t>Andhra Pradesh</t>
        </is>
      </c>
      <c r="E89" s="104" t="inlineStr">
        <is>
          <t>Greenfield</t>
        </is>
      </c>
      <c r="F89" s="981" t="n">
        <v>8.199999999999999</v>
      </c>
      <c r="G89" s="104" t="inlineStr">
        <is>
          <t>Crude steel</t>
        </is>
      </c>
      <c r="H89" s="104" t="inlineStr">
        <is>
          <t>Announced 23-Mar-2026</t>
        </is>
      </c>
      <c r="I89" s="104" t="inlineStr">
        <is>
          <t>FY2032</t>
        </is>
      </c>
      <c r="J89" s="16" t="n"/>
      <c r="K89" s="16" t="n"/>
      <c r="L89" s="104" t="inlineStr">
        <is>
          <t>Yes</t>
        </is>
      </c>
      <c r="M89" s="114" t="inlineStr">
        <is>
          <t>S14</t>
        </is>
      </c>
      <c r="N89" s="114" t="inlineStr">
        <is>
          <t>Medium</t>
        </is>
      </c>
      <c r="O89" s="106" t="inlineStr">
        <is>
          <t>Announced 23-Mar-2026 as a low-cost, highly efficient coastal asset. Phase 1 of 8.2 Mtpa. Greenfield of this scale in India has historically taken 5 to 7 years.</t>
        </is>
      </c>
      <c r="Q89" s="708" t="inlineStr">
        <is>
          <t>CT17</t>
        </is>
      </c>
    </row>
    <row r="90" ht="48" customHeight="1" s="632">
      <c r="A90" s="103" t="inlineStr">
        <is>
          <t>P14</t>
        </is>
      </c>
      <c r="B90" s="104" t="inlineStr">
        <is>
          <t>AM/NS India</t>
        </is>
      </c>
      <c r="C90" s="104" t="inlineStr">
        <is>
          <t>Hazira further expansion to 24 Mtpa</t>
        </is>
      </c>
      <c r="D90" s="104" t="inlineStr">
        <is>
          <t>Gujarat</t>
        </is>
      </c>
      <c r="E90" s="104" t="inlineStr">
        <is>
          <t>Brownfield</t>
        </is>
      </c>
      <c r="F90" s="981" t="n">
        <v>9</v>
      </c>
      <c r="G90" s="104" t="inlineStr">
        <is>
          <t>Crude steel</t>
        </is>
      </c>
      <c r="H90" s="104" t="inlineStr">
        <is>
          <t>Detailed engineering under way</t>
        </is>
      </c>
      <c r="I90" s="104" t="inlineStr">
        <is>
          <t>Beyond FY2033</t>
        </is>
      </c>
      <c r="J90" s="16" t="n"/>
      <c r="K90" s="16" t="n"/>
      <c r="L90" s="104" t="inlineStr">
        <is>
          <t>No - beyond horizon</t>
        </is>
      </c>
      <c r="M90" s="114" t="inlineStr">
        <is>
          <t>S13</t>
        </is>
      </c>
      <c r="N90" s="114" t="inlineStr">
        <is>
          <t>Low</t>
        </is>
      </c>
      <c r="O90" s="106" t="inlineStr">
        <is>
          <t>Detailed engineering only. Falls outside the FY2033 horizon and is therefore excluded from the capacity build. Retained in the tracker for completeness and for terminal-value context.</t>
        </is>
      </c>
      <c r="Q90" s="708" t="inlineStr">
        <is>
          <t>CT18</t>
        </is>
      </c>
    </row>
    <row r="91" ht="48" customHeight="1" s="632">
      <c r="A91" s="103" t="inlineStr">
        <is>
          <t>P15</t>
        </is>
      </c>
      <c r="B91" s="104" t="inlineStr">
        <is>
          <t>Jindal Steel</t>
        </is>
      </c>
      <c r="C91" s="104" t="inlineStr">
        <is>
          <t>Angul expansion 6.0 to 12.0 Mtpa</t>
        </is>
      </c>
      <c r="D91" s="104" t="inlineStr">
        <is>
          <t>Odisha</t>
        </is>
      </c>
      <c r="E91" s="104" t="inlineStr">
        <is>
          <t>Brownfield integrated</t>
        </is>
      </c>
      <c r="F91" s="981" t="n">
        <v>6</v>
      </c>
      <c r="G91" s="104" t="inlineStr">
        <is>
          <t>Crude steel</t>
        </is>
      </c>
      <c r="H91" s="104" t="inlineStr">
        <is>
          <t>Completed in FY2026</t>
        </is>
      </c>
      <c r="I91" s="104" t="inlineStr">
        <is>
          <t>FY2026</t>
        </is>
      </c>
      <c r="J91" s="16" t="n"/>
      <c r="K91" s="16" t="n"/>
      <c r="L91" s="104" t="inlineStr">
        <is>
          <t>No - already in base</t>
        </is>
      </c>
      <c r="M91" s="114" t="inlineStr">
        <is>
          <t>S11</t>
        </is>
      </c>
      <c r="N91" s="114" t="inlineStr">
        <is>
          <t>High</t>
        </is>
      </c>
      <c r="O91" s="106" t="inlineStr">
        <is>
          <t>Completed during FY2026, taking group steelmaking capacity from 9.6 to 15.6 Mtpa. Already inside the FY2026 capacity base. Ironmaking capacity is being raised by a further 6.6 Mtpa with elements still under construction.</t>
        </is>
      </c>
      <c r="Q91" s="708" t="inlineStr">
        <is>
          <t>CT19</t>
        </is>
      </c>
    </row>
    <row r="92" ht="55.2" customHeight="1" s="632">
      <c r="A92" s="103" t="inlineStr">
        <is>
          <t>P16</t>
        </is>
      </c>
      <c r="B92" s="104" t="inlineStr">
        <is>
          <t>Jindal Stainless</t>
        </is>
      </c>
      <c r="C92" s="104" t="inlineStr">
        <is>
          <t>Indonesia stainless melt shop</t>
        </is>
      </c>
      <c r="D92" s="104" t="inlineStr">
        <is>
          <t>Indonesia</t>
        </is>
      </c>
      <c r="E92" s="104" t="inlineStr">
        <is>
          <t>Greenfield</t>
        </is>
      </c>
      <c r="F92" s="981" t="n">
        <v>1.2</v>
      </c>
      <c r="G92" s="104" t="inlineStr">
        <is>
          <t>Stainless melt</t>
        </is>
      </c>
      <c r="H92" s="104" t="inlineStr">
        <is>
          <t>Commissioned in FY2026</t>
        </is>
      </c>
      <c r="I92" s="104" t="inlineStr">
        <is>
          <t>FY2026</t>
        </is>
      </c>
      <c r="J92" s="16" t="n"/>
      <c r="K92" s="16" t="n"/>
      <c r="L92" s="104" t="inlineStr">
        <is>
          <t>No - outside India and in base</t>
        </is>
      </c>
      <c r="M92" s="114" t="inlineStr">
        <is>
          <t>S12</t>
        </is>
      </c>
      <c r="N92" s="114" t="inlineStr">
        <is>
          <t>High</t>
        </is>
      </c>
      <c r="O92" s="106" t="inlineStr">
        <is>
          <t>Commissioned ahead of schedule in FY2026, taking group melt capacity to 4.2 Mtpa. OUTSIDE INDIA, so excluded from the India capacity build.</t>
        </is>
      </c>
      <c r="Q92" s="708" t="inlineStr">
        <is>
          <t>CT20</t>
        </is>
      </c>
    </row>
    <row r="93" ht="55.2" customHeight="1" s="632">
      <c r="A93" s="103" t="inlineStr">
        <is>
          <t>P17</t>
        </is>
      </c>
      <c r="B93" s="104" t="inlineStr">
        <is>
          <t>Jindal Stainless</t>
        </is>
      </c>
      <c r="C93" s="104" t="inlineStr">
        <is>
          <t>Jajpur HRAP and CRAP downstream lines</t>
        </is>
      </c>
      <c r="D93" s="104" t="inlineStr">
        <is>
          <t>Odisha</t>
        </is>
      </c>
      <c r="E93" s="104" t="inlineStr">
        <is>
          <t>Downstream</t>
        </is>
      </c>
      <c r="F93" s="981" t="n">
        <v>1.27</v>
      </c>
      <c r="G93" s="104" t="inlineStr">
        <is>
          <t>Downstream processing</t>
        </is>
      </c>
      <c r="H93" s="104" t="inlineStr">
        <is>
          <t>Upcoming</t>
        </is>
      </c>
      <c r="I93" s="104" t="inlineStr">
        <is>
          <t>FY2028</t>
        </is>
      </c>
      <c r="J93" s="16" t="n"/>
      <c r="K93" s="16" t="n"/>
      <c r="L93" s="104" t="inlineStr">
        <is>
          <t>No - downstream, not melt</t>
        </is>
      </c>
      <c r="M93" s="114" t="inlineStr">
        <is>
          <t>S12</t>
        </is>
      </c>
      <c r="N93" s="114" t="inlineStr">
        <is>
          <t>High</t>
        </is>
      </c>
      <c r="O93" s="106" t="inlineStr">
        <is>
          <t>1.1 Mtpa HRAP plus 0.17 Mtpa CRAP. DOWNSTREAM PROCESSING, not melt capacity, so it must not be added to crude steel capacity. Included in the tracker because it drives mix and realisation, not tonnage.</t>
        </is>
      </c>
      <c r="Q93" s="708" t="inlineStr">
        <is>
          <t>CT21</t>
        </is>
      </c>
    </row>
    <row r="94" ht="55.2" customHeight="1" s="632">
      <c r="A94" s="103" t="inlineStr">
        <is>
          <t>P18</t>
        </is>
      </c>
      <c r="B94" s="104" t="inlineStr">
        <is>
          <t>Jindal Stainless</t>
        </is>
      </c>
      <c r="C94" s="104" t="inlineStr">
        <is>
          <t>Hisar and Kharagpur cold rolling augmentation</t>
        </is>
      </c>
      <c r="D94" s="104" t="inlineStr">
        <is>
          <t>Haryana / West Bengal</t>
        </is>
      </c>
      <c r="E94" s="104" t="inlineStr">
        <is>
          <t>Downstream</t>
        </is>
      </c>
      <c r="F94" s="112" t="n"/>
      <c r="G94" s="104" t="inlineStr">
        <is>
          <t>Downstream processing</t>
        </is>
      </c>
      <c r="H94" s="104" t="inlineStr">
        <is>
          <t>Announced - Rs 900 cr committed</t>
        </is>
      </c>
      <c r="I94" s="104" t="inlineStr">
        <is>
          <t>FY2028</t>
        </is>
      </c>
      <c r="J94" s="982" t="n">
        <v>900</v>
      </c>
      <c r="K94" s="16" t="n"/>
      <c r="L94" s="104" t="inlineStr">
        <is>
          <t>No - downstream, not melt</t>
        </is>
      </c>
      <c r="M94" s="114" t="inlineStr">
        <is>
          <t>S12</t>
        </is>
      </c>
      <c r="N94" s="114" t="inlineStr">
        <is>
          <t>High</t>
        </is>
      </c>
      <c r="O94" s="106" t="inlineStr">
        <is>
          <t>Takes CRAP capacity to 2.67 Mtpa by FY2028. Downstream only.</t>
        </is>
      </c>
      <c r="Q94" s="708" t="inlineStr">
        <is>
          <t>CT22</t>
        </is>
      </c>
    </row>
    <row r="95" ht="36" customHeight="1" s="632">
      <c r="A95" s="103" t="inlineStr">
        <is>
          <t>P19</t>
        </is>
      </c>
      <c r="B95" s="104" t="inlineStr">
        <is>
          <t>Electrosteel / ESL</t>
        </is>
      </c>
      <c r="C95" s="104" t="inlineStr">
        <is>
          <t>Bokaro capacity doubling</t>
        </is>
      </c>
      <c r="D95" s="104" t="inlineStr">
        <is>
          <t>Jharkhand</t>
        </is>
      </c>
      <c r="E95" s="104" t="inlineStr">
        <is>
          <t>Brownfield</t>
        </is>
      </c>
      <c r="F95" s="981" t="n">
        <v>1.5</v>
      </c>
      <c r="G95" s="104" t="inlineStr">
        <is>
          <t>Crude steel</t>
        </is>
      </c>
      <c r="H95" s="104" t="inlineStr">
        <is>
          <t>Announced by parent</t>
        </is>
      </c>
      <c r="I95" s="104" t="inlineStr">
        <is>
          <t>FY2027</t>
        </is>
      </c>
      <c r="J95" s="16" t="n"/>
      <c r="K95" s="16" t="n"/>
      <c r="L95" s="104" t="inlineStr">
        <is>
          <t>Yes</t>
        </is>
      </c>
      <c r="M95" s="114" t="inlineStr">
        <is>
          <t>S43</t>
        </is>
      </c>
      <c r="N95" s="114" t="inlineStr">
        <is>
          <t>Low</t>
        </is>
      </c>
      <c r="O95" s="106" t="inlineStr">
        <is>
          <t>Vedanta targeting a doubling of Bokaro from 1.5 to 3.0 Mtpa by end-CY2026. Rests on a single secondary source and is carried at low confidence.</t>
        </is>
      </c>
      <c r="Q95" s="708" t="inlineStr">
        <is>
          <t>CT23</t>
        </is>
      </c>
    </row>
    <row r="96" ht="72" customHeight="1" s="632">
      <c r="A96" s="107" t="inlineStr">
        <is>
          <t>P20</t>
        </is>
      </c>
      <c r="B96" s="108" t="inlineStr">
        <is>
          <t>NMDC Steel</t>
        </is>
      </c>
      <c r="C96" s="108" t="inlineStr">
        <is>
          <t>Nagarnar ramp-up to nameplate</t>
        </is>
      </c>
      <c r="D96" s="108" t="inlineStr">
        <is>
          <t>Chhattisgarh</t>
        </is>
      </c>
      <c r="E96" s="108" t="inlineStr">
        <is>
          <t>Ramp-up</t>
        </is>
      </c>
      <c r="F96" s="113" t="n"/>
      <c r="G96" s="108" t="inlineStr">
        <is>
          <t>Crude steel</t>
        </is>
      </c>
      <c r="H96" s="108" t="inlineStr">
        <is>
          <t>Ramping</t>
        </is>
      </c>
      <c r="I96" s="108" t="inlineStr">
        <is>
          <t>FY2028</t>
        </is>
      </c>
      <c r="J96" s="109" t="n"/>
      <c r="K96" s="109" t="n"/>
      <c r="L96" s="108" t="inlineStr">
        <is>
          <t>No - utilisation, not capacity</t>
        </is>
      </c>
      <c r="M96" s="115" t="inlineStr">
        <is>
          <t>S01</t>
        </is>
      </c>
      <c r="N96" s="115" t="inlineStr">
        <is>
          <t>High</t>
        </is>
      </c>
      <c r="O96" s="110" t="inlineStr">
        <is>
          <t>The 3 Mtpa plant produced 2.382 Mt in FY2026, up 61.9%. The remaining roughly 0.6 Mt is a UTILISATION gain within existing capacity, not new capacity, and is captured through the utilisation forecast rather than the capacity build. Included here because it is one of the two empirical ramp-rate observations underpinning the horizon choice.</t>
        </is>
      </c>
      <c r="Q96" s="708" t="inlineStr">
        <is>
          <t>CT24</t>
        </is>
      </c>
    </row>
    <row r="97"/>
    <row r="98">
      <c r="A98" s="330" t="inlineStr">
        <is>
          <t>SUMMARY - GROSS ANNOUNCED INDIA CRUDE STEEL ADDITIONS BY YEAR (live SUMIFS)</t>
        </is>
      </c>
      <c r="Q98" s="707" t="inlineStr">
        <is>
          <t>Ref</t>
        </is>
      </c>
    </row>
    <row r="99">
      <c r="A99" s="389" t="inlineStr">
        <is>
          <t>Included projects only</t>
        </is>
      </c>
      <c r="C99" s="389" t="inlineStr">
        <is>
          <t>Mtpa</t>
        </is>
      </c>
      <c r="E99" s="983">
        <f>SUMIFS($F$77:$F$96,$I$77:$I$96,"FY2027",$L$77:$L$96,"Yes")</f>
        <v/>
      </c>
      <c r="F99" s="983">
        <f>SUMIFS($F$77:$F$96,$I$77:$I$96,"FY2028",$L$77:$L$96,"Yes")</f>
        <v/>
      </c>
      <c r="G99" s="983">
        <f>SUMIFS($F$77:$F$96,$I$77:$I$96,"FY2029",$L$77:$L$96,"Yes")</f>
        <v/>
      </c>
      <c r="H99" s="983">
        <f>SUMIFS($F$77:$F$96,$I$77:$I$96,"FY2030",$L$77:$L$96,"Yes")</f>
        <v/>
      </c>
      <c r="I99" s="983">
        <f>SUMIFS($F$77:$F$96,$I$77:$I$96,"FY2031",$L$77:$L$96,"Yes")</f>
        <v/>
      </c>
      <c r="J99" s="983">
        <f>SUMIFS($F$77:$F$96,$I$77:$I$96,"FY2032",$L$77:$L$96,"Yes")</f>
        <v/>
      </c>
      <c r="K99" s="983">
        <f>SUMIFS($F$77:$F$96,$I$77:$I$96,"FY2033",$L$77:$L$96,"Yes")</f>
        <v/>
      </c>
      <c r="O99" s="389" t="inlineStr">
        <is>
          <t>Live SUMIFS across the table above. Matches on the commissioning year AND on the inclusion flag being exactly 'Yes'.</t>
        </is>
      </c>
      <c r="Q99" s="708" t="inlineStr">
        <is>
          <t>CT25</t>
        </is>
      </c>
    </row>
    <row r="100"/>
    <row r="101">
      <c r="A101" s="387" t="inlineStr">
        <is>
          <t>Total gross announced additions, FY2027E-FY2033E</t>
        </is>
      </c>
      <c r="C101" s="389" t="inlineStr">
        <is>
          <t>Mtpa</t>
        </is>
      </c>
      <c r="D101" s="984">
        <f>SUM(E99:K99)</f>
        <v/>
      </c>
      <c r="O101" s="389" t="inlineStr">
        <is>
          <t>53.62 Mtpa of individually announced projects. Note this averages only 7.7 Mtpa a year against India's ACTUAL 20.8 and 20.1 Mtpa additions in FY2025 and FY2026, which is precisely why driver D22 exists - see 06.</t>
        </is>
      </c>
      <c r="Q101" s="708" t="inlineStr">
        <is>
          <t>CT26</t>
        </is>
      </c>
    </row>
  </sheetData>
  <mergeCells count="11">
    <mergeCell ref="A4:B4"/>
    <mergeCell ref="A2:F2"/>
    <mergeCell ref="A101:B101"/>
    <mergeCell ref="A7:I7"/>
    <mergeCell ref="A98:F98"/>
    <mergeCell ref="A42:I42"/>
    <mergeCell ref="A99:B99"/>
    <mergeCell ref="A1:O1"/>
    <mergeCell ref="A18:I18"/>
    <mergeCell ref="A5:O5"/>
    <mergeCell ref="A53:I53"/>
  </mergeCells>
  <hyperlinks>
    <hyperlink ref="D13" location="'Audit Checks'!A303" tooltip="Open the reference register on 25 Audit Checks"/>
    <hyperlink ref="Q20" location="'Audit Checks'!A303" tooltip="Open the reference register on 25 Audit Checks"/>
    <hyperlink ref="Q21" location="'Audit Checks'!A303" tooltip="Open the reference register on 25 Audit Checks"/>
    <hyperlink ref="Q22" location="'Audit Checks'!A303" tooltip="Open the reference register on 25 Audit Checks"/>
    <hyperlink ref="Q23" location="'Audit Checks'!A303" tooltip="Open the reference register on 25 Audit Checks"/>
    <hyperlink ref="Q24" location="'Audit Checks'!A303" tooltip="Open the reference register on 25 Audit Checks"/>
    <hyperlink ref="Q25" location="'Audit Checks'!A303" tooltip="Open the reference register on 25 Audit Checks"/>
    <hyperlink ref="Q26" location="'Audit Checks'!A303" tooltip="Open the reference register on 25 Audit Checks"/>
    <hyperlink ref="Q27" location="'Audit Checks'!A303" tooltip="Open the reference register on 25 Audit Checks"/>
    <hyperlink ref="Q28" location="'Audit Checks'!A303" tooltip="Open the reference register on 25 Audit Checks"/>
    <hyperlink ref="Q29" location="'Audit Checks'!A303" tooltip="Open the reference register on 25 Audit Checks"/>
    <hyperlink ref="Q30" location="'Audit Checks'!A303" tooltip="Open the reference register on 25 Audit Checks"/>
    <hyperlink ref="Q31" location="'Audit Checks'!A303" tooltip="Open the reference register on 25 Audit Checks"/>
    <hyperlink ref="Q32" location="'Audit Checks'!A303" tooltip="Open the reference register on 25 Audit Checks"/>
    <hyperlink ref="Q33" location="'Audit Checks'!A303" tooltip="Open the reference register on 25 Audit Checks"/>
    <hyperlink ref="Q34" location="'Audit Checks'!A303" tooltip="Open the reference register on 25 Audit Checks"/>
    <hyperlink ref="Q35" location="'Audit Checks'!A303" tooltip="Open the reference register on 25 Audit Checks"/>
    <hyperlink ref="Q36" location="'Audit Checks'!A303" tooltip="Open the reference register on 25 Audit Checks"/>
    <hyperlink ref="Q37" location="'Audit Checks'!A303" tooltip="Open the reference register on 25 Audit Checks"/>
    <hyperlink ref="Q38" location="'Audit Checks'!A303" tooltip="Open the reference register on 25 Audit Checks"/>
    <hyperlink ref="Q39" location="'Audit Checks'!A303" tooltip="Open the reference register on 25 Audit Checks"/>
    <hyperlink ref="H44" location="'Audit Checks'!A303" tooltip="Open the reference register on 25 Audit Checks"/>
    <hyperlink ref="Q76" location="'Audit Checks'!A303" tooltip="Open the reference register on 25 Audit Checks"/>
    <hyperlink ref="Q77" location="'Audit Checks'!A303" tooltip="Open the reference register on 25 Audit Checks"/>
    <hyperlink ref="Q78" location="'Audit Checks'!A303" tooltip="Open the reference register on 25 Audit Checks"/>
    <hyperlink ref="Q79" location="'Audit Checks'!A303" tooltip="Open the reference register on 25 Audit Checks"/>
    <hyperlink ref="Q80" location="'Audit Checks'!A303" tooltip="Open the reference register on 25 Audit Checks"/>
    <hyperlink ref="Q81" location="'Audit Checks'!A303" tooltip="Open the reference register on 25 Audit Checks"/>
    <hyperlink ref="Q82" location="'Audit Checks'!A303" tooltip="Open the reference register on 25 Audit Checks"/>
    <hyperlink ref="Q83" location="'Audit Checks'!A303" tooltip="Open the reference register on 25 Audit Checks"/>
    <hyperlink ref="Q84" location="'Audit Checks'!A303" tooltip="Open the reference register on 25 Audit Checks"/>
    <hyperlink ref="Q85" location="'Audit Checks'!A303" tooltip="Open the reference register on 25 Audit Checks"/>
    <hyperlink ref="Q86" location="'Audit Checks'!A303" tooltip="Open the reference register on 25 Audit Checks"/>
    <hyperlink ref="Q87" location="'Audit Checks'!A303" tooltip="Open the reference register on 25 Audit Checks"/>
    <hyperlink ref="Q88" location="'Audit Checks'!A303" tooltip="Open the reference register on 25 Audit Checks"/>
    <hyperlink ref="Q89" location="'Audit Checks'!A303" tooltip="Open the reference register on 25 Audit Checks"/>
    <hyperlink ref="Q90" location="'Audit Checks'!A303" tooltip="Open the reference register on 25 Audit Checks"/>
    <hyperlink ref="Q91" location="'Audit Checks'!A303" tooltip="Open the reference register on 25 Audit Checks"/>
    <hyperlink ref="Q92" location="'Audit Checks'!A303" tooltip="Open the reference register on 25 Audit Checks"/>
    <hyperlink ref="Q93" location="'Audit Checks'!A303" tooltip="Open the reference register on 25 Audit Checks"/>
    <hyperlink ref="Q94" location="'Audit Checks'!A303" tooltip="Open the reference register on 25 Audit Checks"/>
    <hyperlink ref="Q95" location="'Audit Checks'!A303" tooltip="Open the reference register on 25 Audit Checks"/>
    <hyperlink ref="Q96" location="'Audit Checks'!A303" tooltip="Open the reference register on 25 Audit Checks"/>
    <hyperlink ref="Q99" location="'Audit Checks'!A303" tooltip="Open the reference register on 25 Audit Checks"/>
    <hyperlink ref="Q101" location="'Audit Checks'!A303" tooltip="Open the reference register on 25 Audit Checks"/>
  </hyperlink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codeName="Sheet13">
    <tabColor rgb="FF002060"/>
    <outlinePr summaryBelow="1" summaryRight="1"/>
    <pageSetUpPr/>
  </sheetPr>
  <dimension ref="A1:P72"/>
  <sheetViews>
    <sheetView showGridLines="0" workbookViewId="0">
      <selection activeCell="A3" sqref="A3"/>
    </sheetView>
  </sheetViews>
  <sheetFormatPr baseColWidth="8" defaultRowHeight="14.4"/>
  <cols>
    <col width="23.77734375" customWidth="1" style="690" min="1" max="1"/>
    <col width="14.88671875" customWidth="1" style="129" min="2" max="2"/>
    <col width="11.5546875" customWidth="1" style="129" min="3" max="5"/>
    <col width="15.109375" customWidth="1" style="129" min="6" max="6"/>
    <col width="11.5546875" customWidth="1" style="129" min="7" max="8"/>
    <col width="10.77734375" customWidth="1" style="129" min="9" max="9"/>
    <col width="10.21875" customWidth="1" style="690" min="10" max="11"/>
    <col width="7" customWidth="1" style="632" min="11" max="11"/>
    <col width="10" customWidth="1" style="690" min="12" max="12"/>
    <col width="12" customWidth="1" style="690" min="13" max="13"/>
    <col width="56" customWidth="1" style="690" min="14" max="14"/>
    <col width="8.88671875" customWidth="1" style="690" min="15" max="16384"/>
    <col width="7" customWidth="1" style="632" min="16" max="16"/>
  </cols>
  <sheetData>
    <row r="1" ht="25.8" customHeight="1" s="632">
      <c r="A1" s="365" t="inlineStr">
        <is>
          <t>CAPACITY UTILIZATION</t>
        </is>
      </c>
      <c r="B1" s="615" t="n"/>
      <c r="C1" s="615" t="n"/>
      <c r="D1" s="615" t="n"/>
      <c r="E1" s="615" t="n"/>
      <c r="F1" s="615" t="n"/>
      <c r="G1" s="615" t="n"/>
      <c r="H1" s="615" t="n"/>
      <c r="I1" s="615" t="n"/>
      <c r="J1" s="616" t="n"/>
      <c r="K1" s="616" t="n"/>
      <c r="L1" s="616" t="n"/>
      <c r="M1" s="616" t="n"/>
      <c r="N1" s="616" t="n"/>
    </row>
    <row r="2">
      <c r="A2" s="494" t="inlineStr">
        <is>
          <t>Industry Financial Model  |  Indian Steel Industry  |  Horizon FY2027E-FY2033E  |  Base year FY2026A</t>
        </is>
      </c>
    </row>
    <row r="3">
      <c r="A3" s="415" t="n"/>
    </row>
    <row r="4">
      <c r="A4" s="411" t="inlineStr">
        <is>
          <t>OBJECTIVE</t>
        </is>
      </c>
    </row>
    <row r="5">
      <c r="A5" s="394" t="inlineStr">
        <is>
          <t>Forecast annual capacity utilisation for the Indian steel industry by comparing available production capacity with expected crude steel production.</t>
        </is>
      </c>
    </row>
    <row r="6">
      <c r="A6" s="394" t="n"/>
      <c r="B6" s="617" t="n"/>
      <c r="C6" s="617" t="n"/>
      <c r="D6" s="617" t="n"/>
      <c r="E6" s="617" t="n"/>
      <c r="F6" s="617" t="n"/>
      <c r="G6" s="617" t="n"/>
      <c r="H6" s="617" t="n"/>
      <c r="I6" s="617" t="n"/>
      <c r="J6" s="394" t="n"/>
      <c r="K6" s="394" t="n"/>
      <c r="L6" s="394" t="n"/>
      <c r="M6" s="394" t="n"/>
      <c r="N6" s="394" t="n"/>
    </row>
    <row r="7" ht="16.2" customHeight="1" s="632" thickBot="1">
      <c r="A7" s="493" t="inlineStr">
        <is>
          <t>Executive Summary</t>
        </is>
      </c>
      <c r="J7" s="394" t="n"/>
      <c r="K7" s="394" t="n"/>
      <c r="L7" s="394" t="n"/>
      <c r="M7" s="394" t="n"/>
      <c r="N7" s="394" t="n"/>
    </row>
    <row r="8" ht="15" customHeight="1" s="632" thickBot="1">
      <c r="A8" s="604" t="inlineStr">
        <is>
          <t>KPI</t>
        </is>
      </c>
      <c r="B8" s="605" t="inlineStr">
        <is>
          <t>FY26A</t>
        </is>
      </c>
      <c r="C8" s="605" t="inlineStr">
        <is>
          <t>FY27E</t>
        </is>
      </c>
      <c r="D8" s="605" t="inlineStr">
        <is>
          <t>FY28E</t>
        </is>
      </c>
      <c r="E8" s="605" t="inlineStr">
        <is>
          <t>FY29E</t>
        </is>
      </c>
      <c r="F8" s="605" t="inlineStr">
        <is>
          <t>FY30E</t>
        </is>
      </c>
      <c r="G8" s="605" t="inlineStr">
        <is>
          <t>FY31E</t>
        </is>
      </c>
      <c r="H8" s="605" t="inlineStr">
        <is>
          <t>FY32E</t>
        </is>
      </c>
      <c r="I8" s="606" t="inlineStr">
        <is>
          <t>FY33E</t>
        </is>
      </c>
      <c r="J8" s="394" t="n"/>
      <c r="K8" s="394" t="n"/>
      <c r="L8" s="394" t="n"/>
      <c r="M8" s="394" t="n"/>
      <c r="N8" s="394" t="n"/>
    </row>
    <row r="9" ht="15" customHeight="1" s="632" thickTop="1">
      <c r="A9" s="246" t="inlineStr">
        <is>
          <t>Installed Capacity (Mtpa)</t>
        </is>
      </c>
      <c r="B9" s="843">
        <f>$C$66</f>
        <v/>
      </c>
      <c r="C9" s="843">
        <f>$D$66</f>
        <v/>
      </c>
      <c r="D9" s="843">
        <f>$E$66</f>
        <v/>
      </c>
      <c r="E9" s="843">
        <f>$F$66</f>
        <v/>
      </c>
      <c r="F9" s="843">
        <f>$G$66</f>
        <v/>
      </c>
      <c r="G9" s="843">
        <f>$H$66</f>
        <v/>
      </c>
      <c r="H9" s="843">
        <f>$I$66</f>
        <v/>
      </c>
      <c r="I9" s="844">
        <f>$J$66</f>
        <v/>
      </c>
      <c r="J9" s="394" t="n"/>
      <c r="K9" s="394" t="n"/>
      <c r="L9" s="394" t="n"/>
      <c r="M9" s="394" t="n"/>
      <c r="N9" s="394" t="n"/>
    </row>
    <row r="10">
      <c r="A10" s="247" t="inlineStr">
        <is>
          <t>Crude Steel Production (Mt)</t>
        </is>
      </c>
      <c r="B10" s="847">
        <f>$C$65</f>
        <v/>
      </c>
      <c r="C10" s="847">
        <f>$D$65</f>
        <v/>
      </c>
      <c r="D10" s="847">
        <f>$E$65</f>
        <v/>
      </c>
      <c r="E10" s="847">
        <f>$F$65</f>
        <v/>
      </c>
      <c r="F10" s="847">
        <f>$G$65</f>
        <v/>
      </c>
      <c r="G10" s="847">
        <f>$H$65</f>
        <v/>
      </c>
      <c r="H10" s="847">
        <f>$I$65</f>
        <v/>
      </c>
      <c r="I10" s="848">
        <f>$J$65</f>
        <v/>
      </c>
      <c r="J10" s="394" t="n"/>
      <c r="K10" s="394" t="n"/>
      <c r="L10" s="394" t="n"/>
      <c r="M10" s="394" t="n"/>
      <c r="N10" s="394" t="n"/>
    </row>
    <row r="11">
      <c r="A11" s="247" t="inlineStr">
        <is>
          <t>Capacity Utilisation (%)</t>
        </is>
      </c>
      <c r="B11" s="845">
        <f>$C$67</f>
        <v/>
      </c>
      <c r="C11" s="845">
        <f>$D$67</f>
        <v/>
      </c>
      <c r="D11" s="845">
        <f>$E$67</f>
        <v/>
      </c>
      <c r="E11" s="845">
        <f>$F$67</f>
        <v/>
      </c>
      <c r="F11" s="845">
        <f>$G$67</f>
        <v/>
      </c>
      <c r="G11" s="845">
        <f>$H$67</f>
        <v/>
      </c>
      <c r="H11" s="845">
        <f>$I$67</f>
        <v/>
      </c>
      <c r="I11" s="846">
        <f>$J$67</f>
        <v/>
      </c>
      <c r="J11" s="394" t="n"/>
      <c r="K11" s="394" t="n"/>
      <c r="L11" s="394" t="n"/>
      <c r="M11" s="394" t="n"/>
      <c r="N11" s="394" t="n"/>
    </row>
    <row r="12">
      <c r="A12" s="247" t="inlineStr">
        <is>
          <t>Idle Capacity (Mt)</t>
        </is>
      </c>
      <c r="B12" s="911">
        <f>C66-C65</f>
        <v/>
      </c>
      <c r="C12" s="911">
        <f>D66-D65</f>
        <v/>
      </c>
      <c r="D12" s="911">
        <f>E66-E65</f>
        <v/>
      </c>
      <c r="E12" s="911">
        <f>F66-F65</f>
        <v/>
      </c>
      <c r="F12" s="911">
        <f>G66-G65</f>
        <v/>
      </c>
      <c r="G12" s="911">
        <f>H66-H65</f>
        <v/>
      </c>
      <c r="H12" s="911">
        <f>I66-I65</f>
        <v/>
      </c>
      <c r="I12" s="912">
        <f>J66-J65</f>
        <v/>
      </c>
      <c r="J12" s="394" t="n"/>
      <c r="K12" s="394" t="n"/>
      <c r="L12" s="394" t="n"/>
      <c r="M12" s="394" t="n"/>
      <c r="N12" s="394" t="n"/>
    </row>
    <row r="13">
      <c r="A13" s="247" t="inlineStr">
        <is>
          <t>Spare Capacity (%)</t>
        </is>
      </c>
      <c r="B13" s="813">
        <f>IFERROR(1-C67,"")</f>
        <v/>
      </c>
      <c r="C13" s="813">
        <f>IFERROR(1-D67,"")</f>
        <v/>
      </c>
      <c r="D13" s="813">
        <f>IFERROR(1-E67,"")</f>
        <v/>
      </c>
      <c r="E13" s="813">
        <f>IFERROR(1-F67,"")</f>
        <v/>
      </c>
      <c r="F13" s="813">
        <f>IFERROR(1-G67,"")</f>
        <v/>
      </c>
      <c r="G13" s="813">
        <f>IFERROR(1-H67,"")</f>
        <v/>
      </c>
      <c r="H13" s="813">
        <f>IFERROR(1-I67,"")</f>
        <v/>
      </c>
      <c r="I13" s="849">
        <f>IFERROR(1-J67,"")</f>
        <v/>
      </c>
      <c r="J13" s="394" t="n"/>
      <c r="K13" s="394" t="n"/>
      <c r="L13" s="394" t="n"/>
      <c r="M13" s="394" t="n"/>
      <c r="N13" s="394" t="n"/>
    </row>
    <row r="14" ht="15" customHeight="1" s="632" thickBot="1">
      <c r="A14" s="248" t="inlineStr">
        <is>
          <t>Capacity Tightness</t>
        </is>
      </c>
      <c r="B14" s="825">
        <f>IF(C67&gt;0.90,"Capacity constrained",IF(C67&gt;0.85,"Tight market",IF(C67&gt;0.75,"Balanced market",IF(C67&gt;0.65,"Weak market","Significant overcapacity"))))</f>
        <v/>
      </c>
      <c r="C14" s="825">
        <f>IF(D67&gt;0.90,"Capacity constrained",IF(D67&gt;0.85,"Tight market",IF(D67&gt;0.75,"Balanced market",IF(D67&gt;0.65,"Weak market","Significant overcapacity"))))</f>
        <v/>
      </c>
      <c r="D14" s="825">
        <f>IF(E67&gt;0.90,"Capacity constrained",IF(E67&gt;0.85,"Tight market",IF(E67&gt;0.75,"Balanced market",IF(E67&gt;0.65,"Weak market","Significant overcapacity"))))</f>
        <v/>
      </c>
      <c r="E14" s="825">
        <f>IF(F67&gt;0.90,"Capacity constrained",IF(F67&gt;0.85,"Tight market",IF(F67&gt;0.75,"Balanced market",IF(F67&gt;0.65,"Weak market","Significant overcapacity"))))</f>
        <v/>
      </c>
      <c r="F14" s="825">
        <f>IF(G67&gt;0.90,"Capacity constrained",IF(G67&gt;0.85,"Tight market",IF(G67&gt;0.75,"Balanced market",IF(G67&gt;0.65,"Weak market","Significant overcapacity"))))</f>
        <v/>
      </c>
      <c r="G14" s="825">
        <f>IF(H67&gt;0.90,"Capacity constrained",IF(H67&gt;0.85,"Tight market",IF(H67&gt;0.75,"Balanced market",IF(H67&gt;0.65,"Weak market","Significant overcapacity"))))</f>
        <v/>
      </c>
      <c r="H14" s="825">
        <f>IF(I67&gt;0.90,"Capacity constrained",IF(I67&gt;0.85,"Tight market",IF(I67&gt;0.75,"Balanced market",IF(I67&gt;0.65,"Weak market","Significant overcapacity"))))</f>
        <v/>
      </c>
      <c r="I14" s="720">
        <f>IF(J67&gt;0.90,"Capacity constrained",IF(J67&gt;0.85,"Tight market",IF(J67&gt;0.75,"Balanced market",IF(J67&gt;0.65,"Weak market","Significant overcapacity"))))</f>
        <v/>
      </c>
      <c r="J14" s="394" t="n"/>
      <c r="K14" s="394" t="n"/>
      <c r="L14" s="394" t="n"/>
      <c r="M14" s="394" t="n"/>
      <c r="N14" s="394" t="n"/>
    </row>
    <row r="15">
      <c r="A15" s="394" t="n"/>
      <c r="B15" s="617" t="n"/>
      <c r="C15" s="617" t="n"/>
      <c r="D15" s="617" t="n"/>
      <c r="E15" s="617" t="n"/>
      <c r="F15" s="617" t="n"/>
      <c r="G15" s="617" t="n"/>
      <c r="H15" s="617" t="n"/>
      <c r="I15" s="617" t="n"/>
      <c r="J15" s="394" t="n"/>
      <c r="K15" s="394" t="n"/>
      <c r="L15" s="394" t="n"/>
      <c r="M15" s="394" t="n"/>
      <c r="N15" s="394" t="n"/>
    </row>
    <row r="16">
      <c r="A16" s="394" t="n"/>
      <c r="B16" s="617" t="n"/>
      <c r="C16" s="617" t="n"/>
      <c r="D16" s="617" t="n"/>
      <c r="E16" s="617" t="n"/>
      <c r="F16" s="617" t="n"/>
      <c r="G16" s="617" t="n"/>
      <c r="H16" s="617" t="n"/>
      <c r="I16" s="617" t="n"/>
      <c r="J16" s="394" t="n"/>
      <c r="K16" s="394" t="n"/>
      <c r="L16" s="394" t="n"/>
      <c r="M16" s="394" t="n"/>
      <c r="N16" s="394" t="n"/>
    </row>
    <row r="17" ht="16.2" customHeight="1" s="632" thickBot="1">
      <c r="A17" s="608" t="inlineStr">
        <is>
          <t>Industry Utilization</t>
        </is>
      </c>
      <c r="B17" s="699" t="n"/>
      <c r="C17" s="699" t="n"/>
      <c r="D17" s="699" t="n"/>
      <c r="E17" s="612" t="n"/>
      <c r="F17" s="613" t="inlineStr">
        <is>
          <t>Company Wise Utilization</t>
        </is>
      </c>
      <c r="G17" s="985" t="n"/>
      <c r="H17" s="985" t="n"/>
      <c r="I17" s="985" t="n"/>
      <c r="J17" s="394" t="n"/>
      <c r="K17" s="394" t="n"/>
      <c r="L17" s="394" t="n"/>
      <c r="M17" s="394" t="n"/>
      <c r="N17" s="394" t="n"/>
    </row>
    <row r="18" ht="15" customHeight="1" s="632" thickBot="1">
      <c r="A18" s="506" t="inlineStr">
        <is>
          <t>Year</t>
        </is>
      </c>
      <c r="B18" s="506" t="inlineStr">
        <is>
          <t>Installed Capacity</t>
        </is>
      </c>
      <c r="C18" s="506" t="inlineStr">
        <is>
          <t>Production</t>
        </is>
      </c>
      <c r="D18" s="506" t="inlineStr">
        <is>
          <t>Utilisation %</t>
        </is>
      </c>
      <c r="E18" s="617" t="n"/>
      <c r="F18" s="503" t="inlineStr">
        <is>
          <t>Company</t>
        </is>
      </c>
      <c r="G18" s="611" t="inlineStr">
        <is>
          <t>Capacity</t>
        </is>
      </c>
      <c r="H18" s="611" t="inlineStr">
        <is>
          <t>Production</t>
        </is>
      </c>
      <c r="I18" s="610" t="inlineStr">
        <is>
          <t>Utilisation %</t>
        </is>
      </c>
      <c r="J18" s="394" t="n"/>
      <c r="K18" s="707" t="inlineStr">
        <is>
          <t>Ref</t>
        </is>
      </c>
      <c r="L18" s="394" t="n"/>
      <c r="M18" s="394" t="n"/>
      <c r="N18" s="394" t="n"/>
    </row>
    <row r="19" ht="15" customHeight="1" s="632" thickTop="1">
      <c r="A19" s="670" t="inlineStr">
        <is>
          <t>FY26A</t>
        </is>
      </c>
      <c r="B19" s="828">
        <f>$C$66</f>
        <v/>
      </c>
      <c r="C19" s="828">
        <f>$C$65</f>
        <v/>
      </c>
      <c r="D19" s="954">
        <f>IFERROR(C19/B19,"")</f>
        <v/>
      </c>
      <c r="E19" s="617" t="n"/>
      <c r="F19" s="246" t="inlineStr">
        <is>
          <t>Tata Steel</t>
        </is>
      </c>
      <c r="G19" s="827">
        <f>'Comparable Valuation'!$K$108</f>
        <v/>
      </c>
      <c r="H19" s="927" t="n">
        <v>23.43</v>
      </c>
      <c r="I19" s="928">
        <f>IFERROR(H19/G19,"")</f>
        <v/>
      </c>
      <c r="J19" s="394" t="n"/>
      <c r="K19" s="394" t="n"/>
      <c r="L19" s="394" t="n"/>
      <c r="M19" s="394" t="n"/>
      <c r="N19" s="394" t="n"/>
    </row>
    <row r="20">
      <c r="A20" s="670" t="inlineStr">
        <is>
          <t>FY27E</t>
        </is>
      </c>
      <c r="B20" s="828">
        <f>$D$66</f>
        <v/>
      </c>
      <c r="C20" s="828">
        <f>$D$65</f>
        <v/>
      </c>
      <c r="D20" s="954">
        <f>IFERROR(C20/B20,"")</f>
        <v/>
      </c>
      <c r="E20" s="617" t="n"/>
      <c r="F20" s="247" t="inlineStr">
        <is>
          <t>JSW Steel</t>
        </is>
      </c>
      <c r="G20" s="828">
        <f>'Comparable Valuation'!$K$109</f>
        <v/>
      </c>
      <c r="H20" s="986" t="n">
        <v>29.31</v>
      </c>
      <c r="I20" s="929">
        <f>IFERROR(H20/G20,"")</f>
        <v/>
      </c>
      <c r="J20" s="394" t="n"/>
      <c r="K20" s="394" t="n"/>
      <c r="L20" s="394" t="n"/>
      <c r="M20" s="394" t="n"/>
      <c r="N20" s="394" t="n"/>
    </row>
    <row r="21">
      <c r="A21" s="670" t="inlineStr">
        <is>
          <t>FY28E</t>
        </is>
      </c>
      <c r="B21" s="828">
        <f>$E$66</f>
        <v/>
      </c>
      <c r="C21" s="828">
        <f>$E$65</f>
        <v/>
      </c>
      <c r="D21" s="954">
        <f>IFERROR(C21/B21,"")</f>
        <v/>
      </c>
      <c r="E21" s="617" t="n"/>
      <c r="F21" s="247" t="inlineStr">
        <is>
          <t>SAIL</t>
        </is>
      </c>
      <c r="G21" s="828">
        <f>'Comparable Valuation'!$K$110</f>
        <v/>
      </c>
      <c r="H21" s="986" t="n">
        <v>19.43</v>
      </c>
      <c r="I21" s="929">
        <f>IFERROR(H21/G21,"")</f>
        <v/>
      </c>
      <c r="J21" s="394" t="n"/>
      <c r="K21" s="394" t="n"/>
      <c r="L21" s="394" t="n"/>
      <c r="M21" s="394" t="n"/>
      <c r="N21" s="394" t="n"/>
    </row>
    <row r="22">
      <c r="A22" s="670" t="inlineStr">
        <is>
          <t>FY29E</t>
        </is>
      </c>
      <c r="B22" s="828">
        <f>$F$66</f>
        <v/>
      </c>
      <c r="C22" s="828">
        <f>$F$65</f>
        <v/>
      </c>
      <c r="D22" s="954">
        <f>IFERROR(C22/B22,"")</f>
        <v/>
      </c>
      <c r="E22" s="617" t="n"/>
      <c r="F22" s="247" t="inlineStr">
        <is>
          <t>Jindal Steel</t>
        </is>
      </c>
      <c r="G22" s="828">
        <f>'Comparable Valuation'!$K$111</f>
        <v/>
      </c>
      <c r="H22" s="986" t="n">
        <v>9.25</v>
      </c>
      <c r="I22" s="929">
        <f>IFERROR(H22/G22,"")</f>
        <v/>
      </c>
      <c r="J22" s="394" t="n"/>
      <c r="K22" s="394" t="n"/>
      <c r="L22" s="394" t="n"/>
      <c r="M22" s="394" t="n"/>
      <c r="N22" s="394" t="n"/>
    </row>
    <row r="23">
      <c r="A23" s="670" t="inlineStr">
        <is>
          <t>FY30E</t>
        </is>
      </c>
      <c r="B23" s="828">
        <f>$G$66</f>
        <v/>
      </c>
      <c r="C23" s="828">
        <f>$G$65</f>
        <v/>
      </c>
      <c r="D23" s="954">
        <f>IFERROR(C23/B23,"")</f>
        <v/>
      </c>
      <c r="E23" s="617" t="n"/>
      <c r="F23" s="247" t="inlineStr">
        <is>
          <t>Jindal Stainless</t>
        </is>
      </c>
      <c r="G23" s="828">
        <f>'Comparable Valuation'!$K$112</f>
        <v/>
      </c>
      <c r="H23" s="955" t="n"/>
      <c r="I23" s="929">
        <f>IFERROR(H23/G23,"")</f>
        <v/>
      </c>
      <c r="J23" s="394" t="n"/>
      <c r="K23" s="708" t="inlineStr">
        <is>
          <t>CU10</t>
        </is>
      </c>
      <c r="L23" s="394" t="n"/>
      <c r="M23" s="394" t="n"/>
      <c r="N23" s="394" t="n"/>
    </row>
    <row r="24">
      <c r="A24" s="670" t="inlineStr">
        <is>
          <t>FY31E</t>
        </is>
      </c>
      <c r="B24" s="828">
        <f>$H$66</f>
        <v/>
      </c>
      <c r="C24" s="828">
        <f>$H$65</f>
        <v/>
      </c>
      <c r="D24" s="954">
        <f>IFERROR(C24/B24,"")</f>
        <v/>
      </c>
      <c r="E24" s="617" t="n"/>
      <c r="F24" s="247" t="inlineStr">
        <is>
          <t>AM/NS India</t>
        </is>
      </c>
      <c r="G24" s="828">
        <f>'Comparable Valuation'!$K$113</f>
        <v/>
      </c>
      <c r="H24" s="986" t="n">
        <v>7.367</v>
      </c>
      <c r="I24" s="929">
        <f>IFERROR(H24/G24,"")</f>
        <v/>
      </c>
      <c r="J24" s="394" t="n"/>
      <c r="K24" s="394" t="n"/>
      <c r="L24" s="394" t="n"/>
      <c r="M24" s="394" t="n"/>
      <c r="N24" s="394" t="n"/>
    </row>
    <row r="25">
      <c r="A25" s="670" t="inlineStr">
        <is>
          <t>FY32E</t>
        </is>
      </c>
      <c r="B25" s="828">
        <f>$I$66</f>
        <v/>
      </c>
      <c r="C25" s="828">
        <f>$I$65</f>
        <v/>
      </c>
      <c r="D25" s="954">
        <f>IFERROR(C25/B25,"")</f>
        <v/>
      </c>
      <c r="E25" s="617" t="n"/>
      <c r="F25" s="247" t="inlineStr">
        <is>
          <t>Shyam Metalics</t>
        </is>
      </c>
      <c r="G25" s="955" t="n"/>
      <c r="H25" s="955" t="n"/>
      <c r="I25" s="929">
        <f>IFERROR(H25/G25,"")</f>
        <v/>
      </c>
      <c r="J25" s="394" t="n"/>
      <c r="K25" s="708" t="inlineStr">
        <is>
          <t>CU10</t>
        </is>
      </c>
      <c r="L25" s="394" t="n"/>
      <c r="M25" s="394" t="n"/>
      <c r="N25" s="394" t="n"/>
    </row>
    <row r="26">
      <c r="A26" s="670" t="inlineStr">
        <is>
          <t>FY33E</t>
        </is>
      </c>
      <c r="B26" s="828">
        <f>$J$66</f>
        <v/>
      </c>
      <c r="C26" s="828">
        <f>$J$65</f>
        <v/>
      </c>
      <c r="D26" s="954">
        <f>IFERROR(C26/B26,"")</f>
        <v/>
      </c>
      <c r="E26" s="617" t="n"/>
      <c r="F26" s="247" t="inlineStr">
        <is>
          <t>Others</t>
        </is>
      </c>
      <c r="G26" s="895">
        <f>$C$66-SUM(G19:G25)</f>
        <v/>
      </c>
      <c r="H26" s="895">
        <f>$C$65-SUM(H19:H25)</f>
        <v/>
      </c>
      <c r="I26" s="929">
        <f>IFERROR(H26/G26,"")</f>
        <v/>
      </c>
      <c r="J26" s="394" t="n"/>
      <c r="K26" s="394" t="n"/>
      <c r="L26" s="394" t="n"/>
      <c r="M26" s="394" t="n"/>
      <c r="N26" s="394" t="n"/>
    </row>
    <row r="27" ht="14.4" customHeight="1" s="632" thickBot="1">
      <c r="A27" s="307" t="inlineStr">
        <is>
          <t>Industry Average</t>
        </is>
      </c>
      <c r="B27" s="898">
        <f>AVERAGE(B19:B26)</f>
        <v/>
      </c>
      <c r="C27" s="898">
        <f>AVERAGE(C19:C26)</f>
        <v/>
      </c>
      <c r="D27" s="930">
        <f>IFERROR(C27/B27,"")</f>
        <v/>
      </c>
      <c r="E27" s="617" t="n"/>
      <c r="F27" s="307" t="inlineStr">
        <is>
          <t>Industry Average</t>
        </is>
      </c>
      <c r="G27" s="898">
        <f>SUM(G19:G26)</f>
        <v/>
      </c>
      <c r="H27" s="898">
        <f>SUM(H19:H26)</f>
        <v/>
      </c>
      <c r="I27" s="930">
        <f>IFERROR(H27/G27,"")</f>
        <v/>
      </c>
      <c r="J27" s="394" t="n"/>
      <c r="K27" s="708" t="inlineStr">
        <is>
          <t>CU01</t>
        </is>
      </c>
      <c r="L27" s="394" t="n"/>
      <c r="M27" s="394" t="n"/>
      <c r="N27" s="394" t="n"/>
    </row>
    <row r="28">
      <c r="A28" s="394" t="n"/>
      <c r="B28" s="617" t="n"/>
      <c r="C28" s="617" t="n"/>
      <c r="D28" s="617" t="n"/>
      <c r="E28" s="617" t="n"/>
      <c r="F28" s="617" t="n"/>
      <c r="G28" s="617" t="n"/>
      <c r="H28" s="617" t="n"/>
      <c r="I28" s="617" t="n"/>
      <c r="J28" s="394" t="n"/>
      <c r="K28" s="394" t="n"/>
      <c r="L28" s="394" t="n"/>
      <c r="M28" s="394" t="n"/>
      <c r="N28" s="394" t="n"/>
    </row>
    <row r="29">
      <c r="A29" s="394" t="n"/>
      <c r="B29" s="617" t="n"/>
      <c r="C29" s="617" t="n"/>
      <c r="D29" s="617" t="n"/>
      <c r="E29" s="617" t="n"/>
      <c r="F29" s="617" t="n"/>
      <c r="G29" s="617" t="n"/>
      <c r="H29" s="617" t="n"/>
      <c r="I29" s="617" t="n"/>
      <c r="J29" s="394" t="n"/>
      <c r="K29" s="394" t="n"/>
      <c r="L29" s="394" t="n"/>
      <c r="M29" s="394" t="n"/>
      <c r="N29" s="394" t="n"/>
    </row>
    <row r="30" ht="16.2" customHeight="1" s="632" thickBot="1">
      <c r="A30" s="493" t="inlineStr">
        <is>
          <t>Utilization Bridge</t>
        </is>
      </c>
      <c r="J30" s="394" t="n"/>
      <c r="K30" s="394" t="n"/>
      <c r="L30" s="394" t="n"/>
      <c r="M30" s="394" t="n"/>
      <c r="N30" s="394" t="n"/>
    </row>
    <row r="31" ht="15" customHeight="1" s="632" thickBot="1">
      <c r="A31" s="503" t="inlineStr">
        <is>
          <t>Item</t>
        </is>
      </c>
      <c r="B31" s="611" t="inlineStr">
        <is>
          <t>FY27E</t>
        </is>
      </c>
      <c r="C31" s="611" t="inlineStr">
        <is>
          <t>FY28E</t>
        </is>
      </c>
      <c r="D31" s="611" t="inlineStr">
        <is>
          <t>FY29E</t>
        </is>
      </c>
      <c r="E31" s="611" t="inlineStr">
        <is>
          <t>FY30E</t>
        </is>
      </c>
      <c r="F31" s="611" t="inlineStr">
        <is>
          <t>FY31E</t>
        </is>
      </c>
      <c r="G31" s="611" t="inlineStr">
        <is>
          <t>FY32E</t>
        </is>
      </c>
      <c r="H31" s="610" t="inlineStr">
        <is>
          <t>FY33E</t>
        </is>
      </c>
      <c r="I31" s="617" t="n"/>
      <c r="J31" s="707" t="inlineStr">
        <is>
          <t>Ref</t>
        </is>
      </c>
      <c r="K31" s="394" t="n"/>
      <c r="L31" s="394" t="n"/>
      <c r="M31" s="394" t="n"/>
      <c r="N31" s="394" t="n"/>
    </row>
    <row r="32" ht="15" customHeight="1" s="632" thickTop="1">
      <c r="A32" s="246" t="inlineStr">
        <is>
          <t>Opening Utilisation</t>
        </is>
      </c>
      <c r="B32" s="872">
        <f>$C$67</f>
        <v/>
      </c>
      <c r="C32" s="872">
        <f>$D$67</f>
        <v/>
      </c>
      <c r="D32" s="872">
        <f>$E$67</f>
        <v/>
      </c>
      <c r="E32" s="872">
        <f>$F$67</f>
        <v/>
      </c>
      <c r="F32" s="872">
        <f>$G$67</f>
        <v/>
      </c>
      <c r="G32" s="872">
        <f>$H$67</f>
        <v/>
      </c>
      <c r="H32" s="987">
        <f>$I$67</f>
        <v/>
      </c>
      <c r="I32" s="617" t="n"/>
      <c r="J32" s="394" t="n"/>
      <c r="K32" s="394" t="n"/>
      <c r="L32" s="394" t="n"/>
      <c r="M32" s="394" t="n"/>
      <c r="N32" s="394" t="n"/>
    </row>
    <row r="33">
      <c r="A33" s="247" t="inlineStr">
        <is>
          <t>Demand Growth Impact</t>
        </is>
      </c>
      <c r="B33" s="988">
        <f>('Steel Demand Model'!D116-'Steel Demand Model'!C116)*'Steel Supply Model'!D93/'Capacity Forecast'!C101</f>
        <v/>
      </c>
      <c r="C33" s="988">
        <f>('Steel Demand Model'!E116-'Steel Demand Model'!D116)*'Steel Supply Model'!E93/'Capacity Forecast'!D101</f>
        <v/>
      </c>
      <c r="D33" s="988">
        <f>('Steel Demand Model'!F116-'Steel Demand Model'!E116)*'Steel Supply Model'!F93/'Capacity Forecast'!E101</f>
        <v/>
      </c>
      <c r="E33" s="988">
        <f>('Steel Demand Model'!G116-'Steel Demand Model'!F116)*'Steel Supply Model'!G93/'Capacity Forecast'!F101</f>
        <v/>
      </c>
      <c r="F33" s="988">
        <f>('Steel Demand Model'!H116-'Steel Demand Model'!G116)*'Steel Supply Model'!H93/'Capacity Forecast'!G101</f>
        <v/>
      </c>
      <c r="G33" s="988">
        <f>('Steel Demand Model'!I116-'Steel Demand Model'!H116)*'Steel Supply Model'!I93/'Capacity Forecast'!H101</f>
        <v/>
      </c>
      <c r="H33" s="989">
        <f>('Steel Demand Model'!J116-'Steel Demand Model'!I116)*'Steel Supply Model'!J93/'Capacity Forecast'!I101</f>
        <v/>
      </c>
      <c r="I33" s="617" t="n"/>
      <c r="J33" s="394" t="n"/>
      <c r="K33" s="394" t="n"/>
      <c r="L33" s="394" t="n"/>
      <c r="M33" s="394" t="n"/>
      <c r="N33" s="394" t="n"/>
    </row>
    <row r="34">
      <c r="A34" s="247" t="inlineStr">
        <is>
          <t>Capacity Addition Impact</t>
        </is>
      </c>
      <c r="B34" s="988">
        <f>-'Steel Supply Model'!D99*'Capacity Forecast'!D100/('Capacity Forecast'!C101*'Capacity Forecast'!D101)</f>
        <v/>
      </c>
      <c r="C34" s="988">
        <f>-'Steel Supply Model'!E99*'Capacity Forecast'!E100/('Capacity Forecast'!D101*'Capacity Forecast'!E101)</f>
        <v/>
      </c>
      <c r="D34" s="988">
        <f>-'Steel Supply Model'!F99*'Capacity Forecast'!F100/('Capacity Forecast'!E101*'Capacity Forecast'!F101)</f>
        <v/>
      </c>
      <c r="E34" s="988">
        <f>-'Steel Supply Model'!G99*'Capacity Forecast'!G100/('Capacity Forecast'!F101*'Capacity Forecast'!G101)</f>
        <v/>
      </c>
      <c r="F34" s="988">
        <f>-'Steel Supply Model'!H99*'Capacity Forecast'!H100/('Capacity Forecast'!G101*'Capacity Forecast'!H101)</f>
        <v/>
      </c>
      <c r="G34" s="988">
        <f>-'Steel Supply Model'!I99*'Capacity Forecast'!I100/('Capacity Forecast'!H101*'Capacity Forecast'!I101)</f>
        <v/>
      </c>
      <c r="H34" s="989">
        <f>-'Steel Supply Model'!J99*'Capacity Forecast'!J100/('Capacity Forecast'!I101*'Capacity Forecast'!J101)</f>
        <v/>
      </c>
      <c r="I34" s="617" t="n"/>
      <c r="J34" s="394" t="n"/>
      <c r="K34" s="394" t="n"/>
      <c r="L34" s="394" t="n"/>
      <c r="M34" s="394" t="n"/>
      <c r="N34" s="394" t="n"/>
    </row>
    <row r="35">
      <c r="A35" s="247" t="inlineStr">
        <is>
          <t>Export Impact</t>
        </is>
      </c>
      <c r="B35" s="988">
        <f>('Steel Supply Model'!D90-'Steel Supply Model'!C90)*'Steel Supply Model'!D93/'Capacity Forecast'!C101</f>
        <v/>
      </c>
      <c r="C35" s="988">
        <f>('Steel Supply Model'!E90-'Steel Supply Model'!D90)*'Steel Supply Model'!E93/'Capacity Forecast'!D101</f>
        <v/>
      </c>
      <c r="D35" s="988">
        <f>('Steel Supply Model'!F90-'Steel Supply Model'!E90)*'Steel Supply Model'!F93/'Capacity Forecast'!E101</f>
        <v/>
      </c>
      <c r="E35" s="988">
        <f>('Steel Supply Model'!G90-'Steel Supply Model'!F90)*'Steel Supply Model'!G93/'Capacity Forecast'!F101</f>
        <v/>
      </c>
      <c r="F35" s="988">
        <f>('Steel Supply Model'!H90-'Steel Supply Model'!G90)*'Steel Supply Model'!H93/'Capacity Forecast'!G101</f>
        <v/>
      </c>
      <c r="G35" s="988">
        <f>('Steel Supply Model'!I90-'Steel Supply Model'!H90)*'Steel Supply Model'!I93/'Capacity Forecast'!H101</f>
        <v/>
      </c>
      <c r="H35" s="989">
        <f>('Steel Supply Model'!J90-'Steel Supply Model'!I90)*'Steel Supply Model'!J93/'Capacity Forecast'!I101</f>
        <v/>
      </c>
      <c r="I35" s="617" t="n"/>
      <c r="J35" s="394" t="n"/>
      <c r="K35" s="394" t="n"/>
      <c r="L35" s="394" t="n"/>
      <c r="M35" s="394" t="n"/>
      <c r="N35" s="394" t="n"/>
    </row>
    <row r="36">
      <c r="A36" s="247" t="inlineStr">
        <is>
          <t>Import Impact</t>
        </is>
      </c>
      <c r="B36" s="988">
        <f>B37-B33-B34-B35</f>
        <v/>
      </c>
      <c r="C36" s="988">
        <f>C37-C33-C34-C35</f>
        <v/>
      </c>
      <c r="D36" s="988">
        <f>D37-D33-D34-D35</f>
        <v/>
      </c>
      <c r="E36" s="988">
        <f>E37-E33-E34-E35</f>
        <v/>
      </c>
      <c r="F36" s="988">
        <f>F37-F33-F34-F35</f>
        <v/>
      </c>
      <c r="G36" s="988">
        <f>G37-G33-G34-G35</f>
        <v/>
      </c>
      <c r="H36" s="989">
        <f>H37-H33-H34-H35</f>
        <v/>
      </c>
      <c r="I36" s="617" t="n"/>
      <c r="J36" s="394" t="n"/>
      <c r="K36" s="394" t="n"/>
      <c r="L36" s="394" t="n"/>
      <c r="M36" s="394" t="n"/>
      <c r="N36" s="394" t="n"/>
    </row>
    <row r="37">
      <c r="A37" s="247" t="inlineStr">
        <is>
          <t>Net Change</t>
        </is>
      </c>
      <c r="B37" s="988">
        <f>$D$67-$C$67</f>
        <v/>
      </c>
      <c r="C37" s="988">
        <f>$E$67-$D$67</f>
        <v/>
      </c>
      <c r="D37" s="988">
        <f>$F$67-$E$67</f>
        <v/>
      </c>
      <c r="E37" s="988">
        <f>$G$67-$F$67</f>
        <v/>
      </c>
      <c r="F37" s="988">
        <f>$H$67-$G$67</f>
        <v/>
      </c>
      <c r="G37" s="988">
        <f>$I$67-$H$67</f>
        <v/>
      </c>
      <c r="H37" s="989">
        <f>$J$67-$I$67</f>
        <v/>
      </c>
      <c r="I37" s="617" t="n"/>
      <c r="J37" s="394" t="n"/>
      <c r="K37" s="394" t="n"/>
      <c r="L37" s="394" t="n"/>
      <c r="M37" s="394" t="n"/>
      <c r="N37" s="394" t="n"/>
    </row>
    <row r="38" ht="15" customHeight="1" s="632" thickBot="1">
      <c r="A38" s="248" t="inlineStr">
        <is>
          <t>Closing Utilisation</t>
        </is>
      </c>
      <c r="B38" s="990">
        <f>B32+B37</f>
        <v/>
      </c>
      <c r="C38" s="990">
        <f>C32+C37</f>
        <v/>
      </c>
      <c r="D38" s="990">
        <f>D32+D37</f>
        <v/>
      </c>
      <c r="E38" s="990">
        <f>E32+E37</f>
        <v/>
      </c>
      <c r="F38" s="990">
        <f>F32+F37</f>
        <v/>
      </c>
      <c r="G38" s="990">
        <f>G32+G37</f>
        <v/>
      </c>
      <c r="H38" s="930">
        <f>H32+H37</f>
        <v/>
      </c>
      <c r="I38" s="617" t="n"/>
      <c r="J38" s="708" t="inlineStr">
        <is>
          <t>CU02</t>
        </is>
      </c>
      <c r="K38" s="394" t="n"/>
      <c r="L38" s="394" t="n"/>
      <c r="M38" s="394" t="n"/>
      <c r="N38" s="394" t="n"/>
    </row>
    <row r="39">
      <c r="A39" s="394" t="n"/>
      <c r="B39" s="617" t="n"/>
      <c r="C39" s="617" t="n"/>
      <c r="D39" s="617" t="n"/>
      <c r="E39" s="617" t="n"/>
      <c r="F39" s="617" t="n"/>
      <c r="G39" s="617" t="n"/>
      <c r="H39" s="617" t="n"/>
      <c r="I39" s="617" t="n"/>
      <c r="J39" s="394" t="n"/>
      <c r="K39" s="394" t="n"/>
      <c r="L39" s="394" t="n"/>
      <c r="M39" s="394" t="n"/>
      <c r="N39" s="394" t="n"/>
    </row>
    <row r="40">
      <c r="A40" s="394" t="n"/>
      <c r="B40" s="617" t="n"/>
      <c r="C40" s="617" t="n"/>
      <c r="D40" s="617" t="n"/>
      <c r="E40" s="617" t="n"/>
      <c r="F40" s="617" t="n"/>
      <c r="G40" s="617" t="n"/>
      <c r="H40" s="617" t="n"/>
      <c r="I40" s="617" t="n"/>
      <c r="J40" s="394" t="n"/>
      <c r="K40" s="394" t="n"/>
      <c r="L40" s="394" t="n"/>
      <c r="M40" s="394" t="n"/>
      <c r="N40" s="394" t="n"/>
    </row>
    <row r="41" ht="16.2" customHeight="1" s="632" thickBot="1">
      <c r="A41" s="612" t="inlineStr">
        <is>
          <t>Utilization Bands</t>
        </is>
      </c>
      <c r="C41" s="612" t="n"/>
      <c r="F41" s="612" t="inlineStr">
        <is>
          <t>Price Relationship</t>
        </is>
      </c>
      <c r="G41" s="612" t="n"/>
      <c r="H41" s="612" t="n"/>
      <c r="I41" s="612" t="n"/>
      <c r="J41" s="394" t="n"/>
      <c r="K41" s="394" t="n"/>
      <c r="L41" s="394" t="n"/>
      <c r="M41" s="394" t="n"/>
      <c r="N41" s="394" t="n"/>
    </row>
    <row r="42" ht="15" customHeight="1" s="632" thickBot="1">
      <c r="A42" s="503" t="inlineStr">
        <is>
          <t>Utilisation</t>
        </is>
      </c>
      <c r="B42" s="611" t="inlineStr">
        <is>
          <t>Interpretation</t>
        </is>
      </c>
      <c r="C42" s="697" t="n"/>
      <c r="F42" s="503" t="inlineStr">
        <is>
          <t>Utilisation</t>
        </is>
      </c>
      <c r="G42" s="611" t="inlineStr">
        <is>
          <t>Expected Steel Price Impact</t>
        </is>
      </c>
      <c r="H42" s="697" t="n"/>
      <c r="I42" s="617" t="n"/>
      <c r="J42" s="394" t="n"/>
      <c r="K42" s="394" t="n"/>
      <c r="L42" s="394" t="n"/>
      <c r="M42" s="394" t="n"/>
      <c r="N42" s="394" t="n"/>
    </row>
    <row r="43" ht="15" customHeight="1" s="632" thickTop="1">
      <c r="A43" s="246" t="inlineStr">
        <is>
          <t>&lt;65%</t>
        </is>
      </c>
      <c r="B43" s="566" t="inlineStr">
        <is>
          <t>Significant Overcapacity</t>
        </is>
      </c>
      <c r="C43" s="834" t="n"/>
      <c r="F43" s="246" t="inlineStr">
        <is>
          <t>Below 70%</t>
        </is>
      </c>
      <c r="G43" s="566" t="inlineStr">
        <is>
          <t>Strong Downward Pressure</t>
        </is>
      </c>
      <c r="H43" s="834" t="n"/>
      <c r="I43" s="617" t="n"/>
      <c r="J43" s="394" t="n"/>
      <c r="K43" s="394" t="n"/>
      <c r="L43" s="394" t="n"/>
      <c r="M43" s="394" t="n"/>
      <c r="N43" s="394" t="n"/>
    </row>
    <row r="44">
      <c r="A44" s="247" t="inlineStr">
        <is>
          <t>65–75%</t>
        </is>
      </c>
      <c r="B44" s="670" t="inlineStr">
        <is>
          <t>Weak Market</t>
        </is>
      </c>
      <c r="C44" s="729" t="n"/>
      <c r="F44" s="247" t="inlineStr">
        <is>
          <t>70–80%</t>
        </is>
      </c>
      <c r="G44" s="670" t="inlineStr">
        <is>
          <t>Mild Downward Pressure</t>
        </is>
      </c>
      <c r="H44" s="729" t="n"/>
      <c r="I44" s="617" t="n"/>
      <c r="J44" s="394" t="n"/>
      <c r="K44" s="394" t="n"/>
      <c r="L44" s="394" t="n"/>
      <c r="M44" s="394" t="n"/>
      <c r="N44" s="394" t="n"/>
    </row>
    <row r="45">
      <c r="A45" s="247" t="inlineStr">
        <is>
          <t>75–85%</t>
        </is>
      </c>
      <c r="B45" s="670" t="inlineStr">
        <is>
          <t>Balanced Market</t>
        </is>
      </c>
      <c r="C45" s="729" t="n"/>
      <c r="F45" s="247" t="inlineStr">
        <is>
          <t>80–85%</t>
        </is>
      </c>
      <c r="G45" s="670" t="inlineStr">
        <is>
          <t>Stable</t>
        </is>
      </c>
      <c r="H45" s="729" t="n"/>
      <c r="I45" s="617" t="n"/>
      <c r="J45" s="394" t="n"/>
      <c r="K45" s="394" t="n"/>
      <c r="L45" s="394" t="n"/>
      <c r="M45" s="394" t="n"/>
      <c r="N45" s="394" t="n"/>
    </row>
    <row r="46">
      <c r="A46" s="247" t="inlineStr">
        <is>
          <t>85–90%</t>
        </is>
      </c>
      <c r="B46" s="670" t="inlineStr">
        <is>
          <t>Tight Market</t>
        </is>
      </c>
      <c r="C46" s="729" t="n"/>
      <c r="F46" s="247" t="inlineStr">
        <is>
          <t>85–90%</t>
        </is>
      </c>
      <c r="G46" s="670" t="inlineStr">
        <is>
          <t>Upward Pressure</t>
        </is>
      </c>
      <c r="H46" s="729" t="n"/>
      <c r="I46" s="617" t="n"/>
      <c r="J46" s="394" t="n"/>
      <c r="K46" s="394" t="n"/>
      <c r="L46" s="394" t="n"/>
      <c r="M46" s="394" t="n"/>
      <c r="N46" s="394" t="n"/>
    </row>
    <row r="47" ht="15" customHeight="1" s="632" thickBot="1">
      <c r="A47" s="248" t="inlineStr">
        <is>
          <t>&gt;90%</t>
        </is>
      </c>
      <c r="B47" s="564" t="inlineStr">
        <is>
          <t>Capacity Constrained</t>
        </is>
      </c>
      <c r="C47" s="835" t="n"/>
      <c r="F47" s="248" t="inlineStr">
        <is>
          <t>Above 90%</t>
        </is>
      </c>
      <c r="G47" s="564" t="inlineStr">
        <is>
          <t>Strong Upward Pressure</t>
        </is>
      </c>
      <c r="H47" s="835" t="n"/>
      <c r="I47" s="617" t="n"/>
      <c r="J47" s="394" t="n"/>
      <c r="K47" s="394" t="n"/>
      <c r="L47" s="394" t="n"/>
      <c r="M47" s="394" t="n"/>
      <c r="N47" s="394" t="n"/>
    </row>
    <row r="48">
      <c r="A48" s="394" t="n"/>
      <c r="B48" s="617" t="n"/>
      <c r="C48" s="617" t="n"/>
      <c r="F48" s="617" t="n"/>
      <c r="G48" s="617" t="n"/>
      <c r="H48" s="617" t="n"/>
      <c r="I48" s="617" t="n"/>
      <c r="J48" s="394" t="n"/>
      <c r="K48" s="394" t="n"/>
      <c r="L48" s="394" t="n"/>
      <c r="M48" s="394" t="n"/>
      <c r="N48" s="394" t="n"/>
    </row>
    <row r="49">
      <c r="A49" s="394" t="n"/>
      <c r="B49" s="617" t="n"/>
      <c r="C49" s="617" t="n"/>
      <c r="F49" s="617" t="n"/>
      <c r="G49" s="617" t="n"/>
      <c r="H49" s="617" t="n"/>
      <c r="I49" s="617" t="n"/>
      <c r="J49" s="394" t="n"/>
      <c r="K49" s="394" t="n"/>
      <c r="L49" s="394" t="n"/>
      <c r="M49" s="394" t="n"/>
      <c r="N49" s="394" t="n"/>
    </row>
    <row r="50" ht="16.2" customHeight="1" s="632" thickBot="1">
      <c r="A50" s="621" t="inlineStr">
        <is>
          <t>Scenario Comparision</t>
        </is>
      </c>
      <c r="B50" s="991" t="n"/>
      <c r="C50" s="991" t="n"/>
      <c r="D50" s="991" t="n"/>
      <c r="E50" s="991" t="n"/>
      <c r="F50" s="617" t="n"/>
      <c r="G50" s="617" t="n"/>
      <c r="H50" s="617" t="n"/>
      <c r="I50" s="617" t="n"/>
      <c r="J50" s="394" t="n"/>
      <c r="K50" s="394" t="n"/>
      <c r="L50" s="394" t="n"/>
      <c r="M50" s="394" t="n"/>
      <c r="N50" s="394" t="n"/>
    </row>
    <row r="51" ht="15.6" customHeight="1" s="632" thickBot="1" thickTop="1">
      <c r="A51" s="618" t="inlineStr">
        <is>
          <t>Year</t>
        </is>
      </c>
      <c r="B51" s="619" t="inlineStr">
        <is>
          <t>Base</t>
        </is>
      </c>
      <c r="C51" s="619" t="inlineStr">
        <is>
          <t>Bull</t>
        </is>
      </c>
      <c r="D51" s="619" t="inlineStr">
        <is>
          <t>Bear</t>
        </is>
      </c>
      <c r="E51" s="620" t="inlineStr">
        <is>
          <t>Stress</t>
        </is>
      </c>
      <c r="F51" s="617" t="n"/>
      <c r="G51" s="707" t="inlineStr">
        <is>
          <t>Ref</t>
        </is>
      </c>
      <c r="H51" s="617" t="n"/>
      <c r="I51" s="617" t="n"/>
      <c r="J51" s="394" t="n"/>
      <c r="K51" s="394" t="n"/>
      <c r="L51" s="394" t="n"/>
      <c r="M51" s="394" t="n"/>
      <c r="N51" s="394" t="n"/>
    </row>
    <row r="52" ht="15" customHeight="1" s="632" thickTop="1">
      <c r="A52" s="246" t="inlineStr">
        <is>
          <t>FY27</t>
        </is>
      </c>
      <c r="B52" s="872">
        <f>'Scenario Manager'!$D$111</f>
        <v/>
      </c>
      <c r="C52" s="872">
        <f>'Scenario Manager'!$D$187</f>
        <v/>
      </c>
      <c r="D52" s="872">
        <f>'Scenario Manager'!$D$263</f>
        <v/>
      </c>
      <c r="E52" s="987">
        <f>'Scenario Manager'!$D$339</f>
        <v/>
      </c>
      <c r="F52" s="617" t="n"/>
      <c r="G52" s="617" t="n"/>
      <c r="H52" s="617" t="n"/>
      <c r="I52" s="617" t="n"/>
      <c r="J52" s="394" t="n"/>
      <c r="K52" s="394" t="n"/>
      <c r="L52" s="394" t="n"/>
      <c r="M52" s="394" t="n"/>
      <c r="N52" s="394" t="n"/>
    </row>
    <row r="53">
      <c r="A53" s="247" t="inlineStr">
        <is>
          <t>FY28</t>
        </is>
      </c>
      <c r="B53" s="875">
        <f>'Scenario Manager'!$E$111</f>
        <v/>
      </c>
      <c r="C53" s="875">
        <f>'Scenario Manager'!$E$187</f>
        <v/>
      </c>
      <c r="D53" s="875">
        <f>'Scenario Manager'!$E$263</f>
        <v/>
      </c>
      <c r="E53" s="933">
        <f>'Scenario Manager'!$E$339</f>
        <v/>
      </c>
      <c r="F53" s="617" t="n"/>
      <c r="G53" s="617" t="n"/>
      <c r="H53" s="617" t="n"/>
      <c r="I53" s="617" t="n"/>
      <c r="J53" s="394" t="n"/>
      <c r="K53" s="394" t="n"/>
      <c r="L53" s="394" t="n"/>
      <c r="M53" s="394" t="n"/>
      <c r="N53" s="394" t="n"/>
    </row>
    <row r="54">
      <c r="A54" s="247" t="inlineStr">
        <is>
          <t>FY29</t>
        </is>
      </c>
      <c r="B54" s="875">
        <f>'Scenario Manager'!$F$111</f>
        <v/>
      </c>
      <c r="C54" s="875">
        <f>'Scenario Manager'!$F$187</f>
        <v/>
      </c>
      <c r="D54" s="875">
        <f>'Scenario Manager'!$F$263</f>
        <v/>
      </c>
      <c r="E54" s="933">
        <f>'Scenario Manager'!$F$339</f>
        <v/>
      </c>
      <c r="F54" s="617" t="n"/>
      <c r="G54" s="617" t="n"/>
      <c r="H54" s="617" t="n"/>
      <c r="I54" s="617" t="n"/>
      <c r="J54" s="394" t="n"/>
      <c r="K54" s="394" t="n"/>
      <c r="L54" s="394" t="n"/>
      <c r="M54" s="394" t="n"/>
      <c r="N54" s="394" t="n"/>
    </row>
    <row r="55">
      <c r="A55" s="247" t="inlineStr">
        <is>
          <t>FY30</t>
        </is>
      </c>
      <c r="B55" s="875">
        <f>'Scenario Manager'!$G$111</f>
        <v/>
      </c>
      <c r="C55" s="875">
        <f>'Scenario Manager'!$G$187</f>
        <v/>
      </c>
      <c r="D55" s="875">
        <f>'Scenario Manager'!$G$263</f>
        <v/>
      </c>
      <c r="E55" s="933">
        <f>'Scenario Manager'!$G$339</f>
        <v/>
      </c>
      <c r="F55" s="617" t="n"/>
      <c r="G55" s="617" t="n"/>
      <c r="H55" s="617" t="n"/>
      <c r="I55" s="617" t="n"/>
      <c r="J55" s="394" t="n"/>
      <c r="K55" s="394" t="n"/>
      <c r="L55" s="394" t="n"/>
      <c r="M55" s="394" t="n"/>
      <c r="N55" s="394" t="n"/>
    </row>
    <row r="56">
      <c r="A56" s="247" t="inlineStr">
        <is>
          <t>FY31</t>
        </is>
      </c>
      <c r="B56" s="875">
        <f>'Scenario Manager'!$H$111</f>
        <v/>
      </c>
      <c r="C56" s="875">
        <f>'Scenario Manager'!$H$187</f>
        <v/>
      </c>
      <c r="D56" s="875">
        <f>'Scenario Manager'!$H$263</f>
        <v/>
      </c>
      <c r="E56" s="933">
        <f>'Scenario Manager'!$H$339</f>
        <v/>
      </c>
      <c r="F56" s="617" t="n"/>
      <c r="G56" s="617" t="n"/>
      <c r="H56" s="617" t="n"/>
      <c r="I56" s="617" t="n"/>
      <c r="J56" s="394" t="n"/>
      <c r="K56" s="394" t="n"/>
      <c r="L56" s="394" t="n"/>
      <c r="M56" s="394" t="n"/>
      <c r="N56" s="394" t="n"/>
    </row>
    <row r="57">
      <c r="A57" s="247" t="inlineStr">
        <is>
          <t>FY32</t>
        </is>
      </c>
      <c r="B57" s="875">
        <f>'Scenario Manager'!$I$111</f>
        <v/>
      </c>
      <c r="C57" s="875">
        <f>'Scenario Manager'!$I$187</f>
        <v/>
      </c>
      <c r="D57" s="875">
        <f>'Scenario Manager'!$I$263</f>
        <v/>
      </c>
      <c r="E57" s="933">
        <f>'Scenario Manager'!$I$339</f>
        <v/>
      </c>
      <c r="F57" s="617" t="n"/>
      <c r="G57" s="617" t="n"/>
      <c r="H57" s="617" t="n"/>
      <c r="I57" s="617" t="n"/>
      <c r="J57" s="394" t="n"/>
      <c r="K57" s="394" t="n"/>
      <c r="L57" s="394" t="n"/>
      <c r="M57" s="394" t="n"/>
      <c r="N57" s="394" t="n"/>
    </row>
    <row r="58" ht="15" customHeight="1" s="632" thickBot="1">
      <c r="A58" s="248" t="inlineStr">
        <is>
          <t>FY33</t>
        </is>
      </c>
      <c r="B58" s="934">
        <f>'Scenario Manager'!$J$111</f>
        <v/>
      </c>
      <c r="C58" s="934">
        <f>'Scenario Manager'!$J$187</f>
        <v/>
      </c>
      <c r="D58" s="934">
        <f>'Scenario Manager'!$J$263</f>
        <v/>
      </c>
      <c r="E58" s="935">
        <f>'Scenario Manager'!$J$339</f>
        <v/>
      </c>
      <c r="F58" s="617" t="n"/>
      <c r="G58" s="708" t="inlineStr">
        <is>
          <t>CU03</t>
        </is>
      </c>
      <c r="H58" s="617" t="n"/>
      <c r="I58" s="617" t="n"/>
      <c r="J58" s="394" t="n"/>
      <c r="K58" s="394" t="n"/>
      <c r="L58" s="394" t="n"/>
      <c r="M58" s="394" t="n"/>
      <c r="N58" s="394" t="n"/>
    </row>
    <row r="59">
      <c r="A59" s="394" t="n"/>
      <c r="B59" s="617" t="n"/>
      <c r="C59" s="617" t="n"/>
      <c r="D59" s="617" t="n"/>
      <c r="E59" s="617" t="n"/>
      <c r="F59" s="617" t="n"/>
      <c r="G59" s="617" t="n"/>
      <c r="H59" s="617" t="n"/>
      <c r="I59" s="617" t="n"/>
      <c r="J59" s="394" t="n"/>
      <c r="K59" s="394" t="n"/>
      <c r="L59" s="394" t="n"/>
      <c r="M59" s="394" t="n"/>
      <c r="N59" s="394" t="n"/>
    </row>
    <row r="60">
      <c r="A60" s="394" t="n"/>
      <c r="B60" s="617" t="n"/>
      <c r="C60" s="617" t="n"/>
      <c r="D60" s="617" t="n"/>
      <c r="E60" s="617" t="n"/>
      <c r="F60" s="617" t="n"/>
      <c r="G60" s="617" t="n"/>
      <c r="H60" s="617" t="n"/>
      <c r="I60" s="617" t="n"/>
      <c r="J60" s="394" t="n"/>
      <c r="K60" s="394" t="n"/>
      <c r="L60" s="394" t="n"/>
      <c r="M60" s="394" t="n"/>
      <c r="N60" s="394" t="n"/>
    </row>
    <row r="61">
      <c r="A61" s="394" t="n"/>
      <c r="B61" s="617" t="n"/>
      <c r="C61" s="617" t="n"/>
      <c r="D61" s="617" t="n"/>
      <c r="E61" s="617" t="n"/>
      <c r="F61" s="617" t="n"/>
      <c r="G61" s="617" t="n"/>
      <c r="H61" s="617" t="n"/>
      <c r="I61" s="617" t="n"/>
      <c r="J61" s="394" t="n"/>
      <c r="K61" s="394" t="n"/>
      <c r="L61" s="394" t="n"/>
      <c r="M61" s="394" t="n"/>
      <c r="N61" s="394" t="n"/>
    </row>
    <row r="62">
      <c r="A62" s="394" t="n"/>
      <c r="B62" s="617" t="n"/>
      <c r="C62" s="617" t="n"/>
      <c r="D62" s="617" t="n"/>
      <c r="E62" s="617" t="n"/>
      <c r="F62" s="617" t="n"/>
      <c r="G62" s="617" t="n"/>
      <c r="H62" s="617" t="n"/>
      <c r="I62" s="617" t="n"/>
      <c r="J62" s="394" t="n"/>
      <c r="K62" s="394" t="n"/>
      <c r="L62" s="394" t="n"/>
      <c r="M62" s="394" t="n"/>
      <c r="N62" s="394" t="n"/>
    </row>
    <row r="63" ht="15" customHeight="1" s="632" thickBot="1">
      <c r="A63" s="415" t="n"/>
    </row>
    <row r="64">
      <c r="A64" s="63" t="inlineStr">
        <is>
          <t>Line item</t>
        </is>
      </c>
      <c r="B64" s="65" t="inlineStr">
        <is>
          <t>Unit</t>
        </is>
      </c>
      <c r="C64" s="65" t="inlineStr">
        <is>
          <t>FY2026A</t>
        </is>
      </c>
      <c r="D64" s="65" t="inlineStr">
        <is>
          <t>FY2027E</t>
        </is>
      </c>
      <c r="E64" s="65" t="inlineStr">
        <is>
          <t>FY2028E</t>
        </is>
      </c>
      <c r="F64" s="65" t="inlineStr">
        <is>
          <t>FY2029E</t>
        </is>
      </c>
      <c r="G64" s="65" t="inlineStr">
        <is>
          <t>FY2030E</t>
        </is>
      </c>
      <c r="H64" s="65" t="inlineStr">
        <is>
          <t>FY2031E</t>
        </is>
      </c>
      <c r="I64" s="65" t="inlineStr">
        <is>
          <t>FY2032E</t>
        </is>
      </c>
      <c r="J64" s="65" t="inlineStr">
        <is>
          <t>FY2033E</t>
        </is>
      </c>
      <c r="K64" s="65" t="inlineStr">
        <is>
          <t>CAGR</t>
        </is>
      </c>
      <c r="L64" s="409" t="inlineStr">
        <is>
          <t>Source</t>
        </is>
      </c>
      <c r="M64" s="65" t="inlineStr">
        <is>
          <t>Conf.</t>
        </is>
      </c>
      <c r="N64" s="410" t="inlineStr">
        <is>
          <t>Notes / methodology</t>
        </is>
      </c>
      <c r="P64" s="707" t="inlineStr">
        <is>
          <t>Ref</t>
        </is>
      </c>
    </row>
    <row r="65">
      <c r="A65" s="69" t="inlineStr">
        <is>
          <t>Crude steel production</t>
        </is>
      </c>
      <c r="B65" s="78" t="inlineStr">
        <is>
          <t>Mt</t>
        </is>
      </c>
      <c r="C65" s="907">
        <f>'Steel Supply Model'!C$99</f>
        <v/>
      </c>
      <c r="D65" s="907">
        <f>'Steel Supply Model'!D$99</f>
        <v/>
      </c>
      <c r="E65" s="907">
        <f>'Steel Supply Model'!E$99</f>
        <v/>
      </c>
      <c r="F65" s="907">
        <f>'Steel Supply Model'!F$99</f>
        <v/>
      </c>
      <c r="G65" s="907">
        <f>'Steel Supply Model'!G$99</f>
        <v/>
      </c>
      <c r="H65" s="907">
        <f>'Steel Supply Model'!H$99</f>
        <v/>
      </c>
      <c r="I65" s="907">
        <f>'Steel Supply Model'!I$99</f>
        <v/>
      </c>
      <c r="J65" s="907">
        <f>'Steel Supply Model'!J$99</f>
        <v/>
      </c>
      <c r="K65" s="83" t="n"/>
      <c r="L65" s="344" t="inlineStr">
        <is>
          <t>05 Supply</t>
        </is>
      </c>
      <c r="M65" s="352" t="inlineStr">
        <is>
          <t>High</t>
        </is>
      </c>
      <c r="N65" s="68" t="n"/>
      <c r="P65" s="708" t="inlineStr">
        <is>
          <t>CU04</t>
        </is>
      </c>
    </row>
    <row r="66">
      <c r="A66" s="69" t="inlineStr">
        <is>
          <t>Crude steel capacity</t>
        </is>
      </c>
      <c r="B66" s="78" t="inlineStr">
        <is>
          <t>Mtpa</t>
        </is>
      </c>
      <c r="C66" s="952">
        <f>'Capacity Forecast'!C$101</f>
        <v/>
      </c>
      <c r="D66" s="952">
        <f>'Capacity Forecast'!D$101</f>
        <v/>
      </c>
      <c r="E66" s="952">
        <f>'Capacity Forecast'!E$101</f>
        <v/>
      </c>
      <c r="F66" s="952">
        <f>'Capacity Forecast'!F$101</f>
        <v/>
      </c>
      <c r="G66" s="952">
        <f>'Capacity Forecast'!G$101</f>
        <v/>
      </c>
      <c r="H66" s="952">
        <f>'Capacity Forecast'!H$101</f>
        <v/>
      </c>
      <c r="I66" s="952">
        <f>'Capacity Forecast'!I$101</f>
        <v/>
      </c>
      <c r="J66" s="952">
        <f>'Capacity Forecast'!J$101</f>
        <v/>
      </c>
      <c r="K66" s="83" t="n"/>
      <c r="L66" s="344" t="inlineStr">
        <is>
          <t>06 Capacity</t>
        </is>
      </c>
      <c r="M66" s="352" t="inlineStr">
        <is>
          <t>High</t>
        </is>
      </c>
      <c r="N66" s="68" t="n"/>
      <c r="P66" s="708" t="inlineStr">
        <is>
          <t>CU05</t>
        </is>
      </c>
    </row>
    <row r="67" ht="36" customHeight="1" s="632">
      <c r="A67" s="98" t="inlineStr">
        <is>
          <t>Capacity utilisation</t>
        </is>
      </c>
      <c r="B67" s="78" t="inlineStr">
        <is>
          <t>%</t>
        </is>
      </c>
      <c r="C67" s="992">
        <f>C65/C66</f>
        <v/>
      </c>
      <c r="D67" s="992">
        <f>D65/D66</f>
        <v/>
      </c>
      <c r="E67" s="992">
        <f>E65/E66</f>
        <v/>
      </c>
      <c r="F67" s="992">
        <f>F65/F66</f>
        <v/>
      </c>
      <c r="G67" s="992">
        <f>G65/G66</f>
        <v/>
      </c>
      <c r="H67" s="992">
        <f>H65/H66</f>
        <v/>
      </c>
      <c r="I67" s="992">
        <f>I65/I66</f>
        <v/>
      </c>
      <c r="J67" s="992">
        <f>J65/J66</f>
        <v/>
      </c>
      <c r="K67" s="83" t="n"/>
      <c r="L67" s="344" t="inlineStr">
        <is>
          <t>Computed</t>
        </is>
      </c>
      <c r="M67" s="352" t="inlineStr">
        <is>
          <t>High</t>
        </is>
      </c>
      <c r="N67" s="345" t="inlineStr">
        <is>
          <t>FY2026A of 76.4%. Uses closing capacity as the denominator, so it understates true utilisation in heavy commissioning years - the same convention as the database.</t>
        </is>
      </c>
      <c r="P67" s="708" t="inlineStr">
        <is>
          <t>CU06</t>
        </is>
      </c>
    </row>
    <row r="68" ht="24" customHeight="1" s="632">
      <c r="A68" s="69" t="inlineStr">
        <is>
          <t>Normal utilisation</t>
        </is>
      </c>
      <c r="B68" s="78" t="inlineStr">
        <is>
          <t>%</t>
        </is>
      </c>
      <c r="C68" s="83" t="n"/>
      <c r="D68" s="904">
        <f>'Model Assumptions'!E$31</f>
        <v/>
      </c>
      <c r="E68" s="904">
        <f>'Model Assumptions'!F$31</f>
        <v/>
      </c>
      <c r="F68" s="904">
        <f>'Model Assumptions'!G$31</f>
        <v/>
      </c>
      <c r="G68" s="904">
        <f>'Model Assumptions'!H$31</f>
        <v/>
      </c>
      <c r="H68" s="904">
        <f>'Model Assumptions'!I$31</f>
        <v/>
      </c>
      <c r="I68" s="904">
        <f>'Model Assumptions'!J$31</f>
        <v/>
      </c>
      <c r="J68" s="904">
        <f>'Model Assumptions'!K$31</f>
        <v/>
      </c>
      <c r="K68" s="83" t="n"/>
      <c r="L68" s="344" t="inlineStr">
        <is>
          <t>Derived from Master DB</t>
        </is>
      </c>
      <c r="M68" s="352" t="inlineStr">
        <is>
          <t>Medium</t>
        </is>
      </c>
      <c r="N68" s="345" t="inlineStr">
        <is>
          <t>80%, anchored on the FY2024 actual of 80.4%.</t>
        </is>
      </c>
      <c r="P68" s="708" t="inlineStr">
        <is>
          <t>CU07</t>
        </is>
      </c>
    </row>
    <row r="69" ht="36" customHeight="1" s="632">
      <c r="A69" s="69" t="inlineStr">
        <is>
          <t>Utilisation gap vs normal</t>
        </is>
      </c>
      <c r="B69" s="78" t="inlineStr">
        <is>
          <t>ppt</t>
        </is>
      </c>
      <c r="C69" s="83" t="n"/>
      <c r="D69" s="91">
        <f>D67-D68</f>
        <v/>
      </c>
      <c r="E69" s="904">
        <f>E67-E68</f>
        <v/>
      </c>
      <c r="F69" s="904">
        <f>F67-F68</f>
        <v/>
      </c>
      <c r="G69" s="904">
        <f>G67-G68</f>
        <v/>
      </c>
      <c r="H69" s="904">
        <f>H67-H68</f>
        <v/>
      </c>
      <c r="I69" s="904">
        <f>I67-I68</f>
        <v/>
      </c>
      <c r="J69" s="904">
        <f>J67-J68</f>
        <v/>
      </c>
      <c r="K69" s="83" t="n"/>
      <c r="L69" s="344" t="inlineStr">
        <is>
          <t>Computed</t>
        </is>
      </c>
      <c r="M69" s="352" t="inlineStr">
        <is>
          <t>High</t>
        </is>
      </c>
      <c r="N69" s="345" t="inlineStr">
        <is>
          <t>THE DRIVER OF THE PRICE FEEDBACK. Positive means tight capacity supporting price; negative means surplus capacity depressing it. Used with a one-year lag on 09.</t>
        </is>
      </c>
      <c r="P69" s="708" t="inlineStr">
        <is>
          <t>CU08</t>
        </is>
      </c>
    </row>
    <row r="70" ht="24.6" customHeight="1" s="632" thickBot="1">
      <c r="A70" s="72" t="inlineStr">
        <is>
          <t>Spare capacity</t>
        </is>
      </c>
      <c r="B70" s="79" t="inlineStr">
        <is>
          <t>Mt</t>
        </is>
      </c>
      <c r="C70" s="97" t="n"/>
      <c r="D70" s="909">
        <f>D66-D65</f>
        <v/>
      </c>
      <c r="E70" s="909">
        <f>E66-E65</f>
        <v/>
      </c>
      <c r="F70" s="909">
        <f>F66-F65</f>
        <v/>
      </c>
      <c r="G70" s="909">
        <f>G66-G65</f>
        <v/>
      </c>
      <c r="H70" s="909">
        <f>H66-H65</f>
        <v/>
      </c>
      <c r="I70" s="909">
        <f>I66-I65</f>
        <v/>
      </c>
      <c r="J70" s="909">
        <f>J66-J65</f>
        <v/>
      </c>
      <c r="K70" s="97" t="n"/>
      <c r="L70" s="346" t="inlineStr">
        <is>
          <t>Computed</t>
        </is>
      </c>
      <c r="M70" s="353" t="inlineStr">
        <is>
          <t>High</t>
        </is>
      </c>
      <c r="N70" s="347" t="inlineStr">
        <is>
          <t>Idle capacity. Large and persistent spare capacity is the structural reason the base case forecasts realisation growing below inflation.</t>
        </is>
      </c>
      <c r="P70" s="708" t="inlineStr">
        <is>
          <t>CU09</t>
        </is>
      </c>
    </row>
    <row r="71"/>
    <row r="72">
      <c r="A72" s="393" t="inlineStr">
        <is>
          <t>FY2026 utilisation of 76.4% against 80.4% in FY2024 is the single most important structural fact in the Indian steel investment case: capacity has been added faster than demand, which caps domestic pricing power and is why a safeguard duty was needed.</t>
        </is>
      </c>
    </row>
  </sheetData>
  <mergeCells count="21">
    <mergeCell ref="A7:I7"/>
    <mergeCell ref="A17:D17"/>
    <mergeCell ref="G43:H43"/>
    <mergeCell ref="B47:C47"/>
    <mergeCell ref="G42:H42"/>
    <mergeCell ref="B46:C46"/>
    <mergeCell ref="B43:C43"/>
    <mergeCell ref="A2:F2"/>
    <mergeCell ref="A41:B41"/>
    <mergeCell ref="B42:C42"/>
    <mergeCell ref="A50:E50"/>
    <mergeCell ref="B44:C44"/>
    <mergeCell ref="G45:H45"/>
    <mergeCell ref="A5:N5"/>
    <mergeCell ref="A30:I30"/>
    <mergeCell ref="F17:I17"/>
    <mergeCell ref="G47:H47"/>
    <mergeCell ref="A72:N72"/>
    <mergeCell ref="B45:C45"/>
    <mergeCell ref="G44:H44"/>
    <mergeCell ref="G46:H46"/>
  </mergeCells>
  <hyperlinks>
    <hyperlink ref="K23" location="'Audit Checks'!A335" tooltip="Open the reference register on 25 Audit Checks"/>
    <hyperlink ref="K25" location="'Audit Checks'!A335" tooltip="Open the reference register on 25 Audit Checks"/>
    <hyperlink ref="K27" location="'Audit Checks'!A335" tooltip="Open the reference register on 25 Audit Checks"/>
    <hyperlink ref="J38" location="'Audit Checks'!A335" tooltip="Open the reference register on 25 Audit Checks"/>
    <hyperlink ref="G58" location="'Audit Checks'!A335" tooltip="Open the reference register on 25 Audit Checks"/>
    <hyperlink ref="P65" location="'Audit Checks'!A335" tooltip="Open the reference register on 25 Audit Checks"/>
    <hyperlink ref="P66" location="'Audit Checks'!A335" tooltip="Open the reference register on 25 Audit Checks"/>
    <hyperlink ref="P67" location="'Audit Checks'!A335" tooltip="Open the reference register on 25 Audit Checks"/>
    <hyperlink ref="P68" location="'Audit Checks'!A335" tooltip="Open the reference register on 25 Audit Checks"/>
    <hyperlink ref="P69" location="'Audit Checks'!A335" tooltip="Open the reference register on 25 Audit Checks"/>
    <hyperlink ref="P70" location="'Audit Checks'!A335" tooltip="Open the reference register on 25 Audit Checks"/>
  </hyperlinks>
  <pageMargins left="0.7" right="0.7" top="0.75" bottom="0.75" header="0.3" footer="0.3"/>
  <drawing xmlns:r="http://schemas.openxmlformats.org/officeDocument/2006/relationships" r:id="rId1"/>
</worksheet>
</file>

<file path=xl/worksheets/sheet14.xml><?xml version="1.0" encoding="utf-8"?>
<worksheet xmlns="http://schemas.openxmlformats.org/spreadsheetml/2006/main">
  <sheetPr codeName="Sheet14">
    <tabColor rgb="FF002060"/>
    <outlinePr summaryBelow="1" summaryRight="1"/>
    <pageSetUpPr/>
  </sheetPr>
  <dimension ref="A1:P109"/>
  <sheetViews>
    <sheetView showGridLines="0" workbookViewId="0">
      <selection activeCell="A3" sqref="A3"/>
    </sheetView>
  </sheetViews>
  <sheetFormatPr baseColWidth="8" defaultRowHeight="14.4"/>
  <cols>
    <col width="35.77734375" customWidth="1" style="632" min="1" max="1"/>
    <col width="14.44140625" customWidth="1" style="632" min="2" max="9"/>
    <col width="7" customWidth="1" style="632" min="4" max="4"/>
    <col width="7" customWidth="1" style="632" min="7" max="7"/>
    <col width="10.5546875" customWidth="1" style="632" min="10" max="11"/>
    <col width="7" customWidth="1" style="632" min="11" max="11"/>
    <col width="14" customWidth="1" style="632" min="12" max="12"/>
    <col width="8" customWidth="1" style="632" min="13" max="13"/>
    <col width="42.33203125" customWidth="1" style="632" min="14" max="14"/>
    <col width="7" customWidth="1" style="632" min="16" max="16"/>
  </cols>
  <sheetData>
    <row r="1" ht="25.8" customHeight="1" s="632">
      <c r="A1" s="372" t="inlineStr">
        <is>
          <t>STEEL PRICE FORECAST</t>
        </is>
      </c>
    </row>
    <row r="2">
      <c r="A2" s="355" t="inlineStr">
        <is>
          <t>Industry Financial Model  |  Indian Steel Industry  |  Horizon FY2027E-FY2033E  |  Base year FY2026A</t>
        </is>
      </c>
    </row>
    <row r="3">
      <c r="A3" s="371" t="n"/>
    </row>
    <row r="4">
      <c r="A4" s="356" t="inlineStr">
        <is>
          <t>OBJECTIVE</t>
        </is>
      </c>
    </row>
    <row r="5">
      <c r="A5" s="576" t="inlineStr">
        <is>
          <t>Forecast Indian domestic steel prices by integrating supply-demand fundamentals, capacity utilisation, raw material costs, international prices, trade dynamics, and macroeconomic conditions.</t>
        </is>
      </c>
    </row>
    <row r="6">
      <c r="A6" s="576" t="n"/>
      <c r="B6" s="576" t="n"/>
      <c r="C6" s="576" t="n"/>
      <c r="D6" s="576" t="n"/>
      <c r="E6" s="576" t="n"/>
      <c r="F6" s="576" t="n"/>
      <c r="G6" s="576" t="n"/>
      <c r="H6" s="576" t="n"/>
      <c r="I6" s="576" t="n"/>
      <c r="J6" s="576" t="n"/>
      <c r="K6" s="576" t="n"/>
      <c r="L6" s="576" t="n"/>
      <c r="M6" s="576" t="n"/>
      <c r="N6" s="576" t="n"/>
    </row>
    <row r="7" ht="16.2" customHeight="1" s="632" thickBot="1">
      <c r="A7" s="621" t="inlineStr">
        <is>
          <t>Executive Summary</t>
        </is>
      </c>
      <c r="B7" s="991" t="n"/>
      <c r="C7" s="991" t="n"/>
      <c r="D7" s="991" t="n"/>
      <c r="E7" s="991" t="n"/>
      <c r="F7" s="991" t="n"/>
      <c r="G7" s="991" t="n"/>
      <c r="H7" s="991" t="n"/>
      <c r="I7" s="991" t="n"/>
      <c r="J7" s="576" t="n"/>
      <c r="K7" s="576" t="n"/>
      <c r="L7" s="576" t="n"/>
      <c r="M7" s="576" t="n"/>
      <c r="N7" s="576" t="n"/>
    </row>
    <row r="8" ht="15.6" customHeight="1" s="632" thickBot="1" thickTop="1">
      <c r="A8" s="648" t="inlineStr">
        <is>
          <t>KPI</t>
        </is>
      </c>
      <c r="B8" s="649" t="inlineStr">
        <is>
          <t>FY26A</t>
        </is>
      </c>
      <c r="C8" s="649" t="inlineStr">
        <is>
          <t>FY27E</t>
        </is>
      </c>
      <c r="D8" s="649" t="inlineStr">
        <is>
          <t>FY28E</t>
        </is>
      </c>
      <c r="E8" s="649" t="inlineStr">
        <is>
          <t>FY29E</t>
        </is>
      </c>
      <c r="F8" s="649" t="inlineStr">
        <is>
          <t>FY30E</t>
        </is>
      </c>
      <c r="G8" s="649" t="inlineStr">
        <is>
          <t>FY31E</t>
        </is>
      </c>
      <c r="H8" s="649" t="inlineStr">
        <is>
          <t>FY32E</t>
        </is>
      </c>
      <c r="I8" s="650" t="inlineStr">
        <is>
          <t>FY33E</t>
        </is>
      </c>
      <c r="J8" s="576" t="n"/>
      <c r="K8" s="576" t="n"/>
      <c r="L8" s="576" t="n"/>
      <c r="M8" s="707" t="inlineStr">
        <is>
          <t>Ref</t>
        </is>
      </c>
      <c r="N8" s="576" t="n"/>
    </row>
    <row r="9" ht="15" customHeight="1" s="632" thickTop="1">
      <c r="A9" s="246" t="inlineStr">
        <is>
          <t>Domestic HRC Price (₹/t)</t>
        </is>
      </c>
      <c r="B9" s="993" t="n">
        <v>57700</v>
      </c>
      <c r="C9" s="994">
        <f>$B$9*D103/$C$103</f>
        <v/>
      </c>
      <c r="D9" s="994">
        <f>$B$9*E103/$C$103</f>
        <v/>
      </c>
      <c r="E9" s="994">
        <f>$B$9*F103/$C$103</f>
        <v/>
      </c>
      <c r="F9" s="994">
        <f>$B$9*G103/$C$103</f>
        <v/>
      </c>
      <c r="G9" s="994">
        <f>$B$9*H103/$C$103</f>
        <v/>
      </c>
      <c r="H9" s="994">
        <f>$B$9*I103/$C$103</f>
        <v/>
      </c>
      <c r="I9" s="995">
        <f>$B$9*J103/$C$103</f>
        <v/>
      </c>
      <c r="J9" s="576" t="n"/>
      <c r="K9" s="576" t="n"/>
      <c r="L9" s="576" t="n"/>
      <c r="M9" s="576" t="n"/>
      <c r="N9" s="576" t="n"/>
    </row>
    <row r="10">
      <c r="A10" s="247" t="inlineStr">
        <is>
          <t>Export HRC Price (US$/t)</t>
        </is>
      </c>
      <c r="B10" s="895">
        <f>B9/'Model Assumptions'!D$10*$K$10</f>
        <v/>
      </c>
      <c r="C10" s="895">
        <f>C9/'Model Assumptions'!E$10*$K$10</f>
        <v/>
      </c>
      <c r="D10" s="895">
        <f>D9/'Model Assumptions'!F$10*$K$10</f>
        <v/>
      </c>
      <c r="E10" s="895">
        <f>E9/'Model Assumptions'!G$10*$K$10</f>
        <v/>
      </c>
      <c r="F10" s="895">
        <f>F9/'Model Assumptions'!H$10*$K$10</f>
        <v/>
      </c>
      <c r="G10" s="895">
        <f>G9/'Model Assumptions'!I$10*$K$10</f>
        <v/>
      </c>
      <c r="H10" s="895">
        <f>H9/'Model Assumptions'!J$10*$K$10</f>
        <v/>
      </c>
      <c r="I10" s="882">
        <f>I9/'Model Assumptions'!K$10*$K$10</f>
        <v/>
      </c>
      <c r="J10" s="576" t="n"/>
      <c r="K10" s="996" t="n">
        <v>0.92</v>
      </c>
      <c r="L10" s="576" t="n"/>
      <c r="M10" s="708" t="inlineStr">
        <is>
          <t>PF01</t>
        </is>
      </c>
      <c r="N10" s="576" t="n"/>
    </row>
    <row r="11">
      <c r="A11" s="247" t="inlineStr">
        <is>
          <t>Steel Price Growth (%)</t>
        </is>
      </c>
      <c r="B11" s="955" t="n"/>
      <c r="C11" s="954">
        <f>IFERROR(D103/C103-1,"")</f>
        <v/>
      </c>
      <c r="D11" s="954">
        <f>IFERROR(E103/D103-1,"")</f>
        <v/>
      </c>
      <c r="E11" s="954">
        <f>IFERROR(F103/E103-1,"")</f>
        <v/>
      </c>
      <c r="F11" s="954">
        <f>IFERROR(G103/F103-1,"")</f>
        <v/>
      </c>
      <c r="G11" s="954">
        <f>IFERROR(H103/G103-1,"")</f>
        <v/>
      </c>
      <c r="H11" s="954">
        <f>IFERROR(I103/H103-1,"")</f>
        <v/>
      </c>
      <c r="I11" s="929">
        <f>IFERROR(J103/I103-1,"")</f>
        <v/>
      </c>
      <c r="J11" s="576" t="n"/>
      <c r="K11" s="576" t="n"/>
      <c r="L11" s="576" t="n"/>
      <c r="M11" s="708" t="inlineStr">
        <is>
          <t>PF23</t>
        </is>
      </c>
      <c r="N11" s="576" t="n"/>
    </row>
    <row r="12">
      <c r="A12" s="247" t="inlineStr">
        <is>
          <t>Average Selling Price (ASP)</t>
        </is>
      </c>
      <c r="B12" s="997">
        <f>$C$103</f>
        <v/>
      </c>
      <c r="C12" s="997">
        <f>$D$103</f>
        <v/>
      </c>
      <c r="D12" s="997">
        <f>$E$103</f>
        <v/>
      </c>
      <c r="E12" s="997">
        <f>$F$103</f>
        <v/>
      </c>
      <c r="F12" s="997">
        <f>$G$103</f>
        <v/>
      </c>
      <c r="G12" s="997">
        <f>$H$103</f>
        <v/>
      </c>
      <c r="H12" s="997">
        <f>$I$103</f>
        <v/>
      </c>
      <c r="I12" s="998">
        <f>$J$103</f>
        <v/>
      </c>
      <c r="J12" s="576" t="n"/>
      <c r="K12" s="576" t="n"/>
      <c r="L12" s="576" t="n"/>
      <c r="M12" s="576" t="n"/>
      <c r="N12" s="576" t="n"/>
    </row>
    <row r="13">
      <c r="A13" s="247" t="inlineStr">
        <is>
          <t>Price Index (FY26=100)</t>
        </is>
      </c>
      <c r="B13" s="895">
        <f>IFERROR(C103/$C$103*100,"")</f>
        <v/>
      </c>
      <c r="C13" s="895">
        <f>IFERROR(D103/$C$103*100,"")</f>
        <v/>
      </c>
      <c r="D13" s="895">
        <f>IFERROR(E103/$C$103*100,"")</f>
        <v/>
      </c>
      <c r="E13" s="895">
        <f>IFERROR(F103/$C$103*100,"")</f>
        <v/>
      </c>
      <c r="F13" s="895">
        <f>IFERROR(G103/$C$103*100,"")</f>
        <v/>
      </c>
      <c r="G13" s="895">
        <f>IFERROR(H103/$C$103*100,"")</f>
        <v/>
      </c>
      <c r="H13" s="895">
        <f>IFERROR(I103/$C$103*100,"")</f>
        <v/>
      </c>
      <c r="I13" s="882">
        <f>IFERROR(J103/$C$103*100,"")</f>
        <v/>
      </c>
      <c r="J13" s="576" t="n"/>
      <c r="K13" s="576" t="n"/>
      <c r="L13" s="576" t="n"/>
      <c r="M13" s="576" t="n"/>
      <c r="N13" s="576" t="n"/>
    </row>
    <row r="14" ht="15" customHeight="1" s="632" thickBot="1">
      <c r="A14" s="248" t="inlineStr">
        <is>
          <t>Real Price Growth (%)</t>
        </is>
      </c>
      <c r="B14" s="830" t="n"/>
      <c r="C14" s="990">
        <f>IFERROR((1+C11)/(1+'Model Assumptions'!E$11)-1,"")</f>
        <v/>
      </c>
      <c r="D14" s="990">
        <f>IFERROR((1+D11)/(1+'Model Assumptions'!F$11)-1,"")</f>
        <v/>
      </c>
      <c r="E14" s="990">
        <f>IFERROR((1+E11)/(1+'Model Assumptions'!G$11)-1,"")</f>
        <v/>
      </c>
      <c r="F14" s="990">
        <f>IFERROR((1+F11)/(1+'Model Assumptions'!H$11)-1,"")</f>
        <v/>
      </c>
      <c r="G14" s="990">
        <f>IFERROR((1+G11)/(1+'Model Assumptions'!I$11)-1,"")</f>
        <v/>
      </c>
      <c r="H14" s="990">
        <f>IFERROR((1+H11)/(1+'Model Assumptions'!J$11)-1,"")</f>
        <v/>
      </c>
      <c r="I14" s="930">
        <f>IFERROR((1+I11)/(1+'Model Assumptions'!K$11)-1,"")</f>
        <v/>
      </c>
      <c r="J14" s="576" t="n"/>
      <c r="K14" s="576" t="n"/>
      <c r="L14" s="576" t="n"/>
      <c r="M14" s="708" t="inlineStr">
        <is>
          <t>PF23</t>
        </is>
      </c>
      <c r="N14" s="576" t="n"/>
    </row>
    <row r="15">
      <c r="A15" s="576" t="n"/>
      <c r="B15" s="576" t="n"/>
      <c r="C15" s="576" t="n"/>
      <c r="D15" s="576" t="n"/>
      <c r="E15" s="576" t="n"/>
      <c r="F15" s="576" t="n"/>
      <c r="G15" s="576" t="n"/>
      <c r="H15" s="576" t="n"/>
      <c r="I15" s="576" t="n"/>
      <c r="J15" s="576" t="n"/>
      <c r="K15" s="576" t="n"/>
      <c r="L15" s="576" t="n"/>
      <c r="M15" s="576" t="n"/>
      <c r="N15" s="576" t="n"/>
    </row>
    <row r="16">
      <c r="A16" s="576" t="n"/>
      <c r="B16" s="576" t="n"/>
      <c r="C16" s="576" t="n"/>
      <c r="D16" s="576" t="n"/>
      <c r="E16" s="576" t="n"/>
      <c r="F16" s="576" t="n"/>
      <c r="G16" s="576" t="n"/>
      <c r="H16" s="576" t="n"/>
      <c r="I16" s="576" t="n"/>
      <c r="J16" s="576" t="n"/>
      <c r="K16" s="576" t="n"/>
      <c r="L16" s="576" t="n"/>
      <c r="M16" s="576" t="n"/>
      <c r="N16" s="576" t="n"/>
    </row>
    <row r="17" ht="16.2" customHeight="1" s="632" thickBot="1">
      <c r="A17" s="621" t="inlineStr">
        <is>
          <t>Historical Price Series</t>
        </is>
      </c>
      <c r="B17" s="991" t="n"/>
      <c r="C17" s="991" t="n"/>
      <c r="D17" s="991" t="n"/>
      <c r="E17" s="991" t="n"/>
      <c r="F17" s="991" t="n"/>
      <c r="G17" s="991" t="n"/>
      <c r="H17" s="991" t="n"/>
      <c r="I17" s="991" t="n"/>
      <c r="J17" s="576" t="n"/>
      <c r="K17" s="576" t="n"/>
      <c r="L17" s="576" t="n"/>
      <c r="M17" s="576" t="n"/>
      <c r="N17" s="576" t="n"/>
    </row>
    <row r="18" ht="15.6" customHeight="1" s="632" thickBot="1" thickTop="1">
      <c r="A18" s="648" t="inlineStr">
        <is>
          <t>Year</t>
        </is>
      </c>
      <c r="B18" s="649" t="inlineStr">
        <is>
          <t>FY26A</t>
        </is>
      </c>
      <c r="C18" s="649" t="inlineStr">
        <is>
          <t>FY27E</t>
        </is>
      </c>
      <c r="D18" s="649" t="inlineStr">
        <is>
          <t>FY28E</t>
        </is>
      </c>
      <c r="E18" s="649" t="inlineStr">
        <is>
          <t>FY29E</t>
        </is>
      </c>
      <c r="F18" s="649" t="inlineStr">
        <is>
          <t>FY30E</t>
        </is>
      </c>
      <c r="G18" s="649" t="inlineStr">
        <is>
          <t>FY31E</t>
        </is>
      </c>
      <c r="H18" s="649" t="inlineStr">
        <is>
          <t>FY32E</t>
        </is>
      </c>
      <c r="I18" s="650" t="inlineStr">
        <is>
          <t>FY33E</t>
        </is>
      </c>
      <c r="J18" s="576" t="n"/>
      <c r="K18" s="576" t="n"/>
      <c r="L18" s="576" t="n"/>
      <c r="M18" s="707" t="inlineStr">
        <is>
          <t>Ref</t>
        </is>
      </c>
      <c r="N18" s="576" t="n"/>
    </row>
    <row r="19" ht="15" customHeight="1" s="632" thickTop="1">
      <c r="A19" s="246" t="inlineStr">
        <is>
          <t>HRC</t>
        </is>
      </c>
      <c r="B19" s="999">
        <f>$B$9</f>
        <v/>
      </c>
      <c r="C19" s="994">
        <f>$B$19*D103/$C$103</f>
        <v/>
      </c>
      <c r="D19" s="994">
        <f>$B$19*E103/$C$103</f>
        <v/>
      </c>
      <c r="E19" s="994">
        <f>$B$19*F103/$C$103</f>
        <v/>
      </c>
      <c r="F19" s="994">
        <f>$B$19*G103/$C$103</f>
        <v/>
      </c>
      <c r="G19" s="1000">
        <f>$B$19*H103/$C$103</f>
        <v/>
      </c>
      <c r="H19" s="1000">
        <f>$B$19*I103/$C$103</f>
        <v/>
      </c>
      <c r="I19" s="1001">
        <f>$B$19*J103/$C$103</f>
        <v/>
      </c>
      <c r="J19" s="576" t="n"/>
      <c r="K19" s="576" t="n"/>
      <c r="L19" s="576" t="n"/>
      <c r="M19" s="576" t="n"/>
      <c r="N19" s="576" t="n"/>
    </row>
    <row r="20">
      <c r="A20" s="247" t="inlineStr">
        <is>
          <t>CRC</t>
        </is>
      </c>
      <c r="B20" s="1002">
        <f>B19*$K$20</f>
        <v/>
      </c>
      <c r="C20" s="1002">
        <f>C19*$K$20</f>
        <v/>
      </c>
      <c r="D20" s="1002">
        <f>D19*$K$20</f>
        <v/>
      </c>
      <c r="E20" s="1002">
        <f>E19*$K$20</f>
        <v/>
      </c>
      <c r="F20" s="1002">
        <f>F19*$K$20</f>
        <v/>
      </c>
      <c r="G20" s="1003">
        <f>G19*$K$20</f>
        <v/>
      </c>
      <c r="H20" s="1003">
        <f>H19*$K$20</f>
        <v/>
      </c>
      <c r="I20" s="1004">
        <f>I19*$K$20</f>
        <v/>
      </c>
      <c r="J20" s="576" t="n"/>
      <c r="K20" s="996" t="n">
        <v>1.12</v>
      </c>
      <c r="L20" s="576" t="n"/>
      <c r="M20" s="708" t="inlineStr">
        <is>
          <t>PF02</t>
        </is>
      </c>
      <c r="N20" s="576" t="n"/>
    </row>
    <row r="21">
      <c r="A21" s="247" t="inlineStr">
        <is>
          <t>Rebar</t>
        </is>
      </c>
      <c r="B21" s="1005" t="n">
        <v>59800</v>
      </c>
      <c r="C21" s="1002">
        <f>$B$21*D103/$C$103</f>
        <v/>
      </c>
      <c r="D21" s="1002">
        <f>$B$21*E103/$C$103</f>
        <v/>
      </c>
      <c r="E21" s="1002">
        <f>$B$21*F103/$C$103</f>
        <v/>
      </c>
      <c r="F21" s="1002">
        <f>$B$21*G103/$C$103</f>
        <v/>
      </c>
      <c r="G21" s="1003">
        <f>$B$21*H103/$C$103</f>
        <v/>
      </c>
      <c r="H21" s="1003">
        <f>$B$21*I103/$C$103</f>
        <v/>
      </c>
      <c r="I21" s="1004">
        <f>$B$21*J103/$C$103</f>
        <v/>
      </c>
      <c r="J21" s="576" t="n"/>
      <c r="K21" s="576" t="n"/>
      <c r="L21" s="576" t="n"/>
      <c r="M21" s="576" t="n"/>
      <c r="N21" s="576" t="n"/>
    </row>
    <row r="22">
      <c r="A22" s="247" t="inlineStr">
        <is>
          <t>Wire Rod</t>
        </is>
      </c>
      <c r="B22" s="1002">
        <f>B19*$K$22</f>
        <v/>
      </c>
      <c r="C22" s="1002">
        <f>C19*$K$22</f>
        <v/>
      </c>
      <c r="D22" s="1002">
        <f>D19*$K$22</f>
        <v/>
      </c>
      <c r="E22" s="1002">
        <f>E19*$K$22</f>
        <v/>
      </c>
      <c r="F22" s="1002">
        <f>F19*$K$22</f>
        <v/>
      </c>
      <c r="G22" s="1003">
        <f>G19*$K$22</f>
        <v/>
      </c>
      <c r="H22" s="1003">
        <f>H19*$K$22</f>
        <v/>
      </c>
      <c r="I22" s="1004">
        <f>I19*$K$22</f>
        <v/>
      </c>
      <c r="J22" s="576" t="n"/>
      <c r="K22" s="996" t="n">
        <v>0.98</v>
      </c>
      <c r="L22" s="576" t="n"/>
      <c r="M22" s="708" t="inlineStr">
        <is>
          <t>PF03</t>
        </is>
      </c>
      <c r="N22" s="576" t="n"/>
    </row>
    <row r="23">
      <c r="A23" s="247" t="inlineStr">
        <is>
          <t>Plates</t>
        </is>
      </c>
      <c r="B23" s="1002">
        <f>B19*$K$23</f>
        <v/>
      </c>
      <c r="C23" s="1002">
        <f>C19*$K$23</f>
        <v/>
      </c>
      <c r="D23" s="1002">
        <f>D19*$K$23</f>
        <v/>
      </c>
      <c r="E23" s="1002">
        <f>E19*$K$23</f>
        <v/>
      </c>
      <c r="F23" s="1002">
        <f>F19*$K$23</f>
        <v/>
      </c>
      <c r="G23" s="1003">
        <f>G19*$K$23</f>
        <v/>
      </c>
      <c r="H23" s="1003">
        <f>H19*$K$23</f>
        <v/>
      </c>
      <c r="I23" s="1004">
        <f>I19*$K$23</f>
        <v/>
      </c>
      <c r="J23" s="576" t="n"/>
      <c r="K23" s="996" t="n">
        <v>1.06</v>
      </c>
      <c r="L23" s="576" t="n"/>
      <c r="M23" s="708" t="inlineStr">
        <is>
          <t>PF04</t>
        </is>
      </c>
      <c r="N23" s="576" t="n"/>
    </row>
    <row r="24">
      <c r="A24" s="247" t="inlineStr">
        <is>
          <t>Billets</t>
        </is>
      </c>
      <c r="B24" s="1005" t="n">
        <v>38850</v>
      </c>
      <c r="C24" s="1002">
        <f>$B$24*D103/$C$103</f>
        <v/>
      </c>
      <c r="D24" s="1002">
        <f>$B$24*E103/$C$103</f>
        <v/>
      </c>
      <c r="E24" s="1002">
        <f>$B$24*F103/$C$103</f>
        <v/>
      </c>
      <c r="F24" s="1002">
        <f>$B$24*G103/$C$103</f>
        <v/>
      </c>
      <c r="G24" s="1003">
        <f>$B$24*H103/$C$103</f>
        <v/>
      </c>
      <c r="H24" s="1003">
        <f>$B$24*I103/$C$103</f>
        <v/>
      </c>
      <c r="I24" s="1004">
        <f>$B$24*J103/$C$103</f>
        <v/>
      </c>
      <c r="J24" s="576" t="n"/>
      <c r="K24" s="576" t="n"/>
      <c r="L24" s="576" t="n"/>
      <c r="M24" s="576" t="n"/>
      <c r="N24" s="576" t="n"/>
    </row>
    <row r="25" ht="15" customHeight="1" s="632" thickBot="1">
      <c r="A25" s="248" t="inlineStr">
        <is>
          <t>Avg Industry ASP</t>
        </is>
      </c>
      <c r="B25" s="1006">
        <f>$C$103</f>
        <v/>
      </c>
      <c r="C25" s="1006">
        <f>$D$103</f>
        <v/>
      </c>
      <c r="D25" s="1006">
        <f>$E$103</f>
        <v/>
      </c>
      <c r="E25" s="1006">
        <f>$F$103</f>
        <v/>
      </c>
      <c r="F25" s="1006">
        <f>$G$103</f>
        <v/>
      </c>
      <c r="G25" s="1006">
        <f>$H$103</f>
        <v/>
      </c>
      <c r="H25" s="1006">
        <f>$I$103</f>
        <v/>
      </c>
      <c r="I25" s="1007">
        <f>$J$103</f>
        <v/>
      </c>
      <c r="J25" s="576" t="n"/>
      <c r="K25" s="576" t="n"/>
      <c r="L25" s="576" t="n"/>
      <c r="M25" s="708" t="inlineStr">
        <is>
          <t>PF05</t>
        </is>
      </c>
      <c r="N25" s="576" t="n"/>
    </row>
    <row r="26">
      <c r="A26" s="576" t="n"/>
      <c r="B26" s="576" t="n"/>
      <c r="C26" s="576" t="n"/>
      <c r="D26" s="576" t="n"/>
      <c r="E26" s="576" t="n"/>
      <c r="F26" s="576" t="n"/>
      <c r="G26" s="576" t="n"/>
      <c r="H26" s="576" t="n"/>
      <c r="I26" s="576" t="n"/>
      <c r="J26" s="576" t="n"/>
      <c r="K26" s="576" t="n"/>
      <c r="L26" s="576" t="n"/>
      <c r="M26" s="576" t="n"/>
      <c r="N26" s="576" t="n"/>
    </row>
    <row r="27">
      <c r="A27" s="576" t="n"/>
      <c r="B27" s="576" t="n"/>
      <c r="C27" s="576" t="n"/>
      <c r="D27" s="576" t="n"/>
      <c r="E27" s="576" t="n"/>
      <c r="F27" s="576" t="n"/>
      <c r="G27" s="576" t="n"/>
      <c r="H27" s="576" t="n"/>
      <c r="I27" s="576" t="n"/>
      <c r="J27" s="576" t="n"/>
      <c r="K27" s="576" t="n"/>
      <c r="L27" s="576" t="n"/>
      <c r="M27" s="576" t="n"/>
      <c r="N27" s="576" t="n"/>
    </row>
    <row r="28" ht="16.2" customHeight="1" s="632" thickBot="1">
      <c r="A28" s="621" t="inlineStr">
        <is>
          <t>Price Bridge</t>
        </is>
      </c>
      <c r="B28" s="991" t="n"/>
      <c r="C28" s="991" t="n"/>
      <c r="D28" s="991" t="n"/>
      <c r="E28" s="991" t="n"/>
      <c r="F28" s="991" t="n"/>
      <c r="G28" s="991" t="n"/>
      <c r="H28" s="991" t="n"/>
      <c r="I28" s="991" t="n"/>
      <c r="J28" s="576" t="n"/>
      <c r="K28" s="576" t="n"/>
      <c r="L28" s="576" t="n"/>
      <c r="M28" s="576" t="n"/>
      <c r="N28" s="576" t="n"/>
    </row>
    <row r="29" ht="15.6" customHeight="1" s="632" thickBot="1" thickTop="1">
      <c r="A29" s="645" t="inlineStr">
        <is>
          <t>Driver</t>
        </is>
      </c>
      <c r="B29" s="646" t="inlineStr">
        <is>
          <t>Weight</t>
        </is>
      </c>
      <c r="C29" s="646" t="inlineStr">
        <is>
          <t>FY27E</t>
        </is>
      </c>
      <c r="D29" s="646" t="inlineStr">
        <is>
          <t>FY28E</t>
        </is>
      </c>
      <c r="E29" s="646" t="inlineStr">
        <is>
          <t>FY29E</t>
        </is>
      </c>
      <c r="F29" s="646" t="inlineStr">
        <is>
          <t>FY30E</t>
        </is>
      </c>
      <c r="G29" s="646" t="inlineStr">
        <is>
          <t>FY31E</t>
        </is>
      </c>
      <c r="H29" s="646" t="inlineStr">
        <is>
          <t>FY32E</t>
        </is>
      </c>
      <c r="I29" s="647" t="inlineStr">
        <is>
          <t>FY33E</t>
        </is>
      </c>
      <c r="J29" s="576" t="n"/>
      <c r="K29" s="707" t="inlineStr">
        <is>
          <t>Ref</t>
        </is>
      </c>
      <c r="L29" s="576" t="n"/>
      <c r="M29" s="576" t="n"/>
      <c r="N29" s="576" t="n"/>
    </row>
    <row r="30" ht="15" customHeight="1" s="632" thickTop="1">
      <c r="A30" s="246" t="inlineStr">
        <is>
          <t>Previous Year Price</t>
        </is>
      </c>
      <c r="B30" s="1008" t="inlineStr">
        <is>
          <t>n/a - not a driver</t>
        </is>
      </c>
      <c r="C30" s="994">
        <f>$C$103</f>
        <v/>
      </c>
      <c r="D30" s="994">
        <f>$D$103</f>
        <v/>
      </c>
      <c r="E30" s="994">
        <f>$E$103</f>
        <v/>
      </c>
      <c r="F30" s="994">
        <f>$F$103</f>
        <v/>
      </c>
      <c r="G30" s="994">
        <f>$G$103</f>
        <v/>
      </c>
      <c r="H30" s="994">
        <f>$H$103</f>
        <v/>
      </c>
      <c r="I30" s="995">
        <f>$I$103</f>
        <v/>
      </c>
      <c r="J30" s="576" t="n"/>
      <c r="K30" s="576" t="n"/>
      <c r="L30" s="576" t="n"/>
      <c r="M30" s="576" t="n"/>
      <c r="N30" s="576" t="n"/>
    </row>
    <row r="31">
      <c r="A31" s="247" t="inlineStr">
        <is>
          <t>Demand Growth Effect</t>
        </is>
      </c>
      <c r="B31" s="1009" t="n">
        <v>0.3</v>
      </c>
      <c r="C31" s="1002">
        <f>$C$103*$B$31*'Steel Demand Model'!D115</f>
        <v/>
      </c>
      <c r="D31" s="1002">
        <f>$D$103*$B$31*'Steel Demand Model'!E115</f>
        <v/>
      </c>
      <c r="E31" s="1002">
        <f>$E$103*$B$31*'Steel Demand Model'!F115</f>
        <v/>
      </c>
      <c r="F31" s="1002">
        <f>$F$103*$B$31*'Steel Demand Model'!G115</f>
        <v/>
      </c>
      <c r="G31" s="1002">
        <f>$G$103*$B$31*'Steel Demand Model'!H115</f>
        <v/>
      </c>
      <c r="H31" s="1002">
        <f>$H$103*$B$31*'Steel Demand Model'!I115</f>
        <v/>
      </c>
      <c r="I31" s="967">
        <f>$I$103*$B$31*'Steel Demand Model'!J115</f>
        <v/>
      </c>
      <c r="J31" s="576" t="n"/>
      <c r="K31" s="708" t="inlineStr">
        <is>
          <t>PF06</t>
        </is>
      </c>
      <c r="L31" s="576" t="n"/>
      <c r="M31" s="576" t="n"/>
      <c r="N31" s="576" t="n"/>
    </row>
    <row r="32">
      <c r="A32" s="247" t="inlineStr">
        <is>
          <t>Supply Gap Effect</t>
        </is>
      </c>
      <c r="B32" s="1009" t="n">
        <v>-0.25</v>
      </c>
      <c r="C32" s="1002">
        <f>$C$103*$B$32*('Capacity Forecast'!D101-'Steel Supply Model'!D94)/'Capacity Forecast'!D101</f>
        <v/>
      </c>
      <c r="D32" s="1002">
        <f>$D$103*$B$32*('Capacity Forecast'!E101-'Steel Supply Model'!E94)/'Capacity Forecast'!E101</f>
        <v/>
      </c>
      <c r="E32" s="1002">
        <f>$E$103*$B$32*('Capacity Forecast'!F101-'Steel Supply Model'!F94)/'Capacity Forecast'!F101</f>
        <v/>
      </c>
      <c r="F32" s="1002">
        <f>$F$103*$B$32*('Capacity Forecast'!G101-'Steel Supply Model'!G94)/'Capacity Forecast'!G101</f>
        <v/>
      </c>
      <c r="G32" s="1002">
        <f>$G$103*$B$32*('Capacity Forecast'!H101-'Steel Supply Model'!H94)/'Capacity Forecast'!H101</f>
        <v/>
      </c>
      <c r="H32" s="1002">
        <f>$H$103*$B$32*('Capacity Forecast'!I101-'Steel Supply Model'!I94)/'Capacity Forecast'!I101</f>
        <v/>
      </c>
      <c r="I32" s="967">
        <f>$I$103*$B$32*('Capacity Forecast'!J101-'Steel Supply Model'!J94)/'Capacity Forecast'!J101</f>
        <v/>
      </c>
      <c r="J32" s="576" t="n"/>
      <c r="K32" s="708" t="inlineStr">
        <is>
          <t>PF06</t>
        </is>
      </c>
      <c r="L32" s="576" t="n"/>
      <c r="M32" s="576" t="n"/>
      <c r="N32" s="576" t="n"/>
    </row>
    <row r="33">
      <c r="A33" s="247" t="inlineStr">
        <is>
          <t>Capacity Utilisation Effect</t>
        </is>
      </c>
      <c r="B33" s="1010">
        <f>'Model Assumptions'!$D$29</f>
        <v/>
      </c>
      <c r="C33" s="1002">
        <f>D97*(D102-1)</f>
        <v/>
      </c>
      <c r="D33" s="1002">
        <f>E97*(E102-1)</f>
        <v/>
      </c>
      <c r="E33" s="1002">
        <f>F97*(F102-1)</f>
        <v/>
      </c>
      <c r="F33" s="1002">
        <f>G97*(G102-1)</f>
        <v/>
      </c>
      <c r="G33" s="1002">
        <f>H97*(H102-1)</f>
        <v/>
      </c>
      <c r="H33" s="1002">
        <f>I97*(I102-1)</f>
        <v/>
      </c>
      <c r="I33" s="967">
        <f>J97*(J102-1)</f>
        <v/>
      </c>
      <c r="J33" s="576" t="n"/>
      <c r="K33" s="708" t="inlineStr">
        <is>
          <t>PF06, PF07</t>
        </is>
      </c>
      <c r="L33" s="576" t="n"/>
      <c r="M33" s="576" t="n"/>
      <c r="N33" s="576" t="n"/>
    </row>
    <row r="34">
      <c r="A34" s="247" t="inlineStr">
        <is>
          <t>Iron Ore Effect</t>
        </is>
      </c>
      <c r="B34" s="1009" t="n">
        <v>0.18</v>
      </c>
      <c r="C34" s="1002">
        <f>$C$103*$B$34*IFERROR(D85/C85-1,0)</f>
        <v/>
      </c>
      <c r="D34" s="1002">
        <f>$D$103*$B$34*IFERROR(E85/D85-1,0)</f>
        <v/>
      </c>
      <c r="E34" s="1002">
        <f>$E$103*$B$34*IFERROR(F85/E85-1,0)</f>
        <v/>
      </c>
      <c r="F34" s="1002">
        <f>$F$103*$B$34*IFERROR(G85/F85-1,0)</f>
        <v/>
      </c>
      <c r="G34" s="1002">
        <f>$G$103*$B$34*IFERROR(H85/G85-1,0)</f>
        <v/>
      </c>
      <c r="H34" s="1002">
        <f>$H$103*$B$34*IFERROR(I85/H85-1,0)</f>
        <v/>
      </c>
      <c r="I34" s="967">
        <f>$I$103*$B$34*IFERROR(J85/I85-1,0)</f>
        <v/>
      </c>
      <c r="J34" s="576" t="n"/>
      <c r="K34" s="708" t="inlineStr">
        <is>
          <t>PF06</t>
        </is>
      </c>
      <c r="L34" s="576" t="n"/>
      <c r="M34" s="576" t="n"/>
      <c r="N34" s="576" t="n"/>
    </row>
    <row r="35">
      <c r="A35" s="247" t="inlineStr">
        <is>
          <t>Coking Coal Effect</t>
        </is>
      </c>
      <c r="B35" s="1009" t="n">
        <v>0.22</v>
      </c>
      <c r="C35" s="1002">
        <f>$C$103*$B$35*IFERROR(D86/C86-1,0)</f>
        <v/>
      </c>
      <c r="D35" s="1002">
        <f>$D$103*$B$35*IFERROR(E86/D86-1,0)</f>
        <v/>
      </c>
      <c r="E35" s="1002">
        <f>$E$103*$B$35*IFERROR(F86/E86-1,0)</f>
        <v/>
      </c>
      <c r="F35" s="1002">
        <f>$F$103*$B$35*IFERROR(G86/F86-1,0)</f>
        <v/>
      </c>
      <c r="G35" s="1002">
        <f>$G$103*$B$35*IFERROR(H86/G86-1,0)</f>
        <v/>
      </c>
      <c r="H35" s="1002">
        <f>$H$103*$B$35*IFERROR(I86/H86-1,0)</f>
        <v/>
      </c>
      <c r="I35" s="967">
        <f>$I$103*$B$35*IFERROR(J86/I86-1,0)</f>
        <v/>
      </c>
      <c r="J35" s="576" t="n"/>
      <c r="K35" s="708" t="inlineStr">
        <is>
          <t>PF06</t>
        </is>
      </c>
      <c r="L35" s="576" t="n"/>
      <c r="M35" s="576" t="n"/>
      <c r="N35" s="576" t="n"/>
    </row>
    <row r="36">
      <c r="A36" s="247" t="inlineStr">
        <is>
          <t>Energy Cost Effect</t>
        </is>
      </c>
      <c r="B36" s="1009" t="n">
        <v>0.1</v>
      </c>
      <c r="C36" s="1002">
        <f>$C$103*$B$36*'Model Assumptions'!E$11</f>
        <v/>
      </c>
      <c r="D36" s="1002">
        <f>$D$103*$B$36*'Model Assumptions'!F$11</f>
        <v/>
      </c>
      <c r="E36" s="1002">
        <f>$E$103*$B$36*'Model Assumptions'!G$11</f>
        <v/>
      </c>
      <c r="F36" s="1002">
        <f>$F$103*$B$36*'Model Assumptions'!H$11</f>
        <v/>
      </c>
      <c r="G36" s="1002">
        <f>$G$103*$B$36*'Model Assumptions'!I$11</f>
        <v/>
      </c>
      <c r="H36" s="1002">
        <f>$H$103*$B$36*'Model Assumptions'!J$11</f>
        <v/>
      </c>
      <c r="I36" s="967">
        <f>$I$103*$B$36*'Model Assumptions'!K$11</f>
        <v/>
      </c>
      <c r="J36" s="576" t="n"/>
      <c r="K36" s="708" t="inlineStr">
        <is>
          <t>PF06</t>
        </is>
      </c>
      <c r="L36" s="576" t="n"/>
      <c r="M36" s="576" t="n"/>
      <c r="N36" s="576" t="n"/>
    </row>
    <row r="37">
      <c r="A37" s="247" t="inlineStr">
        <is>
          <t>Import Pressure</t>
        </is>
      </c>
      <c r="B37" s="1009" t="n">
        <v>-0.15</v>
      </c>
      <c r="C37" s="1002">
        <f>$C$103*$B$37*('Trade Model'!D83-'Trade Model'!C83)</f>
        <v/>
      </c>
      <c r="D37" s="1002">
        <f>$D$103*$B$37*('Trade Model'!E83-'Trade Model'!D83)</f>
        <v/>
      </c>
      <c r="E37" s="1002">
        <f>$E$103*$B$37*('Trade Model'!F83-'Trade Model'!E83)</f>
        <v/>
      </c>
      <c r="F37" s="1002">
        <f>$F$103*$B$37*('Trade Model'!G83-'Trade Model'!F83)</f>
        <v/>
      </c>
      <c r="G37" s="1002">
        <f>$G$103*$B$37*('Trade Model'!H83-'Trade Model'!G83)</f>
        <v/>
      </c>
      <c r="H37" s="1002">
        <f>$H$103*$B$37*('Trade Model'!I83-'Trade Model'!H83)</f>
        <v/>
      </c>
      <c r="I37" s="967">
        <f>$I$103*$B$37*('Trade Model'!J83-'Trade Model'!I83)</f>
        <v/>
      </c>
      <c r="J37" s="576" t="n"/>
      <c r="K37" s="708" t="inlineStr">
        <is>
          <t>PF06</t>
        </is>
      </c>
      <c r="L37" s="576" t="n"/>
      <c r="M37" s="576" t="n"/>
      <c r="N37" s="576" t="n"/>
    </row>
    <row r="38">
      <c r="A38" s="247" t="inlineStr">
        <is>
          <t>Export Opportunity</t>
        </is>
      </c>
      <c r="B38" s="1009" t="n">
        <v>0.05</v>
      </c>
      <c r="C38" s="1002">
        <f>$C$103*$B$38*('Trade Model'!D84-'Trade Model'!C84)</f>
        <v/>
      </c>
      <c r="D38" s="1002">
        <f>$D$103*$B$38*('Trade Model'!E84-'Trade Model'!D84)</f>
        <v/>
      </c>
      <c r="E38" s="1002">
        <f>$E$103*$B$38*('Trade Model'!F84-'Trade Model'!E84)</f>
        <v/>
      </c>
      <c r="F38" s="1002">
        <f>$F$103*$B$38*('Trade Model'!G84-'Trade Model'!F84)</f>
        <v/>
      </c>
      <c r="G38" s="1002">
        <f>$G$103*$B$38*('Trade Model'!H84-'Trade Model'!G84)</f>
        <v/>
      </c>
      <c r="H38" s="1002">
        <f>$H$103*$B$38*('Trade Model'!I84-'Trade Model'!H84)</f>
        <v/>
      </c>
      <c r="I38" s="967">
        <f>$I$103*$B$38*('Trade Model'!J84-'Trade Model'!I84)</f>
        <v/>
      </c>
      <c r="J38" s="576" t="n"/>
      <c r="K38" s="708" t="inlineStr">
        <is>
          <t>PF06</t>
        </is>
      </c>
      <c r="L38" s="576" t="n"/>
      <c r="M38" s="576" t="n"/>
      <c r="N38" s="576" t="n"/>
    </row>
    <row r="39">
      <c r="A39" s="247" t="inlineStr">
        <is>
          <t>Inflation</t>
        </is>
      </c>
      <c r="B39" s="1011" t="inlineStr">
        <is>
          <t>residual</t>
        </is>
      </c>
      <c r="C39" s="1002">
        <f>C40-SUM(C31:C38)</f>
        <v/>
      </c>
      <c r="D39" s="1002">
        <f>D40-SUM(D31:D38)</f>
        <v/>
      </c>
      <c r="E39" s="1002">
        <f>E40-SUM(E31:E38)</f>
        <v/>
      </c>
      <c r="F39" s="1002">
        <f>F40-SUM(F31:F38)</f>
        <v/>
      </c>
      <c r="G39" s="1002">
        <f>G40-SUM(G31:G38)</f>
        <v/>
      </c>
      <c r="H39" s="1002">
        <f>H40-SUM(H31:H38)</f>
        <v/>
      </c>
      <c r="I39" s="967">
        <f>I40-SUM(I31:I38)</f>
        <v/>
      </c>
      <c r="J39" s="576" t="n"/>
      <c r="K39" s="708" t="inlineStr">
        <is>
          <t>PF06</t>
        </is>
      </c>
      <c r="L39" s="576" t="n"/>
      <c r="M39" s="576" t="n"/>
      <c r="N39" s="576" t="n"/>
    </row>
    <row r="40">
      <c r="A40" s="247" t="inlineStr">
        <is>
          <t>Net Price Change</t>
        </is>
      </c>
      <c r="B40" s="1011" t="inlineStr">
        <is>
          <t>n/a - not a driver</t>
        </is>
      </c>
      <c r="C40" s="1002">
        <f>D103-C103</f>
        <v/>
      </c>
      <c r="D40" s="1002">
        <f>E103-D103</f>
        <v/>
      </c>
      <c r="E40" s="1002">
        <f>F103-E103</f>
        <v/>
      </c>
      <c r="F40" s="1002">
        <f>G103-F103</f>
        <v/>
      </c>
      <c r="G40" s="1002">
        <f>H103-G103</f>
        <v/>
      </c>
      <c r="H40" s="1002">
        <f>I103-H103</f>
        <v/>
      </c>
      <c r="I40" s="967">
        <f>J103-I103</f>
        <v/>
      </c>
      <c r="J40" s="576" t="n"/>
      <c r="K40" s="576" t="n"/>
      <c r="L40" s="576" t="n"/>
      <c r="M40" s="576" t="n"/>
      <c r="N40" s="576" t="n"/>
    </row>
    <row r="41" ht="15" customHeight="1" s="632" thickBot="1">
      <c r="A41" s="248" t="inlineStr">
        <is>
          <t>Forecast Price</t>
        </is>
      </c>
      <c r="B41" s="1012" t="inlineStr">
        <is>
          <t>n/a - not a driver</t>
        </is>
      </c>
      <c r="C41" s="1013">
        <f>$D$103</f>
        <v/>
      </c>
      <c r="D41" s="1013">
        <f>$E$103</f>
        <v/>
      </c>
      <c r="E41" s="1013">
        <f>$F$103</f>
        <v/>
      </c>
      <c r="F41" s="1013">
        <f>$G$103</f>
        <v/>
      </c>
      <c r="G41" s="1013">
        <f>$H$103</f>
        <v/>
      </c>
      <c r="H41" s="1013">
        <f>$I$103</f>
        <v/>
      </c>
      <c r="I41" s="1014">
        <f>$J$103</f>
        <v/>
      </c>
      <c r="J41" s="576" t="n"/>
      <c r="K41" s="576" t="n"/>
      <c r="L41" s="576" t="n"/>
      <c r="M41" s="576" t="n"/>
      <c r="N41" s="576" t="n"/>
    </row>
    <row r="42">
      <c r="A42" s="576" t="n"/>
      <c r="B42" s="576" t="n"/>
      <c r="C42" s="576" t="n"/>
      <c r="D42" s="576" t="n"/>
      <c r="E42" s="576" t="n"/>
      <c r="F42" s="576" t="n"/>
      <c r="G42" s="576" t="n"/>
      <c r="H42" s="576" t="n"/>
      <c r="I42" s="576" t="n"/>
      <c r="J42" s="576" t="n"/>
      <c r="K42" s="576" t="n"/>
      <c r="L42" s="576" t="n"/>
      <c r="M42" s="576" t="n"/>
      <c r="N42" s="576" t="n"/>
    </row>
    <row r="43">
      <c r="A43" s="576" t="n"/>
      <c r="B43" s="576" t="n"/>
      <c r="C43" s="576" t="n"/>
      <c r="D43" s="576" t="n"/>
      <c r="E43" s="576" t="n"/>
      <c r="F43" s="576" t="n"/>
      <c r="G43" s="576" t="n"/>
      <c r="H43" s="576" t="n"/>
      <c r="I43" s="576" t="n"/>
      <c r="J43" s="576" t="n"/>
      <c r="K43" s="576" t="n"/>
      <c r="L43" s="576" t="n"/>
      <c r="M43" s="576" t="n"/>
      <c r="N43" s="576" t="n"/>
    </row>
    <row r="44" ht="16.2" customHeight="1" s="632" thickBot="1">
      <c r="A44" s="621" t="inlineStr">
        <is>
          <t>Cost Floor Analysis</t>
        </is>
      </c>
      <c r="B44" s="991" t="n"/>
      <c r="C44" s="612" t="n"/>
      <c r="D44" s="612" t="n"/>
      <c r="E44" s="612" t="n"/>
      <c r="F44" s="612" t="n"/>
      <c r="G44" s="612" t="n"/>
      <c r="H44" s="612" t="n"/>
      <c r="I44" s="612" t="n"/>
      <c r="J44" s="576" t="n"/>
      <c r="K44" s="576" t="n"/>
      <c r="L44" s="576" t="n"/>
      <c r="M44" s="576" t="n"/>
      <c r="N44" s="576" t="n"/>
    </row>
    <row r="45" ht="15.6" customHeight="1" s="632" thickBot="1" thickTop="1">
      <c r="A45" s="648" t="inlineStr">
        <is>
          <t>Item</t>
        </is>
      </c>
      <c r="B45" s="651" t="inlineStr">
        <is>
          <t>₹/t</t>
        </is>
      </c>
      <c r="C45" s="576" t="n"/>
      <c r="D45" s="576" t="n"/>
      <c r="E45" s="576" t="n"/>
      <c r="F45" s="576" t="n"/>
      <c r="G45" s="576" t="n"/>
      <c r="H45" s="576" t="n"/>
      <c r="I45" s="576" t="n"/>
      <c r="J45" s="576" t="n"/>
      <c r="K45" s="576" t="n"/>
      <c r="L45" s="576" t="n"/>
      <c r="M45" s="707" t="inlineStr">
        <is>
          <t>Ref</t>
        </is>
      </c>
      <c r="N45" s="576" t="n"/>
    </row>
    <row r="46" ht="15" customHeight="1" s="632" thickTop="1">
      <c r="A46" s="247" t="inlineStr">
        <is>
          <t>Iron Ore</t>
        </is>
      </c>
      <c r="B46" s="967">
        <f>'Cost Curve'!$C$80*'Model Assumptions'!$D$20*'Model Assumptions'!$D$21</f>
        <v/>
      </c>
      <c r="C46" s="576" t="n"/>
      <c r="D46" s="576" t="n"/>
      <c r="E46" s="576" t="n"/>
      <c r="F46" s="576" t="n"/>
      <c r="G46" s="576" t="n"/>
      <c r="H46" s="576" t="n"/>
      <c r="I46" s="576" t="n"/>
      <c r="J46" s="576" t="n"/>
      <c r="K46" s="576" t="n"/>
      <c r="L46" s="576" t="n"/>
      <c r="M46" s="576" t="n"/>
      <c r="N46" s="576" t="n"/>
    </row>
    <row r="47">
      <c r="A47" s="247" t="inlineStr">
        <is>
          <t>Coking Coal</t>
        </is>
      </c>
      <c r="B47" s="967">
        <f>'Cost Curve'!$C$80*'Model Assumptions'!$D$20*'Model Assumptions'!$D$21</f>
        <v/>
      </c>
      <c r="C47" s="576" t="n"/>
      <c r="D47" s="576" t="n"/>
      <c r="E47" s="576" t="n"/>
      <c r="F47" s="576" t="n"/>
      <c r="G47" s="576" t="n"/>
      <c r="H47" s="576" t="n"/>
      <c r="I47" s="576" t="n"/>
      <c r="J47" s="576" t="n"/>
      <c r="K47" s="576" t="n"/>
      <c r="L47" s="576" t="n"/>
      <c r="M47" s="576" t="n"/>
      <c r="N47" s="576" t="n"/>
    </row>
    <row r="48">
      <c r="A48" s="247" t="inlineStr">
        <is>
          <t>Fluxes</t>
        </is>
      </c>
      <c r="B48" s="967">
        <f>'Cost Curve'!$C$80*'Model Assumptions'!$D$20*(1-2*'Model Assumptions'!$D$21)</f>
        <v/>
      </c>
      <c r="C48" s="576" t="n"/>
      <c r="D48" s="576" t="n"/>
      <c r="E48" s="576" t="n"/>
      <c r="F48" s="576" t="n"/>
      <c r="G48" s="576" t="n"/>
      <c r="H48" s="576" t="n"/>
      <c r="I48" s="576" t="n"/>
      <c r="J48" s="576" t="n"/>
      <c r="K48" s="576" t="n"/>
      <c r="L48" s="576" t="n"/>
      <c r="M48" s="576" t="n"/>
      <c r="N48" s="576" t="n"/>
    </row>
    <row r="49">
      <c r="A49" s="247" t="inlineStr">
        <is>
          <t>Power</t>
        </is>
      </c>
      <c r="B49" s="998">
        <f>'Raw Material Forecast'!$D$52</f>
        <v/>
      </c>
      <c r="C49" s="576" t="n"/>
      <c r="D49" s="576" t="n"/>
      <c r="E49" s="576" t="n"/>
      <c r="F49" s="576" t="n"/>
      <c r="G49" s="576" t="n"/>
      <c r="H49" s="576" t="n"/>
      <c r="I49" s="576" t="n"/>
      <c r="J49" s="576" t="n"/>
      <c r="K49" s="576" t="n"/>
      <c r="L49" s="576" t="n"/>
      <c r="M49" s="708" t="inlineStr">
        <is>
          <t>PF08, PF24</t>
        </is>
      </c>
      <c r="N49" s="576" t="n"/>
    </row>
    <row r="50">
      <c r="A50" s="247" t="inlineStr">
        <is>
          <t>Logistics</t>
        </is>
      </c>
      <c r="B50" s="967">
        <f>'Cost Curve'!$C$80*(1-'Model Assumptions'!$D$20)*$K$50</f>
        <v/>
      </c>
      <c r="C50" s="576" t="n"/>
      <c r="D50" s="576" t="n"/>
      <c r="E50" s="576" t="n"/>
      <c r="F50" s="576" t="n"/>
      <c r="G50" s="576" t="n"/>
      <c r="H50" s="576" t="n"/>
      <c r="I50" s="576" t="n"/>
      <c r="J50" s="576" t="n"/>
      <c r="K50" s="864" t="n">
        <v>0.22</v>
      </c>
      <c r="L50" s="576" t="n"/>
      <c r="M50" s="708" t="inlineStr">
        <is>
          <t>PF08, PF24</t>
        </is>
      </c>
      <c r="N50" s="576" t="n"/>
    </row>
    <row r="51">
      <c r="A51" s="247" t="inlineStr">
        <is>
          <t>Conversion Cost</t>
        </is>
      </c>
      <c r="B51" s="967">
        <f>'Cost Curve'!$C$80*(1-'Model Assumptions'!$D$20)-B49-B50</f>
        <v/>
      </c>
      <c r="C51" s="576" t="n"/>
      <c r="D51" s="576" t="n"/>
      <c r="E51" s="576" t="n"/>
      <c r="F51" s="576" t="n"/>
      <c r="G51" s="576" t="n"/>
      <c r="H51" s="576" t="n"/>
      <c r="I51" s="576" t="n"/>
      <c r="J51" s="576" t="n"/>
      <c r="K51" s="576" t="n"/>
      <c r="L51" s="576" t="n"/>
      <c r="M51" s="576" t="n"/>
      <c r="N51" s="576" t="n"/>
    </row>
    <row r="52">
      <c r="A52" s="247" t="inlineStr">
        <is>
          <t>Cash Cost</t>
        </is>
      </c>
      <c r="B52" s="998">
        <f>'Cost Curve'!$C$80</f>
        <v/>
      </c>
      <c r="C52" s="576" t="n"/>
      <c r="D52" s="576" t="n"/>
      <c r="E52" s="576" t="n"/>
      <c r="F52" s="576" t="n"/>
      <c r="G52" s="576" t="n"/>
      <c r="H52" s="576" t="n"/>
      <c r="I52" s="576" t="n"/>
      <c r="J52" s="576" t="n"/>
      <c r="K52" s="576" t="n"/>
      <c r="L52" s="576" t="n"/>
      <c r="M52" s="708" t="inlineStr">
        <is>
          <t>PF09</t>
        </is>
      </c>
      <c r="N52" s="576" t="n"/>
    </row>
    <row r="53">
      <c r="A53" s="247" t="inlineStr">
        <is>
          <t>EBITDA</t>
        </is>
      </c>
      <c r="B53" s="998">
        <f>'EBITDA Model'!$C$101</f>
        <v/>
      </c>
      <c r="C53" s="576" t="n"/>
      <c r="D53" s="576" t="n"/>
      <c r="E53" s="576" t="n"/>
      <c r="F53" s="576" t="n"/>
      <c r="G53" s="576" t="n"/>
      <c r="H53" s="576" t="n"/>
      <c r="I53" s="576" t="n"/>
      <c r="J53" s="576" t="n"/>
      <c r="K53" s="576" t="n"/>
      <c r="L53" s="576" t="n"/>
      <c r="M53" s="576" t="n"/>
      <c r="N53" s="576" t="n"/>
    </row>
    <row r="54" ht="15" customHeight="1" s="632" thickBot="1">
      <c r="A54" s="248" t="inlineStr">
        <is>
          <t>Selling Price</t>
        </is>
      </c>
      <c r="B54" s="1014">
        <f>$C$103</f>
        <v/>
      </c>
      <c r="C54" s="576" t="n"/>
      <c r="D54" s="576" t="n"/>
      <c r="E54" s="576" t="n"/>
      <c r="F54" s="576" t="n"/>
      <c r="G54" s="576" t="n"/>
      <c r="H54" s="576" t="n"/>
      <c r="I54" s="576" t="n"/>
      <c r="J54" s="576" t="n"/>
      <c r="K54" s="576" t="n"/>
      <c r="L54" s="576" t="n"/>
      <c r="M54" s="576" t="n"/>
      <c r="N54" s="576" t="n"/>
    </row>
    <row r="55">
      <c r="A55" s="576" t="n"/>
      <c r="B55" s="576" t="n"/>
      <c r="C55" s="576" t="n"/>
      <c r="D55" s="576" t="n"/>
      <c r="E55" s="576" t="n"/>
      <c r="F55" s="576" t="n"/>
      <c r="G55" s="576" t="n"/>
      <c r="H55" s="576" t="n"/>
      <c r="I55" s="576" t="n"/>
      <c r="J55" s="576" t="n"/>
      <c r="K55" s="576" t="n"/>
      <c r="L55" s="576" t="n"/>
      <c r="M55" s="576" t="n"/>
      <c r="N55" s="576" t="n"/>
    </row>
    <row r="56">
      <c r="A56" s="576" t="n"/>
      <c r="B56" s="576" t="n"/>
      <c r="C56" s="576" t="n"/>
      <c r="D56" s="576" t="n"/>
      <c r="E56" s="576" t="n"/>
      <c r="F56" s="576" t="n"/>
      <c r="G56" s="576" t="n"/>
      <c r="H56" s="576" t="n"/>
      <c r="I56" s="576" t="n"/>
      <c r="J56" s="576" t="n"/>
      <c r="K56" s="576" t="n"/>
      <c r="L56" s="576" t="n"/>
      <c r="M56" s="576" t="n"/>
      <c r="N56" s="576" t="n"/>
    </row>
    <row r="57" ht="16.2" customHeight="1" s="632" thickBot="1">
      <c r="A57" s="621" t="inlineStr">
        <is>
          <t>International Price Comparison</t>
        </is>
      </c>
      <c r="B57" s="991" t="n"/>
      <c r="C57" s="991" t="n"/>
      <c r="D57" s="991" t="n"/>
      <c r="E57" s="991" t="n"/>
      <c r="F57" s="576" t="n"/>
      <c r="G57" s="576" t="n"/>
      <c r="H57" s="576" t="n"/>
      <c r="I57" s="576" t="n"/>
      <c r="J57" s="576" t="n"/>
      <c r="K57" s="576" t="n"/>
      <c r="L57" s="576" t="n"/>
      <c r="M57" s="576" t="n"/>
      <c r="N57" s="576" t="n"/>
    </row>
    <row r="58" ht="15.6" customHeight="1" s="632" thickBot="1" thickTop="1">
      <c r="A58" s="648" t="inlineStr">
        <is>
          <t>Region</t>
        </is>
      </c>
      <c r="B58" s="648" t="inlineStr">
        <is>
          <t>FY26A</t>
        </is>
      </c>
      <c r="C58" s="648" t="inlineStr">
        <is>
          <t>FY27E</t>
        </is>
      </c>
      <c r="D58" s="648" t="inlineStr">
        <is>
          <t>FY28E</t>
        </is>
      </c>
      <c r="E58" s="648" t="inlineStr">
        <is>
          <t>FY29E</t>
        </is>
      </c>
      <c r="F58" s="576" t="n"/>
      <c r="G58" s="576" t="n"/>
      <c r="H58" s="576" t="n"/>
      <c r="I58" s="576" t="n"/>
      <c r="J58" s="576" t="n"/>
      <c r="K58" s="576" t="n"/>
      <c r="L58" s="576" t="n"/>
      <c r="M58" s="707" t="inlineStr">
        <is>
          <t>Ref</t>
        </is>
      </c>
      <c r="N58" s="576" t="n"/>
    </row>
    <row r="59" ht="15" customHeight="1" s="632" thickTop="1">
      <c r="A59" s="246" t="inlineStr">
        <is>
          <t>India</t>
        </is>
      </c>
      <c r="B59" s="999">
        <f>$B$9</f>
        <v/>
      </c>
      <c r="C59" s="994">
        <f>$B$9*D103/$C$103</f>
        <v/>
      </c>
      <c r="D59" s="994">
        <f>$B$9*E103/$C$103</f>
        <v/>
      </c>
      <c r="E59" s="995">
        <f>$B$9*F103/$C$103</f>
        <v/>
      </c>
      <c r="F59" s="576" t="n"/>
      <c r="G59" s="576" t="n"/>
      <c r="H59" s="576" t="n"/>
      <c r="I59" s="576" t="n"/>
      <c r="J59" s="576" t="n"/>
      <c r="K59" s="576" t="n"/>
      <c r="L59" s="576" t="n"/>
      <c r="M59" s="708" t="inlineStr">
        <is>
          <t>PF11</t>
        </is>
      </c>
      <c r="N59" s="576" t="n"/>
    </row>
    <row r="60">
      <c r="A60" s="247" t="inlineStr">
        <is>
          <t>China</t>
        </is>
      </c>
      <c r="B60" s="1005" t="n">
        <v>48580</v>
      </c>
      <c r="C60" s="1002">
        <f>$B$60*C59/$B$59</f>
        <v/>
      </c>
      <c r="D60" s="1002">
        <f>$B$60*D59/$B$59</f>
        <v/>
      </c>
      <c r="E60" s="967">
        <f>$B$60*E59/$B$59</f>
        <v/>
      </c>
      <c r="F60" s="576" t="n"/>
      <c r="G60" s="576" t="n"/>
      <c r="H60" s="576" t="n"/>
      <c r="I60" s="576" t="n"/>
      <c r="J60" s="576" t="n"/>
      <c r="K60" s="576" t="n"/>
      <c r="L60" s="576" t="n"/>
      <c r="M60" s="708" t="inlineStr">
        <is>
          <t>PF10</t>
        </is>
      </c>
      <c r="N60" s="576" t="n"/>
    </row>
    <row r="61">
      <c r="A61" s="247" t="inlineStr">
        <is>
          <t>Japan</t>
        </is>
      </c>
      <c r="B61" s="1002">
        <f>$B$59*$K$61</f>
        <v/>
      </c>
      <c r="C61" s="1002">
        <f>C59*$K$61</f>
        <v/>
      </c>
      <c r="D61" s="1002">
        <f>D59*$K$61</f>
        <v/>
      </c>
      <c r="E61" s="967">
        <f>E59*$K$61</f>
        <v/>
      </c>
      <c r="F61" s="576" t="n"/>
      <c r="G61" s="576" t="n"/>
      <c r="H61" s="576" t="n"/>
      <c r="I61" s="576" t="n"/>
      <c r="J61" s="576" t="n"/>
      <c r="K61" s="996" t="n">
        <v>1.05</v>
      </c>
      <c r="L61" s="576" t="n"/>
      <c r="M61" s="708" t="inlineStr">
        <is>
          <t>PF10</t>
        </is>
      </c>
      <c r="N61" s="576" t="n"/>
    </row>
    <row r="62">
      <c r="A62" s="247" t="inlineStr">
        <is>
          <t>Europe</t>
        </is>
      </c>
      <c r="B62" s="1002">
        <f>$B$59*$K$62</f>
        <v/>
      </c>
      <c r="C62" s="1002">
        <f>C59*$K$62</f>
        <v/>
      </c>
      <c r="D62" s="1002">
        <f>D59*$K$62</f>
        <v/>
      </c>
      <c r="E62" s="967">
        <f>E59*$K$62</f>
        <v/>
      </c>
      <c r="F62" s="576" t="n"/>
      <c r="G62" s="576" t="n"/>
      <c r="H62" s="576" t="n"/>
      <c r="I62" s="576" t="n"/>
      <c r="J62" s="576" t="n"/>
      <c r="K62" s="996" t="n">
        <v>1.25</v>
      </c>
      <c r="L62" s="576" t="n"/>
      <c r="M62" s="708" t="inlineStr">
        <is>
          <t>PF10</t>
        </is>
      </c>
      <c r="N62" s="576" t="n"/>
    </row>
    <row r="63" ht="15" customHeight="1" s="632" thickBot="1">
      <c r="A63" s="248" t="inlineStr">
        <is>
          <t>USA</t>
        </is>
      </c>
      <c r="B63" s="1015">
        <f>$B$59*$K$63</f>
        <v/>
      </c>
      <c r="C63" s="1015">
        <f>C59*$K$63</f>
        <v/>
      </c>
      <c r="D63" s="1015">
        <f>D59*$K$63</f>
        <v/>
      </c>
      <c r="E63" s="1016">
        <f>E59*$K$63</f>
        <v/>
      </c>
      <c r="F63" s="576" t="n"/>
      <c r="G63" s="576" t="n"/>
      <c r="H63" s="576" t="n"/>
      <c r="I63" s="576" t="n"/>
      <c r="J63" s="576" t="n"/>
      <c r="K63" s="996" t="n">
        <v>1.45</v>
      </c>
      <c r="L63" s="576" t="n"/>
      <c r="M63" s="708" t="inlineStr">
        <is>
          <t>PF10</t>
        </is>
      </c>
      <c r="N63" s="576" t="n"/>
    </row>
    <row r="64">
      <c r="A64" s="576" t="n"/>
      <c r="B64" s="576" t="n"/>
      <c r="C64" s="576" t="n"/>
      <c r="D64" s="576" t="n"/>
      <c r="E64" s="576" t="n"/>
      <c r="F64" s="576" t="n"/>
      <c r="G64" s="576" t="n"/>
      <c r="H64" s="576" t="n"/>
      <c r="I64" s="576" t="n"/>
      <c r="J64" s="576" t="n"/>
      <c r="K64" s="576" t="n"/>
      <c r="L64" s="576" t="n"/>
      <c r="M64" s="576" t="n"/>
      <c r="N64" s="576" t="n"/>
    </row>
    <row r="65">
      <c r="A65" s="576" t="n"/>
      <c r="B65" s="576" t="n"/>
      <c r="C65" s="576" t="n"/>
      <c r="D65" s="576" t="n"/>
      <c r="E65" s="576" t="n"/>
      <c r="F65" s="576" t="n"/>
      <c r="G65" s="576" t="n"/>
      <c r="H65" s="576" t="n"/>
      <c r="I65" s="576" t="n"/>
      <c r="J65" s="576" t="n"/>
      <c r="K65" s="576" t="n"/>
      <c r="L65" s="576" t="n"/>
      <c r="M65" s="576" t="n"/>
      <c r="N65" s="576" t="n"/>
    </row>
    <row r="66" ht="16.2" customHeight="1" s="632" thickBot="1">
      <c r="A66" s="621" t="inlineStr">
        <is>
          <t>Scenario Analysis</t>
        </is>
      </c>
      <c r="B66" s="991" t="n"/>
      <c r="C66" s="991" t="n"/>
      <c r="D66" s="991" t="n"/>
      <c r="E66" s="991" t="n"/>
      <c r="F66" s="576" t="n"/>
      <c r="G66" s="576" t="n"/>
      <c r="H66" s="576" t="n"/>
      <c r="I66" s="576" t="n"/>
      <c r="J66" s="576" t="n"/>
      <c r="K66" s="576" t="n"/>
      <c r="L66" s="576" t="n"/>
      <c r="M66" s="576" t="n"/>
      <c r="N66" s="576" t="n"/>
    </row>
    <row r="67" ht="15.6" customHeight="1" s="632" thickBot="1" thickTop="1">
      <c r="A67" s="648" t="inlineStr">
        <is>
          <t>Year</t>
        </is>
      </c>
      <c r="B67" s="649" t="inlineStr">
        <is>
          <t>Base</t>
        </is>
      </c>
      <c r="C67" s="649" t="inlineStr">
        <is>
          <t>Bull</t>
        </is>
      </c>
      <c r="D67" s="649" t="inlineStr">
        <is>
          <t>Bear</t>
        </is>
      </c>
      <c r="E67" s="650" t="inlineStr">
        <is>
          <t>Stress</t>
        </is>
      </c>
      <c r="F67" s="576" t="n"/>
      <c r="G67" s="707" t="inlineStr">
        <is>
          <t>Ref</t>
        </is>
      </c>
      <c r="H67" s="576" t="n"/>
      <c r="I67" s="576" t="n"/>
      <c r="J67" s="576" t="n"/>
      <c r="K67" s="576" t="n"/>
      <c r="L67" s="576" t="n"/>
      <c r="M67" s="576" t="n"/>
      <c r="N67" s="576" t="n"/>
    </row>
    <row r="68" ht="15" customHeight="1" s="632" thickTop="1">
      <c r="A68" s="246" t="inlineStr">
        <is>
          <t>FY27</t>
        </is>
      </c>
      <c r="B68" s="999">
        <f>'Scenario Manager'!$D$117</f>
        <v/>
      </c>
      <c r="C68" s="999">
        <f>'Scenario Manager'!$D$193</f>
        <v/>
      </c>
      <c r="D68" s="999">
        <f>'Scenario Manager'!$D$269</f>
        <v/>
      </c>
      <c r="E68" s="1017">
        <f>'Scenario Manager'!$D$345</f>
        <v/>
      </c>
      <c r="F68" s="576" t="n"/>
      <c r="G68" s="576" t="n"/>
      <c r="H68" s="576" t="n"/>
      <c r="I68" s="576" t="n"/>
      <c r="J68" s="576" t="n"/>
      <c r="K68" s="576" t="n"/>
      <c r="L68" s="576" t="n"/>
      <c r="M68" s="576" t="n"/>
      <c r="N68" s="576" t="n"/>
    </row>
    <row r="69">
      <c r="A69" s="247" t="inlineStr">
        <is>
          <t>FY28</t>
        </is>
      </c>
      <c r="B69" s="997">
        <f>'Scenario Manager'!$E$117</f>
        <v/>
      </c>
      <c r="C69" s="997">
        <f>'Scenario Manager'!$E$193</f>
        <v/>
      </c>
      <c r="D69" s="997">
        <f>'Scenario Manager'!$E$269</f>
        <v/>
      </c>
      <c r="E69" s="998">
        <f>'Scenario Manager'!$E$345</f>
        <v/>
      </c>
      <c r="F69" s="576" t="n"/>
      <c r="G69" s="576" t="n"/>
      <c r="H69" s="576" t="n"/>
      <c r="I69" s="576" t="n"/>
      <c r="J69" s="576" t="n"/>
      <c r="K69" s="576" t="n"/>
      <c r="L69" s="576" t="n"/>
      <c r="M69" s="576" t="n"/>
      <c r="N69" s="576" t="n"/>
    </row>
    <row r="70">
      <c r="A70" s="247" t="inlineStr">
        <is>
          <t>FY29</t>
        </is>
      </c>
      <c r="B70" s="997">
        <f>'Scenario Manager'!$F$117</f>
        <v/>
      </c>
      <c r="C70" s="997">
        <f>'Scenario Manager'!$F$193</f>
        <v/>
      </c>
      <c r="D70" s="997">
        <f>'Scenario Manager'!$F$269</f>
        <v/>
      </c>
      <c r="E70" s="998">
        <f>'Scenario Manager'!$F$345</f>
        <v/>
      </c>
      <c r="F70" s="576" t="n"/>
      <c r="G70" s="576" t="n"/>
      <c r="H70" s="576" t="n"/>
      <c r="I70" s="576" t="n"/>
      <c r="J70" s="576" t="n"/>
      <c r="K70" s="576" t="n"/>
      <c r="L70" s="576" t="n"/>
      <c r="M70" s="576" t="n"/>
      <c r="N70" s="576" t="n"/>
    </row>
    <row r="71">
      <c r="A71" s="247" t="inlineStr">
        <is>
          <t>FY30</t>
        </is>
      </c>
      <c r="B71" s="997">
        <f>'Scenario Manager'!$G$117</f>
        <v/>
      </c>
      <c r="C71" s="997">
        <f>'Scenario Manager'!$G$193</f>
        <v/>
      </c>
      <c r="D71" s="997">
        <f>'Scenario Manager'!$G$269</f>
        <v/>
      </c>
      <c r="E71" s="998">
        <f>'Scenario Manager'!$G$345</f>
        <v/>
      </c>
      <c r="F71" s="576" t="n"/>
      <c r="G71" s="576" t="n"/>
      <c r="H71" s="576" t="n"/>
      <c r="I71" s="576" t="n"/>
      <c r="J71" s="576" t="n"/>
      <c r="K71" s="576" t="n"/>
      <c r="L71" s="576" t="n"/>
      <c r="M71" s="576" t="n"/>
      <c r="N71" s="576" t="n"/>
    </row>
    <row r="72">
      <c r="A72" s="247" t="inlineStr">
        <is>
          <t>FY31</t>
        </is>
      </c>
      <c r="B72" s="997">
        <f>'Scenario Manager'!$H$117</f>
        <v/>
      </c>
      <c r="C72" s="997">
        <f>'Scenario Manager'!$H$193</f>
        <v/>
      </c>
      <c r="D72" s="997">
        <f>'Scenario Manager'!$H$269</f>
        <v/>
      </c>
      <c r="E72" s="998">
        <f>'Scenario Manager'!$H$345</f>
        <v/>
      </c>
      <c r="F72" s="576" t="n"/>
      <c r="G72" s="576" t="n"/>
      <c r="H72" s="576" t="n"/>
      <c r="I72" s="576" t="n"/>
      <c r="J72" s="576" t="n"/>
      <c r="K72" s="576" t="n"/>
      <c r="L72" s="576" t="n"/>
      <c r="M72" s="576" t="n"/>
      <c r="N72" s="576" t="n"/>
    </row>
    <row r="73">
      <c r="A73" s="247" t="inlineStr">
        <is>
          <t>FY32</t>
        </is>
      </c>
      <c r="B73" s="997">
        <f>'Scenario Manager'!$I$117</f>
        <v/>
      </c>
      <c r="C73" s="997">
        <f>'Scenario Manager'!$I$193</f>
        <v/>
      </c>
      <c r="D73" s="997">
        <f>'Scenario Manager'!$I$269</f>
        <v/>
      </c>
      <c r="E73" s="998">
        <f>'Scenario Manager'!$I$345</f>
        <v/>
      </c>
      <c r="F73" s="576" t="n"/>
      <c r="G73" s="576" t="n"/>
      <c r="H73" s="576" t="n"/>
      <c r="I73" s="576" t="n"/>
      <c r="J73" s="576" t="n"/>
      <c r="K73" s="576" t="n"/>
      <c r="L73" s="576" t="n"/>
      <c r="M73" s="576" t="n"/>
      <c r="N73" s="576" t="n"/>
    </row>
    <row r="74" ht="15" customHeight="1" s="632" thickBot="1">
      <c r="A74" s="248" t="inlineStr">
        <is>
          <t>FY33</t>
        </is>
      </c>
      <c r="B74" s="1013">
        <f>'Scenario Manager'!$J$117</f>
        <v/>
      </c>
      <c r="C74" s="1013">
        <f>'Scenario Manager'!$J$193</f>
        <v/>
      </c>
      <c r="D74" s="1013">
        <f>'Scenario Manager'!$J$269</f>
        <v/>
      </c>
      <c r="E74" s="1014">
        <f>'Scenario Manager'!$J$345</f>
        <v/>
      </c>
      <c r="F74" s="576" t="n"/>
      <c r="G74" s="708" t="inlineStr">
        <is>
          <t>PF12</t>
        </is>
      </c>
      <c r="H74" s="576" t="n"/>
      <c r="I74" s="576" t="n"/>
      <c r="J74" s="576" t="n"/>
      <c r="K74" s="576" t="n"/>
      <c r="L74" s="576" t="n"/>
      <c r="M74" s="576" t="n"/>
      <c r="N74" s="576" t="n"/>
    </row>
    <row r="75">
      <c r="A75" s="576" t="n"/>
      <c r="B75" s="576" t="n"/>
      <c r="C75" s="576" t="n"/>
      <c r="D75" s="576" t="n"/>
      <c r="E75" s="576" t="n"/>
      <c r="F75" s="576" t="n"/>
      <c r="G75" s="576" t="n"/>
      <c r="H75" s="576" t="n"/>
      <c r="I75" s="576" t="n"/>
      <c r="J75" s="576" t="n"/>
      <c r="K75" s="576" t="n"/>
      <c r="L75" s="576" t="n"/>
      <c r="M75" s="576" t="n"/>
      <c r="N75" s="576" t="n"/>
    </row>
    <row r="76">
      <c r="A76" s="576" t="n"/>
      <c r="B76" s="576" t="n"/>
      <c r="C76" s="576" t="n"/>
      <c r="D76" s="576" t="n"/>
      <c r="E76" s="576" t="n"/>
      <c r="F76" s="576" t="n"/>
      <c r="G76" s="576" t="n"/>
      <c r="H76" s="576" t="n"/>
      <c r="I76" s="576" t="n"/>
      <c r="J76" s="576" t="n"/>
      <c r="K76" s="576" t="n"/>
      <c r="L76" s="576" t="n"/>
      <c r="M76" s="576" t="n"/>
      <c r="N76" s="576" t="n"/>
    </row>
    <row r="77" ht="16.2" customHeight="1" s="632" thickBot="1">
      <c r="A77" s="621" t="inlineStr">
        <is>
          <t>Price Elasticity</t>
        </is>
      </c>
      <c r="B77" s="991" t="n"/>
      <c r="C77" s="576" t="n"/>
      <c r="D77" s="576" t="n"/>
      <c r="E77" s="576" t="n"/>
      <c r="F77" s="576" t="n"/>
      <c r="G77" s="576" t="n"/>
      <c r="H77" s="576" t="n"/>
      <c r="I77" s="576" t="n"/>
      <c r="J77" s="576" t="n"/>
      <c r="K77" s="576" t="n"/>
      <c r="L77" s="576" t="n"/>
      <c r="M77" s="576" t="n"/>
      <c r="N77" s="576" t="n"/>
    </row>
    <row r="78" ht="15.6" customHeight="1" s="632" thickBot="1" thickTop="1">
      <c r="A78" s="648" t="inlineStr">
        <is>
          <t>Variable</t>
        </is>
      </c>
      <c r="B78" s="650" t="inlineStr">
        <is>
          <t>Elasticity</t>
        </is>
      </c>
      <c r="C78" s="576" t="n"/>
      <c r="D78" s="707" t="inlineStr">
        <is>
          <t>Ref</t>
        </is>
      </c>
      <c r="E78" s="576" t="n"/>
      <c r="F78" s="576" t="n"/>
      <c r="G78" s="576" t="n"/>
      <c r="H78" s="576" t="n"/>
      <c r="I78" s="576" t="n"/>
      <c r="J78" s="576" t="n"/>
      <c r="K78" s="576" t="n"/>
      <c r="L78" s="576" t="n"/>
      <c r="M78" s="576" t="n"/>
      <c r="N78" s="576" t="n"/>
    </row>
    <row r="79" ht="15" customHeight="1" s="632" thickTop="1">
      <c r="A79" s="246" t="inlineStr">
        <is>
          <t>GDP Growth</t>
        </is>
      </c>
      <c r="B79" s="1018" t="n">
        <v>0.35</v>
      </c>
      <c r="C79" s="576" t="n"/>
      <c r="D79" s="708" t="inlineStr">
        <is>
          <t>PF13</t>
        </is>
      </c>
      <c r="E79" s="576" t="n"/>
      <c r="F79" s="576" t="n"/>
      <c r="G79" s="576" t="n"/>
      <c r="H79" s="576" t="n"/>
      <c r="I79" s="576" t="n"/>
      <c r="J79" s="576" t="n"/>
      <c r="K79" s="576" t="n"/>
      <c r="L79" s="576" t="n"/>
      <c r="M79" s="576" t="n"/>
      <c r="N79" s="576" t="n"/>
    </row>
    <row r="80">
      <c r="A80" s="247" t="inlineStr">
        <is>
          <t>Demand Growth</t>
        </is>
      </c>
      <c r="B80" s="1019" t="n">
        <v>0.3</v>
      </c>
      <c r="C80" s="576" t="n"/>
      <c r="D80" s="708" t="inlineStr">
        <is>
          <t>PF13</t>
        </is>
      </c>
      <c r="E80" s="576" t="n"/>
      <c r="F80" s="576" t="n"/>
      <c r="G80" s="576" t="n"/>
      <c r="H80" s="576" t="n"/>
      <c r="I80" s="576" t="n"/>
      <c r="J80" s="576" t="n"/>
      <c r="K80" s="576" t="n"/>
      <c r="L80" s="576" t="n"/>
      <c r="M80" s="576" t="n"/>
      <c r="N80" s="576" t="n"/>
    </row>
    <row r="81">
      <c r="A81" s="247" t="inlineStr">
        <is>
          <t>Supply Gap</t>
        </is>
      </c>
      <c r="B81" s="1019" t="n">
        <v>-0.25</v>
      </c>
      <c r="C81" s="576" t="n"/>
      <c r="D81" s="708" t="inlineStr">
        <is>
          <t>PF13</t>
        </is>
      </c>
      <c r="E81" s="576" t="n"/>
      <c r="F81" s="576" t="n"/>
      <c r="G81" s="576" t="n"/>
      <c r="H81" s="576" t="n"/>
      <c r="I81" s="576" t="n"/>
      <c r="J81" s="576" t="n"/>
      <c r="K81" s="576" t="n"/>
      <c r="L81" s="576" t="n"/>
      <c r="M81" s="576" t="n"/>
      <c r="N81" s="576" t="n"/>
    </row>
    <row r="82">
      <c r="A82" s="247" t="inlineStr">
        <is>
          <t>Capacity Utilisation</t>
        </is>
      </c>
      <c r="B82" s="1020">
        <f>'Model Assumptions'!$E$30</f>
        <v/>
      </c>
      <c r="C82" s="576" t="n"/>
      <c r="D82" s="576" t="n"/>
      <c r="E82" s="576" t="n"/>
      <c r="F82" s="576" t="n"/>
      <c r="G82" s="576" t="n"/>
      <c r="H82" s="576" t="n"/>
      <c r="I82" s="576" t="n"/>
      <c r="J82" s="576" t="n"/>
      <c r="K82" s="576" t="n"/>
      <c r="L82" s="576" t="n"/>
      <c r="M82" s="576" t="n"/>
      <c r="N82" s="576" t="n"/>
    </row>
    <row r="83">
      <c r="A83" s="247" t="inlineStr">
        <is>
          <t>Iron Ore</t>
        </is>
      </c>
      <c r="B83" s="1019" t="n">
        <v>0.18</v>
      </c>
      <c r="C83" s="576" t="n"/>
      <c r="D83" s="708" t="inlineStr">
        <is>
          <t>PF13</t>
        </is>
      </c>
      <c r="E83" s="576" t="n"/>
      <c r="F83" s="576" t="n"/>
      <c r="G83" s="576" t="n"/>
      <c r="H83" s="576" t="n"/>
      <c r="I83" s="576" t="n"/>
      <c r="J83" s="576" t="n"/>
      <c r="K83" s="576" t="n"/>
      <c r="L83" s="576" t="n"/>
      <c r="M83" s="576" t="n"/>
      <c r="N83" s="576" t="n"/>
    </row>
    <row r="84">
      <c r="A84" s="247" t="inlineStr">
        <is>
          <t>Coking Coal</t>
        </is>
      </c>
      <c r="B84" s="1019" t="n">
        <v>0.22</v>
      </c>
      <c r="C84" s="576" t="n"/>
      <c r="D84" s="708" t="inlineStr">
        <is>
          <t>PF13</t>
        </is>
      </c>
      <c r="E84" s="576" t="n"/>
      <c r="F84" s="576" t="n"/>
      <c r="G84" s="576" t="n"/>
      <c r="H84" s="576" t="n"/>
      <c r="I84" s="576" t="n"/>
      <c r="J84" s="576" t="n"/>
      <c r="K84" s="576" t="n"/>
      <c r="L84" s="576" t="n"/>
      <c r="M84" s="576" t="n"/>
      <c r="N84" s="576" t="n"/>
    </row>
    <row r="85">
      <c r="A85" s="247" t="inlineStr">
        <is>
          <t>USD/INR</t>
        </is>
      </c>
      <c r="B85" s="1019" t="n">
        <v>0.3</v>
      </c>
      <c r="C85" s="576" t="n"/>
      <c r="D85" s="708" t="inlineStr">
        <is>
          <t>PF13</t>
        </is>
      </c>
      <c r="E85" s="576" t="n"/>
      <c r="F85" s="576" t="n"/>
      <c r="G85" s="576" t="n"/>
      <c r="H85" s="576" t="n"/>
      <c r="I85" s="576" t="n"/>
      <c r="J85" s="576" t="n"/>
      <c r="K85" s="576" t="n"/>
      <c r="L85" s="576" t="n"/>
      <c r="M85" s="576" t="n"/>
      <c r="N85" s="576" t="n"/>
    </row>
    <row r="86" ht="15" customHeight="1" s="632" thickBot="1">
      <c r="A86" s="248" t="inlineStr">
        <is>
          <t>Selling Price</t>
        </is>
      </c>
      <c r="B86" s="1021" t="n">
        <v>1</v>
      </c>
      <c r="C86" s="576" t="n"/>
      <c r="D86" s="708" t="inlineStr">
        <is>
          <t>PF13</t>
        </is>
      </c>
      <c r="E86" s="576" t="n"/>
      <c r="F86" s="576" t="n"/>
      <c r="G86" s="576" t="n"/>
      <c r="H86" s="576" t="n"/>
      <c r="I86" s="576" t="n"/>
      <c r="J86" s="576" t="n"/>
      <c r="K86" s="576" t="n"/>
      <c r="L86" s="576" t="n"/>
      <c r="M86" s="576" t="n"/>
      <c r="N86" s="576" t="n"/>
    </row>
    <row r="87">
      <c r="A87" s="576" t="n"/>
      <c r="B87" s="576" t="n"/>
      <c r="C87" s="576" t="n"/>
      <c r="D87" s="576" t="n"/>
      <c r="E87" s="576" t="n"/>
      <c r="F87" s="576" t="n"/>
      <c r="G87" s="576" t="n"/>
      <c r="H87" s="576" t="n"/>
      <c r="I87" s="576" t="n"/>
      <c r="J87" s="576" t="n"/>
      <c r="K87" s="576" t="n"/>
      <c r="L87" s="576" t="n"/>
      <c r="M87" s="576" t="n"/>
      <c r="N87" s="576" t="n"/>
    </row>
    <row r="88">
      <c r="A88" s="576" t="n"/>
      <c r="B88" s="576" t="n"/>
      <c r="C88" s="576" t="n"/>
      <c r="D88" s="576" t="n"/>
      <c r="E88" s="576" t="n"/>
      <c r="F88" s="576" t="n"/>
      <c r="G88" s="576" t="n"/>
      <c r="H88" s="576" t="n"/>
      <c r="I88" s="576" t="n"/>
      <c r="J88" s="576" t="n"/>
      <c r="K88" s="576" t="n"/>
      <c r="L88" s="576" t="n"/>
      <c r="M88" s="576" t="n"/>
      <c r="N88" s="576" t="n"/>
    </row>
    <row r="89">
      <c r="A89" s="576" t="n"/>
      <c r="B89" s="576" t="n"/>
      <c r="C89" s="576" t="n"/>
      <c r="D89" s="576" t="n"/>
      <c r="E89" s="576" t="n"/>
      <c r="F89" s="576" t="n"/>
      <c r="G89" s="576" t="n"/>
      <c r="H89" s="576" t="n"/>
      <c r="I89" s="576" t="n"/>
      <c r="J89" s="576" t="n"/>
      <c r="K89" s="576" t="n"/>
      <c r="L89" s="576" t="n"/>
      <c r="M89" s="576" t="n"/>
      <c r="N89" s="576" t="n"/>
    </row>
    <row r="90">
      <c r="A90" s="576" t="n"/>
      <c r="B90" s="576" t="n"/>
      <c r="C90" s="576" t="n"/>
      <c r="D90" s="576" t="n"/>
      <c r="E90" s="576" t="n"/>
      <c r="F90" s="576" t="n"/>
      <c r="G90" s="576" t="n"/>
      <c r="H90" s="576" t="n"/>
      <c r="I90" s="576" t="n"/>
      <c r="J90" s="576" t="n"/>
      <c r="K90" s="576" t="n"/>
      <c r="L90" s="576" t="n"/>
      <c r="M90" s="576" t="n"/>
      <c r="N90" s="576" t="n"/>
    </row>
    <row r="91">
      <c r="A91" s="576" t="n"/>
      <c r="B91" s="576" t="n"/>
      <c r="C91" s="576" t="n"/>
      <c r="D91" s="576" t="n"/>
      <c r="E91" s="576" t="n"/>
      <c r="F91" s="576" t="n"/>
      <c r="G91" s="576" t="n"/>
      <c r="H91" s="576" t="n"/>
      <c r="I91" s="576" t="n"/>
      <c r="J91" s="576" t="n"/>
      <c r="K91" s="576" t="n"/>
      <c r="L91" s="576" t="n"/>
      <c r="M91" s="576" t="n"/>
      <c r="N91" s="576" t="n"/>
    </row>
    <row r="92">
      <c r="A92" s="576" t="n"/>
      <c r="B92" s="576" t="n"/>
      <c r="C92" s="576" t="n"/>
      <c r="D92" s="576" t="n"/>
      <c r="E92" s="576" t="n"/>
      <c r="F92" s="576" t="n"/>
      <c r="G92" s="576" t="n"/>
      <c r="H92" s="576" t="n"/>
      <c r="I92" s="576" t="n"/>
      <c r="J92" s="576" t="n"/>
      <c r="K92" s="576" t="n"/>
      <c r="L92" s="576" t="n"/>
      <c r="M92" s="576" t="n"/>
      <c r="N92" s="576" t="n"/>
    </row>
    <row r="93">
      <c r="A93" s="576" t="n"/>
      <c r="B93" s="576" t="n"/>
      <c r="C93" s="576" t="n"/>
      <c r="D93" s="576" t="n"/>
      <c r="E93" s="576" t="n"/>
      <c r="F93" s="576" t="n"/>
      <c r="G93" s="576" t="n"/>
      <c r="H93" s="576" t="n"/>
      <c r="I93" s="576" t="n"/>
      <c r="J93" s="576" t="n"/>
      <c r="K93" s="576" t="n"/>
      <c r="L93" s="576" t="n"/>
      <c r="M93" s="576" t="n"/>
      <c r="N93" s="576" t="n"/>
    </row>
    <row r="94" ht="15" customHeight="1" s="632" thickBot="1">
      <c r="A94" s="371" t="n"/>
    </row>
    <row r="95">
      <c r="A95" s="63" t="inlineStr">
        <is>
          <t>Line item</t>
        </is>
      </c>
      <c r="B95" s="65" t="inlineStr">
        <is>
          <t>Unit</t>
        </is>
      </c>
      <c r="C95" s="65" t="inlineStr">
        <is>
          <t>FY2026A</t>
        </is>
      </c>
      <c r="D95" s="65" t="inlineStr">
        <is>
          <t>FY2027E</t>
        </is>
      </c>
      <c r="E95" s="65" t="inlineStr">
        <is>
          <t>FY2028E</t>
        </is>
      </c>
      <c r="F95" s="65" t="inlineStr">
        <is>
          <t>FY2029E</t>
        </is>
      </c>
      <c r="G95" s="65" t="inlineStr">
        <is>
          <t>FY2030E</t>
        </is>
      </c>
      <c r="H95" s="65" t="inlineStr">
        <is>
          <t>FY2031E</t>
        </is>
      </c>
      <c r="I95" s="65" t="inlineStr">
        <is>
          <t>FY2032E</t>
        </is>
      </c>
      <c r="J95" s="65" t="inlineStr">
        <is>
          <t>FY2033E</t>
        </is>
      </c>
      <c r="K95" s="65" t="inlineStr">
        <is>
          <t>CAGR</t>
        </is>
      </c>
      <c r="L95" s="409" t="inlineStr">
        <is>
          <t>Source</t>
        </is>
      </c>
      <c r="M95" s="409" t="inlineStr">
        <is>
          <t>Conf.</t>
        </is>
      </c>
      <c r="N95" s="410" t="inlineStr">
        <is>
          <t>Notes / methodology</t>
        </is>
      </c>
      <c r="P95" s="707" t="inlineStr">
        <is>
          <t>Ref</t>
        </is>
      </c>
    </row>
    <row r="96">
      <c r="A96" s="836" t="inlineStr">
        <is>
          <t>DRIVER REALISATION (before the utilisation feedback)</t>
        </is>
      </c>
      <c r="B96" s="837" t="n"/>
      <c r="C96" s="837" t="n"/>
      <c r="D96" s="837" t="n"/>
      <c r="E96" s="837" t="n"/>
      <c r="F96" s="837" t="n"/>
      <c r="G96" s="837" t="n"/>
      <c r="H96" s="837" t="n"/>
      <c r="I96" s="837" t="n"/>
      <c r="J96" s="837" t="n"/>
      <c r="K96" s="837" t="n"/>
      <c r="L96" s="837" t="n"/>
      <c r="M96" s="837" t="n"/>
      <c r="N96" s="838" t="n"/>
    </row>
    <row r="97" ht="60" customHeight="1" s="632">
      <c r="A97" s="69" t="inlineStr">
        <is>
          <t>Blended realisation - scenario driver</t>
        </is>
      </c>
      <c r="B97" s="78" t="inlineStr">
        <is>
          <t>Rs/t</t>
        </is>
      </c>
      <c r="C97" s="1022" t="n">
        <v>59974</v>
      </c>
      <c r="D97" s="1022">
        <f>'Model Assumptions'!E$16</f>
        <v/>
      </c>
      <c r="E97" s="1022">
        <f>'Model Assumptions'!F$16</f>
        <v/>
      </c>
      <c r="F97" s="1022">
        <f>'Model Assumptions'!G$16</f>
        <v/>
      </c>
      <c r="G97" s="1022">
        <f>'Model Assumptions'!H$16</f>
        <v/>
      </c>
      <c r="H97" s="1022">
        <f>'Model Assumptions'!I$16</f>
        <v/>
      </c>
      <c r="I97" s="1022">
        <f>'Model Assumptions'!J$16</f>
        <v/>
      </c>
      <c r="J97" s="1022">
        <f>'Model Assumptions'!K$16</f>
        <v/>
      </c>
      <c r="K97" s="83" t="n"/>
      <c r="L97" s="344" t="inlineStr">
        <is>
          <t>Derived from Master DB</t>
        </is>
      </c>
      <c r="M97" s="344" t="inlineStr">
        <is>
          <t>Medium</t>
        </is>
      </c>
      <c r="N97" s="345" t="inlineStr">
        <is>
          <t>FY2026A of Rs 59,974/t is derived, not quoted. Component realisations: Tata Steel India Rs 62,273/t, JSW Steel India Rs 60,798/t, Jindal Steel Rs 61,319/t, SAIL Rs 55,600/t. Jindal Stainless is EXCLUDED at roughly Rs 1,67,000/t because stainless is not comparable.</t>
        </is>
      </c>
      <c r="P97" s="708" t="inlineStr">
        <is>
          <t>PF14</t>
        </is>
      </c>
    </row>
    <row r="98">
      <c r="A98" s="836" t="inlineStr">
        <is>
          <t>UTILISATION FEEDBACK (lagged one year - no circular reference)</t>
        </is>
      </c>
      <c r="B98" s="837" t="n"/>
      <c r="C98" s="837" t="n"/>
      <c r="D98" s="837" t="n"/>
      <c r="E98" s="837" t="n"/>
      <c r="F98" s="837" t="n"/>
      <c r="G98" s="837" t="n"/>
      <c r="H98" s="837" t="n"/>
      <c r="I98" s="837" t="n"/>
      <c r="J98" s="837" t="n"/>
      <c r="K98" s="837" t="n"/>
      <c r="L98" s="837" t="n"/>
      <c r="M98" s="837" t="n"/>
      <c r="N98" s="838" t="n"/>
    </row>
    <row r="99" ht="36" customHeight="1" s="632">
      <c r="A99" s="69" t="inlineStr">
        <is>
          <t>Prior-year capacity utilisation</t>
        </is>
      </c>
      <c r="B99" s="78" t="inlineStr">
        <is>
          <t>%</t>
        </is>
      </c>
      <c r="C99" s="83" t="n"/>
      <c r="D99" s="904">
        <f>'Capacity Utilisation'!C$67</f>
        <v/>
      </c>
      <c r="E99" s="904">
        <f>'Capacity Utilisation'!D$67</f>
        <v/>
      </c>
      <c r="F99" s="904">
        <f>'Capacity Utilisation'!E$67</f>
        <v/>
      </c>
      <c r="G99" s="904">
        <f>'Capacity Utilisation'!F$67</f>
        <v/>
      </c>
      <c r="H99" s="904">
        <f>'Capacity Utilisation'!G$67</f>
        <v/>
      </c>
      <c r="I99" s="904">
        <f>'Capacity Utilisation'!H$67</f>
        <v/>
      </c>
      <c r="J99" s="904">
        <f>'Capacity Utilisation'!I$67</f>
        <v/>
      </c>
      <c r="K99" s="83" t="n"/>
      <c r="L99" s="344" t="inlineStr">
        <is>
          <t>08 Utilisation (lagged)</t>
        </is>
      </c>
      <c r="M99" s="344" t="inlineStr">
        <is>
          <t>High</t>
        </is>
      </c>
      <c r="N99" s="345" t="inlineStr">
        <is>
          <t>Deliberately the PRIOR year. FY2027E uses the FY2026A actual of 76.4%. The lag is what allows capacity to affect price without creating a circular reference.</t>
        </is>
      </c>
      <c r="P99" s="708" t="inlineStr">
        <is>
          <t>PF15</t>
        </is>
      </c>
    </row>
    <row r="100" ht="24" customHeight="1" s="632">
      <c r="A100" s="69" t="inlineStr">
        <is>
          <t>Normal utilisation</t>
        </is>
      </c>
      <c r="B100" s="78" t="inlineStr">
        <is>
          <t>%</t>
        </is>
      </c>
      <c r="C100" s="83" t="n"/>
      <c r="D100" s="904">
        <f>'Model Assumptions'!E$31</f>
        <v/>
      </c>
      <c r="E100" s="904">
        <f>'Model Assumptions'!F$31</f>
        <v/>
      </c>
      <c r="F100" s="904">
        <f>'Model Assumptions'!G$31</f>
        <v/>
      </c>
      <c r="G100" s="904">
        <f>'Model Assumptions'!H$31</f>
        <v/>
      </c>
      <c r="H100" s="904">
        <f>'Model Assumptions'!I$31</f>
        <v/>
      </c>
      <c r="I100" s="904">
        <f>'Model Assumptions'!J$31</f>
        <v/>
      </c>
      <c r="J100" s="904">
        <f>'Model Assumptions'!K$31</f>
        <v/>
      </c>
      <c r="K100" s="83" t="n"/>
      <c r="L100" s="344" t="inlineStr">
        <is>
          <t>Derived from Master DB</t>
        </is>
      </c>
      <c r="M100" s="344" t="inlineStr">
        <is>
          <t>Medium</t>
        </is>
      </c>
      <c r="N100" s="119" t="n"/>
      <c r="P100" s="708" t="inlineStr">
        <is>
          <t>PF16</t>
        </is>
      </c>
    </row>
    <row r="101" ht="24" customHeight="1" s="632">
      <c r="A101" s="69" t="inlineStr">
        <is>
          <t>Price sensitivity to utilisation</t>
        </is>
      </c>
      <c r="B101" s="78" t="inlineStr">
        <is>
          <t>x</t>
        </is>
      </c>
      <c r="C101" s="83" t="n"/>
      <c r="D101" s="92">
        <f>'Model Assumptions'!E$30</f>
        <v/>
      </c>
      <c r="E101" s="92">
        <f>'Model Assumptions'!F$30</f>
        <v/>
      </c>
      <c r="F101" s="92">
        <f>'Model Assumptions'!G$30</f>
        <v/>
      </c>
      <c r="G101" s="92">
        <f>'Model Assumptions'!H$30</f>
        <v/>
      </c>
      <c r="H101" s="92">
        <f>'Model Assumptions'!I$30</f>
        <v/>
      </c>
      <c r="I101" s="92">
        <f>'Model Assumptions'!J$30</f>
        <v/>
      </c>
      <c r="J101" s="92">
        <f>'Model Assumptions'!K$30</f>
        <v/>
      </c>
      <c r="K101" s="83" t="n"/>
      <c r="L101" s="344" t="inlineStr">
        <is>
          <t>Indicative</t>
        </is>
      </c>
      <c r="M101" s="344" t="inlineStr">
        <is>
          <t>Low</t>
        </is>
      </c>
      <c r="N101" s="345" t="inlineStr">
        <is>
          <t>0.40x. INDICATIVE and unsourced, held constant across scenarios for that reason, and given a sensitivity axis on 22.</t>
        </is>
      </c>
      <c r="P101" s="708" t="inlineStr">
        <is>
          <t>PF17</t>
        </is>
      </c>
    </row>
    <row r="102" ht="24" customHeight="1" s="632">
      <c r="A102" s="69" t="inlineStr">
        <is>
          <t>Price adjustment factor</t>
        </is>
      </c>
      <c r="B102" s="78" t="inlineStr">
        <is>
          <t>x</t>
        </is>
      </c>
      <c r="C102" s="92" t="n">
        <v>1</v>
      </c>
      <c r="D102" s="92">
        <f>1+D101*(D99-D100)</f>
        <v/>
      </c>
      <c r="E102" s="92">
        <f>1+E101*(E99-E100)</f>
        <v/>
      </c>
      <c r="F102" s="92">
        <f>1+F101*(F99-F100)</f>
        <v/>
      </c>
      <c r="G102" s="92">
        <f>1+G101*(G99-G100)</f>
        <v/>
      </c>
      <c r="H102" s="92">
        <f>1+H101*(H99-H100)</f>
        <v/>
      </c>
      <c r="I102" s="92">
        <f>1+I101*(I99-I100)</f>
        <v/>
      </c>
      <c r="J102" s="92">
        <f>1+J101*(J99-J100)</f>
        <v/>
      </c>
      <c r="K102" s="83" t="n"/>
      <c r="L102" s="344" t="inlineStr">
        <is>
          <t>Computed</t>
        </is>
      </c>
      <c r="M102" s="344" t="inlineStr">
        <is>
          <t>Low</t>
        </is>
      </c>
      <c r="N102" s="345" t="inlineStr">
        <is>
          <t>Below 1.0 means surplus capacity is depressing realisation; above 1.0 means tight capacity is supporting it.</t>
        </is>
      </c>
      <c r="P102" s="708" t="inlineStr">
        <is>
          <t>PF18</t>
        </is>
      </c>
    </row>
    <row r="103" ht="24" customHeight="1" s="632">
      <c r="A103" s="76" t="inlineStr">
        <is>
          <t>Blended realisation - effective</t>
        </is>
      </c>
      <c r="B103" s="78" t="inlineStr">
        <is>
          <t>Rs/t</t>
        </is>
      </c>
      <c r="C103" s="1023" t="n">
        <v>59974</v>
      </c>
      <c r="D103" s="1023">
        <f>D97*D102</f>
        <v/>
      </c>
      <c r="E103" s="1023">
        <f>E97*E102</f>
        <v/>
      </c>
      <c r="F103" s="1023">
        <f>F97*F102</f>
        <v/>
      </c>
      <c r="G103" s="1023">
        <f>G97*G102</f>
        <v/>
      </c>
      <c r="H103" s="1023">
        <f>H97*H102</f>
        <v/>
      </c>
      <c r="I103" s="1023">
        <f>I97*I102</f>
        <v/>
      </c>
      <c r="J103" s="1023">
        <f>J97*J102</f>
        <v/>
      </c>
      <c r="K103" s="904">
        <f>IFERROR(IF(AND(ISNUMBER(C103),ISNUMBER(J103),C103&gt;0),(J103/C103)^(1/7)-1,""),"")</f>
        <v/>
      </c>
      <c r="L103" s="344" t="inlineStr">
        <is>
          <t>Computed</t>
        </is>
      </c>
      <c r="M103" s="344" t="inlineStr">
        <is>
          <t>Medium</t>
        </is>
      </c>
      <c r="N103" s="345" t="inlineStr">
        <is>
          <t>THE REVENUE DRIVER. This, not the raw driver above, is what 12 Revenue reads.</t>
        </is>
      </c>
      <c r="P103" s="708" t="inlineStr">
        <is>
          <t>PF19</t>
        </is>
      </c>
    </row>
    <row r="104">
      <c r="A104" s="836" t="inlineStr">
        <is>
          <t>REFERENCE PRICES AND POLICY</t>
        </is>
      </c>
      <c r="B104" s="837" t="n"/>
      <c r="C104" s="837" t="n"/>
      <c r="D104" s="837" t="n"/>
      <c r="E104" s="837" t="n"/>
      <c r="F104" s="837" t="n"/>
      <c r="G104" s="837" t="n"/>
      <c r="H104" s="837" t="n"/>
      <c r="I104" s="837" t="n"/>
      <c r="J104" s="837" t="n"/>
      <c r="K104" s="837" t="n"/>
      <c r="L104" s="837" t="n"/>
      <c r="M104" s="837" t="n"/>
      <c r="N104" s="838" t="n"/>
    </row>
    <row r="105" ht="48" customHeight="1" s="632">
      <c r="A105" s="69" t="inlineStr">
        <is>
          <t>Memo: domestic HRC, end-Mar-2026 (ICRA)</t>
        </is>
      </c>
      <c r="B105" s="78" t="inlineStr">
        <is>
          <t>Rs/t</t>
        </is>
      </c>
      <c r="C105" s="1022" t="n">
        <v>57700</v>
      </c>
      <c r="D105" s="118" t="n"/>
      <c r="E105" s="118" t="n"/>
      <c r="F105" s="118" t="n"/>
      <c r="G105" s="118" t="n"/>
      <c r="H105" s="118" t="n"/>
      <c r="I105" s="118" t="n"/>
      <c r="J105" s="118" t="n"/>
      <c r="K105" s="118" t="n"/>
      <c r="L105" s="344" t="inlineStr">
        <is>
          <t>Master DB S19</t>
        </is>
      </c>
      <c r="M105" s="344" t="inlineStr">
        <is>
          <t>High</t>
        </is>
      </c>
      <c r="N105" s="345" t="inlineStr">
        <is>
          <t>The database's recommended HRC reference. Shown as a memo only - the model runs on blended realisation. IDBI put Mar-2026 at Rs 59,500/t and ETInfra at Rs 55,900/t (Conflict C07).</t>
        </is>
      </c>
      <c r="P105" s="708" t="inlineStr">
        <is>
          <t>PF20</t>
        </is>
      </c>
    </row>
    <row r="106" ht="24" customHeight="1" s="632">
      <c r="A106" s="69" t="inlineStr">
        <is>
          <t>Memo: HRC 52-week range to Jun-2026</t>
        </is>
      </c>
      <c r="B106" s="78" t="inlineStr">
        <is>
          <t>Rs/t</t>
        </is>
      </c>
      <c r="C106" s="118" t="n"/>
      <c r="D106" s="95" t="inlineStr">
        <is>
          <t>Rs 45,700 - 59,600/t</t>
        </is>
      </c>
      <c r="E106" s="951" t="n"/>
      <c r="F106" s="118" t="n"/>
      <c r="G106" s="118" t="n"/>
      <c r="H106" s="118" t="n"/>
      <c r="I106" s="118" t="n"/>
      <c r="J106" s="118" t="n"/>
      <c r="K106" s="118" t="n"/>
      <c r="L106" s="344" t="inlineStr">
        <is>
          <t>Master DB S21</t>
        </is>
      </c>
      <c r="M106" s="344" t="inlineStr">
        <is>
          <t>High</t>
        </is>
      </c>
      <c r="N106" s="345" t="inlineStr">
        <is>
          <t>A ~30% range. The single largest source of FY2027 earnings uncertainty.</t>
        </is>
      </c>
      <c r="P106" s="708" t="inlineStr">
        <is>
          <t>PF21</t>
        </is>
      </c>
    </row>
    <row r="107" ht="72.59999999999999" customHeight="1" s="632" thickBot="1">
      <c r="A107" s="72" t="inlineStr">
        <is>
          <t>Safeguard duty on flat products</t>
        </is>
      </c>
      <c r="B107" s="79" t="inlineStr">
        <is>
          <t>%</t>
        </is>
      </c>
      <c r="C107" s="910" t="n">
        <v>0.12</v>
      </c>
      <c r="D107" s="910" t="n">
        <v>0.115</v>
      </c>
      <c r="E107" s="910" t="n">
        <v>0.11</v>
      </c>
      <c r="F107" s="910" t="n">
        <v>0</v>
      </c>
      <c r="G107" s="910" t="n">
        <v>0</v>
      </c>
      <c r="H107" s="910" t="n">
        <v>0</v>
      </c>
      <c r="I107" s="910" t="n">
        <v>0</v>
      </c>
      <c r="J107" s="910" t="n">
        <v>0</v>
      </c>
      <c r="K107" s="120" t="n"/>
      <c r="L107" s="346" t="inlineStr">
        <is>
          <t>Master DB policy P03</t>
        </is>
      </c>
      <c r="M107" s="346" t="inlineStr">
        <is>
          <t>High</t>
        </is>
      </c>
      <c r="N107" s="347" t="inlineStr">
        <is>
          <t>SCHEDULE, NOT A FORECAST. 12% for 21-Apr-2025 to 20-Apr-2026 (FY2026), 11.5% from 21-Apr-2026 (FY2027), 11% from 21-Apr-2027 (FY2028), expiring 20-Apr-2028. Zero thereafter unless extended - a mid-term review is provided for. The FY2029 step to zero is why the base case realisation path dips in FY2028-FY2029.</t>
        </is>
      </c>
      <c r="P107" s="708" t="inlineStr">
        <is>
          <t>PF22</t>
        </is>
      </c>
    </row>
    <row r="108"/>
    <row r="109">
      <c r="A109" s="383" t="inlineStr">
        <is>
          <t>The duty covers FLAT products only, which is why the database records primary rebar rising 25% against HRC's 18% between the Dec-2025 quarter and Mar-2026.</t>
        </is>
      </c>
    </row>
  </sheetData>
  <mergeCells count="15">
    <mergeCell ref="A7:I7"/>
    <mergeCell ref="A57:E57"/>
    <mergeCell ref="A2:E2"/>
    <mergeCell ref="A28:I28"/>
    <mergeCell ref="A96:N96"/>
    <mergeCell ref="D106:E106"/>
    <mergeCell ref="A104:N104"/>
    <mergeCell ref="A17:I17"/>
    <mergeCell ref="A98:N98"/>
    <mergeCell ref="A44:B44"/>
    <mergeCell ref="A109:M109"/>
    <mergeCell ref="A66:E66"/>
    <mergeCell ref="A5:N5"/>
    <mergeCell ref="A77:B77"/>
    <mergeCell ref="A1:N1"/>
  </mergeCells>
  <hyperlinks>
    <hyperlink ref="M10" location="'Audit Checks'!A350" tooltip="Open the reference register on 25 Audit Checks"/>
    <hyperlink ref="M11" location="'Audit Checks'!A350" tooltip="Open the reference register on 25 Audit Checks"/>
    <hyperlink ref="M14" location="'Audit Checks'!A350" tooltip="Open the reference register on 25 Audit Checks"/>
    <hyperlink ref="M20" location="'Audit Checks'!A350" tooltip="Open the reference register on 25 Audit Checks"/>
    <hyperlink ref="M22" location="'Audit Checks'!A350" tooltip="Open the reference register on 25 Audit Checks"/>
    <hyperlink ref="M23" location="'Audit Checks'!A350" tooltip="Open the reference register on 25 Audit Checks"/>
    <hyperlink ref="M25" location="'Audit Checks'!A350" tooltip="Open the reference register on 25 Audit Checks"/>
    <hyperlink ref="K31" location="'Audit Checks'!A350" tooltip="Open the reference register on 25 Audit Checks"/>
    <hyperlink ref="K32" location="'Audit Checks'!A350" tooltip="Open the reference register on 25 Audit Checks"/>
    <hyperlink ref="K33" location="'Audit Checks'!A350" tooltip="Open the reference register on 25 Audit Checks"/>
    <hyperlink ref="K34" location="'Audit Checks'!A350" tooltip="Open the reference register on 25 Audit Checks"/>
    <hyperlink ref="K35" location="'Audit Checks'!A350" tooltip="Open the reference register on 25 Audit Checks"/>
    <hyperlink ref="K36" location="'Audit Checks'!A350" tooltip="Open the reference register on 25 Audit Checks"/>
    <hyperlink ref="K37" location="'Audit Checks'!A350" tooltip="Open the reference register on 25 Audit Checks"/>
    <hyperlink ref="K38" location="'Audit Checks'!A350" tooltip="Open the reference register on 25 Audit Checks"/>
    <hyperlink ref="K39" location="'Audit Checks'!A350" tooltip="Open the reference register on 25 Audit Checks"/>
    <hyperlink ref="M49" location="'Audit Checks'!A350" tooltip="Open the reference register on 25 Audit Checks"/>
    <hyperlink ref="M50" location="'Audit Checks'!A350" tooltip="Open the reference register on 25 Audit Checks"/>
    <hyperlink ref="M52" location="'Audit Checks'!A350" tooltip="Open the reference register on 25 Audit Checks"/>
    <hyperlink ref="M59" location="'Audit Checks'!A350" tooltip="Open the reference register on 25 Audit Checks"/>
    <hyperlink ref="M60" location="'Audit Checks'!A350" tooltip="Open the reference register on 25 Audit Checks"/>
    <hyperlink ref="M61" location="'Audit Checks'!A350" tooltip="Open the reference register on 25 Audit Checks"/>
    <hyperlink ref="M62" location="'Audit Checks'!A350" tooltip="Open the reference register on 25 Audit Checks"/>
    <hyperlink ref="M63" location="'Audit Checks'!A350" tooltip="Open the reference register on 25 Audit Checks"/>
    <hyperlink ref="G74" location="'Audit Checks'!A350" tooltip="Open the reference register on 25 Audit Checks"/>
    <hyperlink ref="D79" location="'Audit Checks'!A350" tooltip="Open the reference register on 25 Audit Checks"/>
    <hyperlink ref="D80" location="'Audit Checks'!A350" tooltip="Open the reference register on 25 Audit Checks"/>
    <hyperlink ref="D81" location="'Audit Checks'!A350" tooltip="Open the reference register on 25 Audit Checks"/>
    <hyperlink ref="D83" location="'Audit Checks'!A350" tooltip="Open the reference register on 25 Audit Checks"/>
    <hyperlink ref="D84" location="'Audit Checks'!A350" tooltip="Open the reference register on 25 Audit Checks"/>
    <hyperlink ref="D85" location="'Audit Checks'!A350" tooltip="Open the reference register on 25 Audit Checks"/>
    <hyperlink ref="D86" location="'Audit Checks'!A350" tooltip="Open the reference register on 25 Audit Checks"/>
    <hyperlink ref="P97" location="'Audit Checks'!A350" tooltip="Open the reference register on 25 Audit Checks"/>
    <hyperlink ref="P99" location="'Audit Checks'!A350" tooltip="Open the reference register on 25 Audit Checks"/>
    <hyperlink ref="P100" location="'Audit Checks'!A350" tooltip="Open the reference register on 25 Audit Checks"/>
    <hyperlink ref="P101" location="'Audit Checks'!A350" tooltip="Open the reference register on 25 Audit Checks"/>
    <hyperlink ref="P102" location="'Audit Checks'!A350" tooltip="Open the reference register on 25 Audit Checks"/>
    <hyperlink ref="P103" location="'Audit Checks'!A350" tooltip="Open the reference register on 25 Audit Checks"/>
    <hyperlink ref="P105" location="'Audit Checks'!A350" tooltip="Open the reference register on 25 Audit Checks"/>
    <hyperlink ref="P106" location="'Audit Checks'!A350" tooltip="Open the reference register on 25 Audit Checks"/>
    <hyperlink ref="P107" location="'Audit Checks'!A350" tooltip="Open the reference register on 25 Audit Checks"/>
  </hyperlinks>
  <pageMargins left="0.7" right="0.7" top="0.75" bottom="0.75" header="0.3" footer="0.3"/>
  <drawing xmlns:r="http://schemas.openxmlformats.org/officeDocument/2006/relationships" r:id="rId1"/>
</worksheet>
</file>

<file path=xl/worksheets/sheet15.xml><?xml version="1.0" encoding="utf-8"?>
<worksheet xmlns="http://schemas.openxmlformats.org/spreadsheetml/2006/main">
  <sheetPr codeName="Sheet15">
    <tabColor rgb="FF002060"/>
    <outlinePr summaryBelow="1" summaryRight="1"/>
    <pageSetUpPr/>
  </sheetPr>
  <dimension ref="A1:Q97"/>
  <sheetViews>
    <sheetView showGridLines="0" workbookViewId="0">
      <selection activeCell="A7" sqref="A7:I16"/>
    </sheetView>
  </sheetViews>
  <sheetFormatPr baseColWidth="8" defaultRowHeight="14.4"/>
  <cols>
    <col width="32.109375" customWidth="1" style="632" min="1" max="1"/>
    <col width="12.109375" customWidth="1" style="320" min="2" max="2"/>
    <col width="11.109375" customWidth="1" style="320" min="3" max="9"/>
    <col width="7" customWidth="1" style="632" min="6" max="6"/>
    <col width="7" customWidth="1" style="632" min="7" max="7"/>
    <col width="7" customWidth="1" style="632" min="9" max="9"/>
    <col width="8.33203125" customWidth="1" style="632" min="10" max="11"/>
    <col width="18.44140625" customWidth="1" style="632" min="12" max="12"/>
    <col width="8.33203125" customWidth="1" style="632" min="13" max="13"/>
    <col width="62.33203125" customWidth="1" style="632" min="14" max="14"/>
    <col width="7" customWidth="1" style="632" min="16" max="16"/>
  </cols>
  <sheetData>
    <row r="1" ht="25.8" customHeight="1" s="632">
      <c r="A1" s="372" t="inlineStr">
        <is>
          <t>RAW MATERIAL FORECAST</t>
        </is>
      </c>
    </row>
    <row r="2">
      <c r="A2" s="355" t="inlineStr">
        <is>
          <t>Industry Financial Model  |  Indian Steel Industry  |  Horizon FY2027E-FY2033E  |  Base year FY2026A</t>
        </is>
      </c>
    </row>
    <row r="3">
      <c r="A3" s="371" t="n"/>
    </row>
    <row r="4">
      <c r="A4" s="356" t="inlineStr">
        <is>
          <t>OBJECTIVE</t>
        </is>
      </c>
    </row>
    <row r="5">
      <c r="A5" s="576" t="inlineStr">
        <is>
          <t>Forecast the cost and availability of key steelmaking raw materials and translate them into future production costs.</t>
        </is>
      </c>
    </row>
    <row r="6">
      <c r="A6" s="576" t="n"/>
      <c r="B6" s="577" t="n"/>
      <c r="C6" s="577" t="n"/>
      <c r="D6" s="577" t="n"/>
      <c r="E6" s="577" t="n"/>
      <c r="F6" s="577" t="n"/>
      <c r="G6" s="577" t="n"/>
      <c r="H6" s="577" t="n"/>
      <c r="I6" s="577" t="n"/>
      <c r="J6" s="576" t="n"/>
      <c r="K6" s="576" t="n"/>
      <c r="L6" s="576" t="n"/>
      <c r="M6" s="576" t="n"/>
      <c r="N6" s="576" t="n"/>
    </row>
    <row r="7" ht="16.2" customHeight="1" s="632" thickBot="1">
      <c r="A7" s="621" t="inlineStr">
        <is>
          <t>Executive Summary</t>
        </is>
      </c>
      <c r="B7" s="991" t="n"/>
      <c r="C7" s="991" t="n"/>
      <c r="D7" s="991" t="n"/>
      <c r="E7" s="991" t="n"/>
      <c r="F7" s="991" t="n"/>
      <c r="G7" s="991" t="n"/>
      <c r="H7" s="991" t="n"/>
      <c r="I7" s="991" t="n"/>
      <c r="J7" s="576" t="n"/>
      <c r="K7" s="576" t="n"/>
      <c r="L7" s="576" t="n"/>
      <c r="M7" s="576" t="n"/>
      <c r="N7" s="576" t="n"/>
    </row>
    <row r="8" ht="15.6" customHeight="1" s="632" thickBot="1" thickTop="1">
      <c r="A8" s="645" t="inlineStr">
        <is>
          <t>KPI</t>
        </is>
      </c>
      <c r="B8" s="659" t="inlineStr">
        <is>
          <t>FY26A</t>
        </is>
      </c>
      <c r="C8" s="659" t="inlineStr">
        <is>
          <t>FY27E</t>
        </is>
      </c>
      <c r="D8" s="659" t="inlineStr">
        <is>
          <t>FY28E</t>
        </is>
      </c>
      <c r="E8" s="659" t="inlineStr">
        <is>
          <t>FY29E</t>
        </is>
      </c>
      <c r="F8" s="659" t="inlineStr">
        <is>
          <t>FY30E</t>
        </is>
      </c>
      <c r="G8" s="659" t="inlineStr">
        <is>
          <t>FY31E</t>
        </is>
      </c>
      <c r="H8" s="659" t="inlineStr">
        <is>
          <t>FY32E</t>
        </is>
      </c>
      <c r="I8" s="660" t="inlineStr">
        <is>
          <t>FY33E</t>
        </is>
      </c>
      <c r="J8" s="576" t="n"/>
      <c r="K8" s="576" t="n"/>
      <c r="L8" s="576" t="n"/>
      <c r="M8" s="707" t="inlineStr">
        <is>
          <t>Ref</t>
        </is>
      </c>
      <c r="N8" s="576" t="n"/>
    </row>
    <row r="9" ht="15" customHeight="1" s="632" thickTop="1">
      <c r="A9" s="246" t="inlineStr">
        <is>
          <t>Iron Ore (US$/dmt)</t>
        </is>
      </c>
      <c r="B9" s="843">
        <f>$C$85</f>
        <v/>
      </c>
      <c r="C9" s="843">
        <f>$D$85</f>
        <v/>
      </c>
      <c r="D9" s="843">
        <f>$E$85</f>
        <v/>
      </c>
      <c r="E9" s="843">
        <f>$F$85</f>
        <v/>
      </c>
      <c r="F9" s="843">
        <f>$G$85</f>
        <v/>
      </c>
      <c r="G9" s="843">
        <f>$H$85</f>
        <v/>
      </c>
      <c r="H9" s="843">
        <f>$I$85</f>
        <v/>
      </c>
      <c r="I9" s="844">
        <f>$J$85</f>
        <v/>
      </c>
      <c r="J9" s="576" t="n"/>
      <c r="K9" s="576" t="n"/>
      <c r="L9" s="576" t="n"/>
      <c r="M9" s="576" t="n"/>
      <c r="N9" s="576" t="n"/>
    </row>
    <row r="10">
      <c r="A10" s="247" t="inlineStr">
        <is>
          <t>Premium HCC Coal (US$/t)</t>
        </is>
      </c>
      <c r="B10" s="1024">
        <f>$C$86</f>
        <v/>
      </c>
      <c r="C10" s="1024">
        <f>$D$86</f>
        <v/>
      </c>
      <c r="D10" s="1024">
        <f>$E$86</f>
        <v/>
      </c>
      <c r="E10" s="1024">
        <f>$F$86</f>
        <v/>
      </c>
      <c r="F10" s="1024">
        <f>$G$86</f>
        <v/>
      </c>
      <c r="G10" s="1024">
        <f>$H$86</f>
        <v/>
      </c>
      <c r="H10" s="1024">
        <f>$I$86</f>
        <v/>
      </c>
      <c r="I10" s="1025">
        <f>$J$86</f>
        <v/>
      </c>
      <c r="J10" s="576" t="n"/>
      <c r="K10" s="576" t="n"/>
      <c r="L10" s="576" t="n"/>
      <c r="M10" s="576" t="n"/>
      <c r="N10" s="576" t="n"/>
    </row>
    <row r="11">
      <c r="A11" s="247" t="inlineStr">
        <is>
          <t>PCI Coal (US$/t)</t>
        </is>
      </c>
      <c r="B11" s="911">
        <f>B10*$K$11</f>
        <v/>
      </c>
      <c r="C11" s="911">
        <f>C10*$K$11</f>
        <v/>
      </c>
      <c r="D11" s="911">
        <f>D10*$K$11</f>
        <v/>
      </c>
      <c r="E11" s="911">
        <f>E10*$K$11</f>
        <v/>
      </c>
      <c r="F11" s="911">
        <f>F10*$K$11</f>
        <v/>
      </c>
      <c r="G11" s="911">
        <f>G10*$K$11</f>
        <v/>
      </c>
      <c r="H11" s="911">
        <f>H10*$K$11</f>
        <v/>
      </c>
      <c r="I11" s="912">
        <f>I10*$K$11</f>
        <v/>
      </c>
      <c r="J11" s="576" t="n"/>
      <c r="K11" s="996" t="n">
        <v>0.62</v>
      </c>
      <c r="L11" s="576" t="n"/>
      <c r="M11" s="708" t="inlineStr">
        <is>
          <t>RM01</t>
        </is>
      </c>
      <c r="N11" s="576" t="n"/>
    </row>
    <row r="12">
      <c r="A12" s="247" t="inlineStr">
        <is>
          <t>Thermal Coal (US$/t)</t>
        </is>
      </c>
      <c r="B12" s="855" t="n">
        <v>111.5</v>
      </c>
      <c r="C12" s="911">
        <f>B12*(1+'Model Assumptions'!E$11)</f>
        <v/>
      </c>
      <c r="D12" s="911">
        <f>C12*(1+'Model Assumptions'!F$11)</f>
        <v/>
      </c>
      <c r="E12" s="911">
        <f>D12*(1+'Model Assumptions'!G$11)</f>
        <v/>
      </c>
      <c r="F12" s="911">
        <f>E12*(1+'Model Assumptions'!H$11)</f>
        <v/>
      </c>
      <c r="G12" s="911">
        <f>F12*(1+'Model Assumptions'!I$11)</f>
        <v/>
      </c>
      <c r="H12" s="911">
        <f>G12*(1+'Model Assumptions'!J$11)</f>
        <v/>
      </c>
      <c r="I12" s="912">
        <f>H12*(1+'Model Assumptions'!K$11)</f>
        <v/>
      </c>
      <c r="J12" s="576" t="n"/>
      <c r="K12" s="576" t="n"/>
      <c r="L12" s="576" t="n"/>
      <c r="M12" s="708" t="inlineStr">
        <is>
          <t>RM02</t>
        </is>
      </c>
      <c r="N12" s="576" t="n"/>
    </row>
    <row r="13">
      <c r="A13" s="247" t="inlineStr">
        <is>
          <t>Scrap (US$/t)</t>
        </is>
      </c>
      <c r="B13" s="911">
        <f>B10*$K$13</f>
        <v/>
      </c>
      <c r="C13" s="911">
        <f>C10*$K$13</f>
        <v/>
      </c>
      <c r="D13" s="911">
        <f>D10*$K$13</f>
        <v/>
      </c>
      <c r="E13" s="911">
        <f>E10*$K$13</f>
        <v/>
      </c>
      <c r="F13" s="911">
        <f>F10*$K$13</f>
        <v/>
      </c>
      <c r="G13" s="911">
        <f>G10*$K$13</f>
        <v/>
      </c>
      <c r="H13" s="911">
        <f>H10*$K$13</f>
        <v/>
      </c>
      <c r="I13" s="912">
        <f>I10*$K$13</f>
        <v/>
      </c>
      <c r="J13" s="576" t="n"/>
      <c r="K13" s="996" t="n">
        <v>0.55</v>
      </c>
      <c r="L13" s="576" t="n"/>
      <c r="M13" s="708" t="inlineStr">
        <is>
          <t>RM01</t>
        </is>
      </c>
      <c r="N13" s="576" t="n"/>
    </row>
    <row r="14">
      <c r="A14" s="247" t="inlineStr">
        <is>
          <t>Limestone (₹/t)</t>
        </is>
      </c>
      <c r="B14" s="1026" t="n">
        <v>1800</v>
      </c>
      <c r="C14" s="1027">
        <f>B14*(1+'Model Assumptions'!E$11)</f>
        <v/>
      </c>
      <c r="D14" s="1027">
        <f>C14*(1+'Model Assumptions'!F$11)</f>
        <v/>
      </c>
      <c r="E14" s="1027">
        <f>D14*(1+'Model Assumptions'!G$11)</f>
        <v/>
      </c>
      <c r="F14" s="1027">
        <f>E14*(1+'Model Assumptions'!H$11)</f>
        <v/>
      </c>
      <c r="G14" s="1027">
        <f>F14*(1+'Model Assumptions'!I$11)</f>
        <v/>
      </c>
      <c r="H14" s="1027">
        <f>G14*(1+'Model Assumptions'!J$11)</f>
        <v/>
      </c>
      <c r="I14" s="1028">
        <f>H14*(1+'Model Assumptions'!K$11)</f>
        <v/>
      </c>
      <c r="J14" s="576" t="n"/>
      <c r="K14" s="576" t="n"/>
      <c r="L14" s="576" t="n"/>
      <c r="M14" s="708" t="inlineStr">
        <is>
          <t>RM02</t>
        </is>
      </c>
      <c r="N14" s="576" t="n"/>
    </row>
    <row r="15">
      <c r="A15" s="247" t="inlineStr">
        <is>
          <t>Ferro Alloys (₹/t)</t>
        </is>
      </c>
      <c r="B15" s="709" t="n">
        <v>123200</v>
      </c>
      <c r="C15" s="1027">
        <f>B15*(1+'Model Assumptions'!E$11)</f>
        <v/>
      </c>
      <c r="D15" s="1027">
        <f>C15*(1+'Model Assumptions'!F$11)</f>
        <v/>
      </c>
      <c r="E15" s="1027">
        <f>D15*(1+'Model Assumptions'!G$11)</f>
        <v/>
      </c>
      <c r="F15" s="1027">
        <f>E15*(1+'Model Assumptions'!H$11)</f>
        <v/>
      </c>
      <c r="G15" s="1027">
        <f>F15*(1+'Model Assumptions'!I$11)</f>
        <v/>
      </c>
      <c r="H15" s="1027">
        <f>G15*(1+'Model Assumptions'!J$11)</f>
        <v/>
      </c>
      <c r="I15" s="1028">
        <f>H15*(1+'Model Assumptions'!K$11)</f>
        <v/>
      </c>
      <c r="J15" s="576" t="n"/>
      <c r="K15" s="576" t="n"/>
      <c r="L15" s="576" t="n"/>
      <c r="M15" s="708" t="inlineStr">
        <is>
          <t>RM02</t>
        </is>
      </c>
      <c r="N15" s="576" t="n"/>
    </row>
    <row r="16" ht="15" customHeight="1" s="632" thickBot="1">
      <c r="A16" s="248" t="inlineStr">
        <is>
          <t>Raw Material Basket Cost (₹/t)</t>
        </is>
      </c>
      <c r="B16" s="1029">
        <f>'Cost Curve'!C80*'Model Assumptions'!D$20</f>
        <v/>
      </c>
      <c r="C16" s="1029">
        <f>'Cost Curve'!D80*'Model Assumptions'!E$20</f>
        <v/>
      </c>
      <c r="D16" s="1029">
        <f>'Cost Curve'!E80*'Model Assumptions'!F$20</f>
        <v/>
      </c>
      <c r="E16" s="1029">
        <f>'Cost Curve'!F80*'Model Assumptions'!G$20</f>
        <v/>
      </c>
      <c r="F16" s="1029">
        <f>'Cost Curve'!G80*'Model Assumptions'!H$20</f>
        <v/>
      </c>
      <c r="G16" s="1029">
        <f>'Cost Curve'!H80*'Model Assumptions'!I$20</f>
        <v/>
      </c>
      <c r="H16" s="1029">
        <f>'Cost Curve'!I80*'Model Assumptions'!J$20</f>
        <v/>
      </c>
      <c r="I16" s="1030">
        <f>'Cost Curve'!J80*'Model Assumptions'!K$20</f>
        <v/>
      </c>
      <c r="J16" s="576" t="n"/>
      <c r="K16" s="576" t="n"/>
      <c r="L16" s="576" t="n"/>
      <c r="M16" s="576" t="n"/>
      <c r="N16" s="576" t="n"/>
    </row>
    <row r="17">
      <c r="A17" s="576" t="n"/>
      <c r="B17" s="577" t="n"/>
      <c r="C17" s="577" t="n"/>
      <c r="D17" s="577" t="n"/>
      <c r="E17" s="577" t="n"/>
      <c r="F17" s="577" t="n"/>
      <c r="G17" s="577" t="n"/>
      <c r="H17" s="577" t="n"/>
      <c r="I17" s="577" t="n"/>
      <c r="J17" s="576" t="n"/>
      <c r="K17" s="576" t="n"/>
      <c r="L17" s="576" t="n"/>
      <c r="M17" s="576" t="n"/>
      <c r="N17" s="576" t="n"/>
    </row>
    <row r="18">
      <c r="A18" s="576" t="n"/>
      <c r="B18" s="577" t="n"/>
      <c r="C18" s="577" t="n"/>
      <c r="D18" s="577" t="n"/>
      <c r="E18" s="577" t="n"/>
      <c r="F18" s="577" t="n"/>
      <c r="G18" s="577" t="n"/>
      <c r="H18" s="577" t="n"/>
      <c r="I18" s="577" t="n"/>
      <c r="J18" s="576" t="n"/>
      <c r="K18" s="576" t="n"/>
      <c r="L18" s="576" t="n"/>
      <c r="M18" s="576" t="n"/>
      <c r="N18" s="576" t="n"/>
    </row>
    <row r="19" ht="16.2" customHeight="1" s="632" thickBot="1">
      <c r="A19" s="621" t="inlineStr">
        <is>
          <t>Historical Prices</t>
        </is>
      </c>
      <c r="B19" s="991" t="n"/>
      <c r="C19" s="991" t="n"/>
      <c r="D19" s="991" t="n"/>
      <c r="E19" s="991" t="n"/>
      <c r="F19" s="991" t="n"/>
      <c r="G19" s="991" t="n"/>
      <c r="H19" s="577" t="n"/>
      <c r="I19" s="577" t="n"/>
      <c r="J19" s="576" t="n"/>
      <c r="K19" s="576" t="n"/>
      <c r="L19" s="576" t="n"/>
      <c r="M19" s="576" t="n"/>
      <c r="N19" s="576" t="n"/>
    </row>
    <row r="20" ht="15.6" customHeight="1" s="632" thickBot="1" thickTop="1">
      <c r="A20" s="645" t="inlineStr">
        <is>
          <t>Commodity</t>
        </is>
      </c>
      <c r="B20" s="659" t="inlineStr">
        <is>
          <t>FY21</t>
        </is>
      </c>
      <c r="C20" s="659" t="inlineStr">
        <is>
          <t>FY22</t>
        </is>
      </c>
      <c r="D20" s="659" t="inlineStr">
        <is>
          <t>FY23</t>
        </is>
      </c>
      <c r="E20" s="659" t="inlineStr">
        <is>
          <t>FY24</t>
        </is>
      </c>
      <c r="F20" s="659" t="inlineStr">
        <is>
          <t>FY25</t>
        </is>
      </c>
      <c r="G20" s="660" t="inlineStr">
        <is>
          <t>FY26</t>
        </is>
      </c>
      <c r="H20" s="577" t="n"/>
      <c r="I20" s="707" t="inlineStr">
        <is>
          <t>Ref</t>
        </is>
      </c>
      <c r="J20" s="576" t="n"/>
      <c r="K20" s="576" t="n"/>
      <c r="L20" s="576" t="n"/>
      <c r="M20" s="576" t="n"/>
      <c r="N20" s="576" t="n"/>
    </row>
    <row r="21" ht="15" customHeight="1" s="632" thickTop="1">
      <c r="A21" s="246" t="inlineStr">
        <is>
          <t>Iron Ore</t>
        </is>
      </c>
      <c r="B21" s="852" t="n">
        <v>128.03</v>
      </c>
      <c r="C21" s="852" t="n">
        <v>155.52</v>
      </c>
      <c r="D21" s="852" t="n">
        <v>117.2</v>
      </c>
      <c r="E21" s="852" t="n">
        <v>119.91</v>
      </c>
      <c r="F21" s="852" t="n">
        <v>103.97</v>
      </c>
      <c r="G21" s="1031" t="n">
        <v>100.52</v>
      </c>
      <c r="H21" s="577" t="n"/>
      <c r="I21" s="708" t="inlineStr">
        <is>
          <t>RM03</t>
        </is>
      </c>
      <c r="J21" s="576" t="n"/>
      <c r="K21" s="576" t="n"/>
      <c r="L21" s="576" t="n"/>
      <c r="M21" s="576" t="n"/>
      <c r="N21" s="576" t="n"/>
    </row>
    <row r="22">
      <c r="A22" s="247" t="inlineStr">
        <is>
          <t>Premium HCC Coal</t>
        </is>
      </c>
      <c r="B22" s="916" t="n"/>
      <c r="C22" s="916" t="n"/>
      <c r="D22" s="916" t="n"/>
      <c r="E22" s="916" t="n"/>
      <c r="F22" s="916" t="n"/>
      <c r="G22" s="1032" t="n"/>
      <c r="H22" s="577" t="n"/>
      <c r="I22" s="708" t="inlineStr">
        <is>
          <t>RM20</t>
        </is>
      </c>
      <c r="J22" s="576" t="n"/>
      <c r="K22" s="576" t="n"/>
      <c r="L22" s="576" t="n"/>
      <c r="M22" s="576" t="n"/>
      <c r="N22" s="576" t="n"/>
    </row>
    <row r="23">
      <c r="A23" s="247" t="inlineStr">
        <is>
          <t>PCI Coal</t>
        </is>
      </c>
      <c r="B23" s="916" t="n"/>
      <c r="C23" s="916" t="n"/>
      <c r="D23" s="916" t="n"/>
      <c r="E23" s="916" t="n"/>
      <c r="F23" s="916" t="n"/>
      <c r="G23" s="1032" t="n"/>
      <c r="H23" s="577" t="n"/>
      <c r="I23" s="708" t="inlineStr">
        <is>
          <t>RM21</t>
        </is>
      </c>
      <c r="J23" s="576" t="n"/>
      <c r="K23" s="576" t="n"/>
      <c r="L23" s="576" t="n"/>
      <c r="M23" s="576" t="n"/>
      <c r="N23" s="576" t="n"/>
    </row>
    <row r="24">
      <c r="A24" s="247" t="inlineStr">
        <is>
          <t>Thermal Coal</t>
        </is>
      </c>
      <c r="B24" s="916" t="n"/>
      <c r="C24" s="916" t="n"/>
      <c r="D24" s="916" t="n"/>
      <c r="E24" s="855" t="n">
        <v>145.1</v>
      </c>
      <c r="F24" s="855" t="n">
        <v>131.89</v>
      </c>
      <c r="G24" s="1033" t="n">
        <v>111.5</v>
      </c>
      <c r="H24" s="577" t="n"/>
      <c r="I24" s="577" t="n"/>
      <c r="J24" s="576" t="n"/>
      <c r="K24" s="576" t="n"/>
      <c r="L24" s="576" t="n"/>
      <c r="M24" s="576" t="n"/>
      <c r="N24" s="576" t="n"/>
    </row>
    <row r="25">
      <c r="A25" s="247" t="inlineStr">
        <is>
          <t>Scrap</t>
        </is>
      </c>
      <c r="B25" s="916" t="n"/>
      <c r="C25" s="916" t="n"/>
      <c r="D25" s="916" t="n"/>
      <c r="E25" s="916" t="n"/>
      <c r="F25" s="916" t="n"/>
      <c r="G25" s="1032" t="n"/>
      <c r="H25" s="577" t="n"/>
      <c r="I25" s="708" t="inlineStr">
        <is>
          <t>RM21</t>
        </is>
      </c>
      <c r="J25" s="576" t="n"/>
      <c r="K25" s="576" t="n"/>
      <c r="L25" s="576" t="n"/>
      <c r="M25" s="576" t="n"/>
      <c r="N25" s="576" t="n"/>
    </row>
    <row r="26">
      <c r="A26" s="247" t="inlineStr">
        <is>
          <t>Limestone</t>
        </is>
      </c>
      <c r="B26" s="916" t="n"/>
      <c r="C26" s="916" t="n"/>
      <c r="D26" s="916" t="n"/>
      <c r="E26" s="916" t="n"/>
      <c r="F26" s="916" t="n"/>
      <c r="G26" s="1032" t="n"/>
      <c r="H26" s="577" t="n"/>
      <c r="I26" s="708" t="inlineStr">
        <is>
          <t>RM21</t>
        </is>
      </c>
      <c r="J26" s="576" t="n"/>
      <c r="K26" s="576" t="n"/>
      <c r="L26" s="576" t="n"/>
      <c r="M26" s="576" t="n"/>
      <c r="N26" s="576" t="n"/>
    </row>
    <row r="27">
      <c r="A27" s="247" t="inlineStr">
        <is>
          <t>Dolomite</t>
        </is>
      </c>
      <c r="B27" s="916" t="n"/>
      <c r="C27" s="916" t="n"/>
      <c r="D27" s="916" t="n"/>
      <c r="E27" s="916" t="n"/>
      <c r="F27" s="916" t="n"/>
      <c r="G27" s="1032" t="n"/>
      <c r="H27" s="577" t="n"/>
      <c r="I27" s="708" t="inlineStr">
        <is>
          <t>RM21</t>
        </is>
      </c>
      <c r="J27" s="576" t="n"/>
      <c r="K27" s="576" t="n"/>
      <c r="L27" s="576" t="n"/>
      <c r="M27" s="576" t="n"/>
      <c r="N27" s="576" t="n"/>
    </row>
    <row r="28">
      <c r="A28" s="247" t="inlineStr">
        <is>
          <t>Ferro Manganese</t>
        </is>
      </c>
      <c r="B28" s="916" t="n"/>
      <c r="C28" s="916" t="n"/>
      <c r="D28" s="916" t="n"/>
      <c r="E28" s="916" t="n"/>
      <c r="F28" s="916" t="n"/>
      <c r="G28" s="1032" t="n"/>
      <c r="H28" s="577" t="n"/>
      <c r="I28" s="708" t="inlineStr">
        <is>
          <t>RM21</t>
        </is>
      </c>
      <c r="J28" s="576" t="n"/>
      <c r="K28" s="576" t="n"/>
      <c r="L28" s="576" t="n"/>
      <c r="M28" s="576" t="n"/>
      <c r="N28" s="576" t="n"/>
    </row>
    <row r="29" ht="15" customHeight="1" s="632" thickBot="1">
      <c r="A29" s="248" t="inlineStr">
        <is>
          <t>Ferro Silicon</t>
        </is>
      </c>
      <c r="B29" s="1034" t="n"/>
      <c r="C29" s="1034" t="n"/>
      <c r="D29" s="1034" t="n"/>
      <c r="E29" s="1034" t="n"/>
      <c r="F29" s="1034" t="n"/>
      <c r="G29" s="831" t="n"/>
      <c r="H29" s="577" t="n"/>
      <c r="I29" s="708" t="inlineStr">
        <is>
          <t>RM21</t>
        </is>
      </c>
      <c r="J29" s="576" t="n"/>
      <c r="K29" s="576" t="n"/>
      <c r="L29" s="576" t="n"/>
      <c r="M29" s="576" t="n"/>
      <c r="N29" s="576" t="n"/>
    </row>
    <row r="30">
      <c r="A30" s="576" t="n"/>
      <c r="B30" s="577" t="n"/>
      <c r="C30" s="577" t="n"/>
      <c r="D30" s="577" t="n"/>
      <c r="E30" s="577" t="n"/>
      <c r="F30" s="577" t="n"/>
      <c r="G30" s="577" t="n"/>
      <c r="H30" s="577" t="n"/>
      <c r="I30" s="577" t="n"/>
      <c r="J30" s="576" t="n"/>
      <c r="K30" s="576" t="n"/>
      <c r="L30" s="576" t="n"/>
      <c r="M30" s="576" t="n"/>
      <c r="N30" s="576" t="n"/>
    </row>
    <row r="31">
      <c r="A31" s="576" t="n"/>
      <c r="B31" s="577" t="n"/>
      <c r="C31" s="577" t="n"/>
      <c r="D31" s="577" t="n"/>
      <c r="E31" s="577" t="n"/>
      <c r="F31" s="577" t="n"/>
      <c r="G31" s="577" t="n"/>
      <c r="H31" s="577" t="n"/>
      <c r="I31" s="577" t="n"/>
      <c r="J31" s="576" t="n"/>
      <c r="K31" s="576" t="n"/>
      <c r="L31" s="576" t="n"/>
      <c r="M31" s="576" t="n"/>
      <c r="N31" s="576" t="n"/>
    </row>
    <row r="32" ht="16.2" customHeight="1" s="632" thickBot="1">
      <c r="A32" s="621" t="inlineStr">
        <is>
          <t>Forecast</t>
        </is>
      </c>
      <c r="B32" s="991" t="n"/>
      <c r="C32" s="991" t="n"/>
      <c r="D32" s="991" t="n"/>
      <c r="E32" s="991" t="n"/>
      <c r="F32" s="991" t="n"/>
      <c r="G32" s="991" t="n"/>
      <c r="H32" s="991" t="n"/>
      <c r="I32" s="577" t="n"/>
      <c r="J32" s="576" t="n"/>
      <c r="K32" s="576" t="n"/>
      <c r="L32" s="576" t="n"/>
      <c r="M32" s="576" t="n"/>
      <c r="N32" s="576" t="n"/>
    </row>
    <row r="33" ht="15.6" customHeight="1" s="632" thickBot="1" thickTop="1">
      <c r="A33" s="645" t="inlineStr">
        <is>
          <t>Commodity</t>
        </is>
      </c>
      <c r="B33" s="659" t="inlineStr">
        <is>
          <t>FY27E</t>
        </is>
      </c>
      <c r="C33" s="659" t="inlineStr">
        <is>
          <t>FY28E</t>
        </is>
      </c>
      <c r="D33" s="659" t="inlineStr">
        <is>
          <t>FY29E</t>
        </is>
      </c>
      <c r="E33" s="659" t="inlineStr">
        <is>
          <t>FY30E</t>
        </is>
      </c>
      <c r="F33" s="659" t="inlineStr">
        <is>
          <t>FY31E</t>
        </is>
      </c>
      <c r="G33" s="659" t="inlineStr">
        <is>
          <t>FY32E</t>
        </is>
      </c>
      <c r="H33" s="660" t="inlineStr">
        <is>
          <t>FY33E</t>
        </is>
      </c>
      <c r="I33" s="577" t="n"/>
      <c r="J33" s="576" t="n"/>
      <c r="K33" s="576" t="n"/>
      <c r="L33" s="576" t="n"/>
      <c r="M33" s="707" t="inlineStr">
        <is>
          <t>Ref</t>
        </is>
      </c>
      <c r="N33" s="576" t="n"/>
    </row>
    <row r="34" ht="15" customHeight="1" s="632" thickTop="1">
      <c r="A34" s="246" t="inlineStr">
        <is>
          <t>Iron Ore</t>
        </is>
      </c>
      <c r="B34" s="843">
        <f>$D$85</f>
        <v/>
      </c>
      <c r="C34" s="843">
        <f>$E$85</f>
        <v/>
      </c>
      <c r="D34" s="843">
        <f>$F$85</f>
        <v/>
      </c>
      <c r="E34" s="843">
        <f>$G$85</f>
        <v/>
      </c>
      <c r="F34" s="843">
        <f>$H$85</f>
        <v/>
      </c>
      <c r="G34" s="843">
        <f>$I$85</f>
        <v/>
      </c>
      <c r="H34" s="844">
        <f>$J$85</f>
        <v/>
      </c>
      <c r="I34" s="577" t="n"/>
      <c r="J34" s="576" t="n"/>
      <c r="K34" s="576" t="n"/>
      <c r="L34" s="576" t="n"/>
      <c r="M34" s="576" t="n"/>
      <c r="N34" s="576" t="n"/>
    </row>
    <row r="35">
      <c r="A35" s="247" t="inlineStr">
        <is>
          <t>Premium HCC Coal</t>
        </is>
      </c>
      <c r="B35" s="1024">
        <f>$D$86</f>
        <v/>
      </c>
      <c r="C35" s="1024">
        <f>$E$86</f>
        <v/>
      </c>
      <c r="D35" s="1024">
        <f>$F$86</f>
        <v/>
      </c>
      <c r="E35" s="1024">
        <f>$G$86</f>
        <v/>
      </c>
      <c r="F35" s="1024">
        <f>$H$86</f>
        <v/>
      </c>
      <c r="G35" s="1024">
        <f>$I$86</f>
        <v/>
      </c>
      <c r="H35" s="1025">
        <f>$J$86</f>
        <v/>
      </c>
      <c r="I35" s="577" t="n"/>
      <c r="J35" s="576" t="n"/>
      <c r="K35" s="576" t="n"/>
      <c r="L35" s="576" t="n"/>
      <c r="M35" s="576" t="n"/>
      <c r="N35" s="576" t="n"/>
    </row>
    <row r="36">
      <c r="A36" s="247" t="inlineStr">
        <is>
          <t>PCI Coal</t>
        </is>
      </c>
      <c r="B36" s="847">
        <f>C11</f>
        <v/>
      </c>
      <c r="C36" s="847">
        <f>D11</f>
        <v/>
      </c>
      <c r="D36" s="847">
        <f>E11</f>
        <v/>
      </c>
      <c r="E36" s="847">
        <f>F11</f>
        <v/>
      </c>
      <c r="F36" s="847">
        <f>G11</f>
        <v/>
      </c>
      <c r="G36" s="847">
        <f>H11</f>
        <v/>
      </c>
      <c r="H36" s="848">
        <f>I11</f>
        <v/>
      </c>
      <c r="I36" s="577" t="n"/>
      <c r="J36" s="576" t="n"/>
      <c r="K36" s="576" t="n"/>
      <c r="L36" s="576" t="n"/>
      <c r="M36" s="708" t="inlineStr">
        <is>
          <t>RM04</t>
        </is>
      </c>
      <c r="N36" s="576" t="n"/>
    </row>
    <row r="37">
      <c r="A37" s="247" t="inlineStr">
        <is>
          <t>Thermal Coal</t>
        </is>
      </c>
      <c r="B37" s="847">
        <f>C12</f>
        <v/>
      </c>
      <c r="C37" s="847">
        <f>D12</f>
        <v/>
      </c>
      <c r="D37" s="847">
        <f>E12</f>
        <v/>
      </c>
      <c r="E37" s="847">
        <f>F12</f>
        <v/>
      </c>
      <c r="F37" s="847">
        <f>G12</f>
        <v/>
      </c>
      <c r="G37" s="847">
        <f>H12</f>
        <v/>
      </c>
      <c r="H37" s="848">
        <f>I12</f>
        <v/>
      </c>
      <c r="I37" s="577" t="n"/>
      <c r="J37" s="576" t="n"/>
      <c r="K37" s="576" t="n"/>
      <c r="L37" s="576" t="n"/>
      <c r="M37" s="708" t="inlineStr">
        <is>
          <t>RM04</t>
        </is>
      </c>
      <c r="N37" s="576" t="n"/>
    </row>
    <row r="38">
      <c r="A38" s="247" t="inlineStr">
        <is>
          <t>Scrap</t>
        </is>
      </c>
      <c r="B38" s="847">
        <f>C13</f>
        <v/>
      </c>
      <c r="C38" s="847">
        <f>D13</f>
        <v/>
      </c>
      <c r="D38" s="847">
        <f>E13</f>
        <v/>
      </c>
      <c r="E38" s="847">
        <f>F13</f>
        <v/>
      </c>
      <c r="F38" s="847">
        <f>G13</f>
        <v/>
      </c>
      <c r="G38" s="847">
        <f>H13</f>
        <v/>
      </c>
      <c r="H38" s="848">
        <f>I13</f>
        <v/>
      </c>
      <c r="I38" s="577" t="n"/>
      <c r="J38" s="576" t="n"/>
      <c r="K38" s="576" t="n"/>
      <c r="L38" s="576" t="n"/>
      <c r="M38" s="708" t="inlineStr">
        <is>
          <t>RM04</t>
        </is>
      </c>
      <c r="N38" s="576" t="n"/>
    </row>
    <row r="39">
      <c r="A39" s="247" t="inlineStr">
        <is>
          <t>Limestone</t>
        </is>
      </c>
      <c r="B39" s="1024">
        <f>C14</f>
        <v/>
      </c>
      <c r="C39" s="1024">
        <f>D14</f>
        <v/>
      </c>
      <c r="D39" s="1024">
        <f>E14</f>
        <v/>
      </c>
      <c r="E39" s="1024">
        <f>F14</f>
        <v/>
      </c>
      <c r="F39" s="1024">
        <f>G14</f>
        <v/>
      </c>
      <c r="G39" s="1024">
        <f>H14</f>
        <v/>
      </c>
      <c r="H39" s="1025">
        <f>I14</f>
        <v/>
      </c>
      <c r="I39" s="577" t="n"/>
      <c r="J39" s="576" t="n"/>
      <c r="K39" s="576" t="n"/>
      <c r="L39" s="576" t="n"/>
      <c r="M39" s="708" t="inlineStr">
        <is>
          <t>RM04</t>
        </is>
      </c>
      <c r="N39" s="576" t="n"/>
    </row>
    <row r="40">
      <c r="A40" s="247" t="inlineStr">
        <is>
          <t>Dolomite</t>
        </is>
      </c>
      <c r="B40" s="1027">
        <f>C14*$K$40</f>
        <v/>
      </c>
      <c r="C40" s="1027">
        <f>D14*$K$40</f>
        <v/>
      </c>
      <c r="D40" s="1027">
        <f>E14*$K$40</f>
        <v/>
      </c>
      <c r="E40" s="1027">
        <f>F14*$K$40</f>
        <v/>
      </c>
      <c r="F40" s="1027">
        <f>G14*$K$40</f>
        <v/>
      </c>
      <c r="G40" s="1027">
        <f>H14*$K$40</f>
        <v/>
      </c>
      <c r="H40" s="1028">
        <f>I14*$K$40</f>
        <v/>
      </c>
      <c r="I40" s="577" t="n"/>
      <c r="J40" s="576" t="n"/>
      <c r="K40" s="996" t="n">
        <v>1.15</v>
      </c>
      <c r="L40" s="576" t="n"/>
      <c r="M40" s="708" t="inlineStr">
        <is>
          <t>RM04</t>
        </is>
      </c>
      <c r="N40" s="576" t="n"/>
    </row>
    <row r="41" ht="15" customHeight="1" s="632" thickBot="1">
      <c r="A41" s="248" t="inlineStr">
        <is>
          <t>Ferro Alloys</t>
        </is>
      </c>
      <c r="B41" s="1035">
        <f>C15</f>
        <v/>
      </c>
      <c r="C41" s="1035">
        <f>D15</f>
        <v/>
      </c>
      <c r="D41" s="1035">
        <f>E15</f>
        <v/>
      </c>
      <c r="E41" s="1035">
        <f>F15</f>
        <v/>
      </c>
      <c r="F41" s="1035">
        <f>G15</f>
        <v/>
      </c>
      <c r="G41" s="1035">
        <f>H15</f>
        <v/>
      </c>
      <c r="H41" s="1036">
        <f>I15</f>
        <v/>
      </c>
      <c r="I41" s="577" t="n"/>
      <c r="J41" s="576" t="n"/>
      <c r="K41" s="576" t="n"/>
      <c r="L41" s="576" t="n"/>
      <c r="M41" s="708" t="inlineStr">
        <is>
          <t>RM04</t>
        </is>
      </c>
      <c r="N41" s="576" t="n"/>
    </row>
    <row r="42">
      <c r="A42" s="576" t="n"/>
      <c r="B42" s="577" t="n"/>
      <c r="C42" s="577" t="n"/>
      <c r="D42" s="577" t="n"/>
      <c r="E42" s="577" t="n"/>
      <c r="F42" s="577" t="n"/>
      <c r="G42" s="577" t="n"/>
      <c r="H42" s="577" t="n"/>
      <c r="I42" s="577" t="n"/>
      <c r="J42" s="576" t="n"/>
      <c r="K42" s="576" t="n"/>
      <c r="L42" s="576" t="n"/>
      <c r="M42" s="576" t="n"/>
      <c r="N42" s="576" t="n"/>
    </row>
    <row r="43">
      <c r="A43" s="576" t="n"/>
      <c r="B43" s="577" t="n"/>
      <c r="C43" s="577" t="n"/>
      <c r="D43" s="577" t="n"/>
      <c r="E43" s="577" t="n"/>
      <c r="F43" s="577" t="n"/>
      <c r="G43" s="577" t="n"/>
      <c r="H43" s="577" t="n"/>
      <c r="I43" s="577" t="n"/>
      <c r="J43" s="576" t="n"/>
      <c r="K43" s="576" t="n"/>
      <c r="L43" s="576" t="n"/>
      <c r="M43" s="576" t="n"/>
      <c r="N43" s="576" t="n"/>
    </row>
    <row r="44" ht="16.2" customHeight="1" s="632" thickBot="1">
      <c r="A44" s="621" t="inlineStr">
        <is>
          <t>Cost Build Up</t>
        </is>
      </c>
      <c r="B44" s="991" t="n"/>
      <c r="C44" s="991" t="n"/>
      <c r="D44" s="991" t="n"/>
      <c r="E44" s="656" t="n"/>
      <c r="F44" s="656" t="n"/>
      <c r="G44" s="656" t="n"/>
      <c r="H44" s="656" t="n"/>
      <c r="I44" s="577" t="n"/>
      <c r="J44" s="576" t="n"/>
      <c r="K44" s="576" t="n"/>
      <c r="L44" s="576" t="n"/>
      <c r="M44" s="576" t="n"/>
      <c r="N44" s="576" t="n"/>
    </row>
    <row r="45" ht="30" customHeight="1" s="632" thickBot="1" thickTop="1">
      <c r="A45" s="648" t="inlineStr">
        <is>
          <t>Raw Material</t>
        </is>
      </c>
      <c r="B45" s="657" t="inlineStr">
        <is>
          <t>Consumption per tonne</t>
        </is>
      </c>
      <c r="C45" s="657" t="inlineStr">
        <is>
          <t>Forecast Price</t>
        </is>
      </c>
      <c r="D45" s="658" t="inlineStr">
        <is>
          <t>Cost per tonne</t>
        </is>
      </c>
      <c r="E45" s="577" t="n"/>
      <c r="F45" s="707" t="inlineStr">
        <is>
          <t>Ref</t>
        </is>
      </c>
      <c r="G45" s="577" t="n"/>
      <c r="H45" s="577" t="n"/>
      <c r="I45" s="577" t="n"/>
      <c r="J45" s="576" t="n"/>
      <c r="K45" s="576" t="n"/>
      <c r="L45" s="576" t="n"/>
      <c r="M45" s="576" t="n"/>
      <c r="N45" s="576" t="n"/>
    </row>
    <row r="46" ht="15" customHeight="1" s="632" thickTop="1">
      <c r="A46" s="246" t="inlineStr">
        <is>
          <t>Iron Ore</t>
        </is>
      </c>
      <c r="B46" s="1037" t="n">
        <v>1.55</v>
      </c>
      <c r="C46" s="1038">
        <f>$C$34*'Model Assumptions'!$E$10</f>
        <v/>
      </c>
      <c r="D46" s="1039">
        <f>B46*C46</f>
        <v/>
      </c>
      <c r="E46" s="577" t="n"/>
      <c r="F46" s="708" t="inlineStr">
        <is>
          <t>RM05</t>
        </is>
      </c>
      <c r="G46" s="577" t="n"/>
      <c r="H46" s="577" t="n"/>
      <c r="I46" s="577" t="n"/>
      <c r="J46" s="576" t="n"/>
      <c r="K46" s="576" t="n"/>
      <c r="L46" s="576" t="n"/>
      <c r="M46" s="576" t="n"/>
      <c r="N46" s="576" t="n"/>
    </row>
    <row r="47">
      <c r="A47" s="247" t="inlineStr">
        <is>
          <t>Coking Coal</t>
        </is>
      </c>
      <c r="B47" s="1040" t="n">
        <v>0.55</v>
      </c>
      <c r="C47" s="1027">
        <f>$C$35*'Model Assumptions'!$E$10</f>
        <v/>
      </c>
      <c r="D47" s="1028">
        <f>B47*C47</f>
        <v/>
      </c>
      <c r="E47" s="577" t="n"/>
      <c r="F47" s="708" t="inlineStr">
        <is>
          <t>RM05</t>
        </is>
      </c>
      <c r="G47" s="577" t="n"/>
      <c r="H47" s="577" t="n"/>
      <c r="I47" s="577" t="n"/>
      <c r="J47" s="576" t="n"/>
      <c r="K47" s="576" t="n"/>
      <c r="L47" s="576" t="n"/>
      <c r="M47" s="576" t="n"/>
      <c r="N47" s="576" t="n"/>
    </row>
    <row r="48">
      <c r="A48" s="247" t="inlineStr">
        <is>
          <t>PCI Coal</t>
        </is>
      </c>
      <c r="B48" s="1040" t="n">
        <v>0.06</v>
      </c>
      <c r="C48" s="1027">
        <f>$C$11*'Model Assumptions'!$E$10</f>
        <v/>
      </c>
      <c r="D48" s="1028">
        <f>B48*C48</f>
        <v/>
      </c>
      <c r="E48" s="577" t="n"/>
      <c r="F48" s="708" t="inlineStr">
        <is>
          <t>RM05</t>
        </is>
      </c>
      <c r="G48" s="577" t="n"/>
      <c r="H48" s="577" t="n"/>
      <c r="I48" s="577" t="n"/>
      <c r="J48" s="576" t="n"/>
      <c r="K48" s="576" t="n"/>
      <c r="L48" s="576" t="n"/>
      <c r="M48" s="576" t="n"/>
      <c r="N48" s="576" t="n"/>
    </row>
    <row r="49">
      <c r="A49" s="247" t="inlineStr">
        <is>
          <t>Fluxes</t>
        </is>
      </c>
      <c r="B49" s="1040" t="n">
        <v>0.25</v>
      </c>
      <c r="C49" s="1024">
        <f>$C$14</f>
        <v/>
      </c>
      <c r="D49" s="1028">
        <f>B49*C49</f>
        <v/>
      </c>
      <c r="E49" s="577" t="n"/>
      <c r="F49" s="708" t="inlineStr">
        <is>
          <t>RM05</t>
        </is>
      </c>
      <c r="G49" s="577" t="n"/>
      <c r="H49" s="577" t="n"/>
      <c r="I49" s="577" t="n"/>
      <c r="J49" s="576" t="n"/>
      <c r="K49" s="576" t="n"/>
      <c r="L49" s="576" t="n"/>
      <c r="M49" s="576" t="n"/>
      <c r="N49" s="576" t="n"/>
    </row>
    <row r="50">
      <c r="A50" s="247" t="inlineStr">
        <is>
          <t>Ferro Alloys</t>
        </is>
      </c>
      <c r="B50" s="1040" t="n">
        <v>0.015</v>
      </c>
      <c r="C50" s="1024">
        <f>$C$15</f>
        <v/>
      </c>
      <c r="D50" s="1028">
        <f>B50*C50</f>
        <v/>
      </c>
      <c r="E50" s="577" t="n"/>
      <c r="F50" s="708" t="inlineStr">
        <is>
          <t>RM05</t>
        </is>
      </c>
      <c r="G50" s="577" t="n"/>
      <c r="H50" s="577" t="n"/>
      <c r="I50" s="577" t="n"/>
      <c r="J50" s="576" t="n"/>
      <c r="K50" s="576" t="n"/>
      <c r="L50" s="576" t="n"/>
      <c r="M50" s="576" t="n"/>
      <c r="N50" s="576" t="n"/>
    </row>
    <row r="51">
      <c r="A51" s="247" t="inlineStr">
        <is>
          <t>Electrodes</t>
        </is>
      </c>
      <c r="B51" s="1040" t="n">
        <v>0.002</v>
      </c>
      <c r="C51" s="1026" t="n">
        <v>370000</v>
      </c>
      <c r="D51" s="1028">
        <f>B51*C51</f>
        <v/>
      </c>
      <c r="E51" s="577" t="n"/>
      <c r="F51" s="708" t="inlineStr">
        <is>
          <t>RM05</t>
        </is>
      </c>
      <c r="G51" s="577" t="n"/>
      <c r="H51" s="577" t="n"/>
      <c r="I51" s="577" t="n"/>
      <c r="J51" s="576" t="n"/>
      <c r="K51" s="576" t="n"/>
      <c r="L51" s="576" t="n"/>
      <c r="M51" s="576" t="n"/>
      <c r="N51" s="576" t="n"/>
    </row>
    <row r="52">
      <c r="A52" s="247" t="inlineStr">
        <is>
          <t>Power</t>
        </is>
      </c>
      <c r="B52" s="1040" t="n">
        <v>0.55</v>
      </c>
      <c r="C52" s="1026" t="n">
        <v>6500</v>
      </c>
      <c r="D52" s="1028">
        <f>B52*C52</f>
        <v/>
      </c>
      <c r="E52" s="577" t="n"/>
      <c r="F52" s="708" t="inlineStr">
        <is>
          <t>RM05</t>
        </is>
      </c>
      <c r="G52" s="577" t="n"/>
      <c r="H52" s="577" t="n"/>
      <c r="I52" s="577" t="n"/>
      <c r="J52" s="576" t="n"/>
      <c r="K52" s="576" t="n"/>
      <c r="L52" s="576" t="n"/>
      <c r="M52" s="576" t="n"/>
      <c r="N52" s="576" t="n"/>
    </row>
    <row r="53" ht="15" customHeight="1" s="632" thickBot="1">
      <c r="A53" s="307" t="inlineStr">
        <is>
          <t>Total Raw Material Cost</t>
        </is>
      </c>
      <c r="B53" s="1041">
        <f>SUM(B46:B52)</f>
        <v/>
      </c>
      <c r="C53" s="1042">
        <f>IFERROR(D53/B53,"")</f>
        <v/>
      </c>
      <c r="D53" s="1043">
        <f>SUM(D46:D52)</f>
        <v/>
      </c>
      <c r="E53" s="577" t="n"/>
      <c r="F53" s="708" t="inlineStr">
        <is>
          <t>RM05</t>
        </is>
      </c>
      <c r="G53" s="577" t="n"/>
      <c r="H53" s="577" t="n"/>
      <c r="I53" s="577" t="n"/>
      <c r="J53" s="576" t="n"/>
      <c r="K53" s="576" t="n"/>
      <c r="L53" s="576" t="n"/>
      <c r="M53" s="576" t="n"/>
      <c r="N53" s="576" t="n"/>
    </row>
    <row r="54">
      <c r="A54" s="576" t="n"/>
      <c r="B54" s="577" t="n"/>
      <c r="C54" s="577" t="n"/>
      <c r="D54" s="577" t="n"/>
      <c r="E54" s="577" t="n"/>
      <c r="F54" s="577" t="n"/>
      <c r="G54" s="577" t="n"/>
      <c r="H54" s="577" t="n"/>
      <c r="I54" s="577" t="n"/>
      <c r="J54" s="576" t="n"/>
      <c r="K54" s="576" t="n"/>
      <c r="L54" s="576" t="n"/>
      <c r="M54" s="576" t="n"/>
      <c r="N54" s="576" t="n"/>
    </row>
    <row r="55">
      <c r="A55" s="576" t="n"/>
      <c r="B55" s="577" t="n"/>
      <c r="C55" s="577" t="n"/>
      <c r="D55" s="577" t="n"/>
      <c r="E55" s="577" t="n"/>
      <c r="F55" s="577" t="n"/>
      <c r="G55" s="577" t="n"/>
      <c r="H55" s="577" t="n"/>
      <c r="I55" s="577" t="n"/>
      <c r="J55" s="576" t="n"/>
      <c r="K55" s="576" t="n"/>
      <c r="L55" s="576" t="n"/>
      <c r="M55" s="576" t="n"/>
      <c r="N55" s="576" t="n"/>
    </row>
    <row r="56" ht="16.2" customHeight="1" s="632" thickBot="1">
      <c r="A56" s="621" t="inlineStr">
        <is>
          <t>Import Dependancy</t>
        </is>
      </c>
      <c r="B56" s="991" t="n"/>
      <c r="C56" s="991" t="n"/>
      <c r="D56" s="991" t="n"/>
      <c r="E56" s="577" t="n"/>
      <c r="F56" s="577" t="n"/>
      <c r="G56" s="577" t="n"/>
      <c r="H56" s="577" t="n"/>
      <c r="I56" s="577" t="n"/>
      <c r="J56" s="576" t="n"/>
      <c r="K56" s="576" t="n"/>
      <c r="L56" s="576" t="n"/>
      <c r="M56" s="576" t="n"/>
      <c r="N56" s="576" t="n"/>
    </row>
    <row r="57" ht="30" customHeight="1" s="632" thickBot="1" thickTop="1">
      <c r="A57" s="648" t="inlineStr">
        <is>
          <t>Material</t>
        </is>
      </c>
      <c r="B57" s="657" t="inlineStr">
        <is>
          <t>Domestic Supply</t>
        </is>
      </c>
      <c r="C57" s="657" t="inlineStr">
        <is>
          <t>Imported</t>
        </is>
      </c>
      <c r="D57" s="658" t="inlineStr">
        <is>
          <t>Countries</t>
        </is>
      </c>
      <c r="E57" s="577" t="n"/>
      <c r="F57" s="707" t="inlineStr">
        <is>
          <t>Ref</t>
        </is>
      </c>
      <c r="G57" s="577" t="n"/>
      <c r="H57" s="577" t="n"/>
      <c r="I57" s="577" t="n"/>
      <c r="J57" s="576" t="n"/>
      <c r="K57" s="576" t="n"/>
      <c r="L57" s="576" t="n"/>
      <c r="M57" s="576" t="n"/>
      <c r="N57" s="576" t="n"/>
    </row>
    <row r="58" ht="15" customHeight="1" s="632" thickTop="1">
      <c r="A58" s="246" t="inlineStr">
        <is>
          <t>Iron Ore</t>
        </is>
      </c>
      <c r="B58" s="861" t="n">
        <v>0.98</v>
      </c>
      <c r="C58" s="862">
        <f>1-B58</f>
        <v/>
      </c>
      <c r="D58" s="1044" t="inlineStr">
        <is>
          <t>Domestic - Odisha, Chhattisgarh, Jharkhand, Karnataka</t>
        </is>
      </c>
      <c r="E58" s="577" t="n"/>
      <c r="F58" s="708" t="inlineStr">
        <is>
          <t>RM06</t>
        </is>
      </c>
      <c r="G58" s="577" t="n"/>
      <c r="H58" s="577" t="n"/>
      <c r="I58" s="577" t="n"/>
      <c r="J58" s="576" t="n"/>
      <c r="K58" s="576" t="n"/>
      <c r="L58" s="576" t="n"/>
      <c r="M58" s="576" t="n"/>
      <c r="N58" s="576" t="n"/>
    </row>
    <row r="59">
      <c r="A59" s="247" t="inlineStr">
        <is>
          <t>Coking Coal</t>
        </is>
      </c>
      <c r="B59" s="865" t="n">
        <v>0.12</v>
      </c>
      <c r="C59" s="866">
        <f>1-B59</f>
        <v/>
      </c>
      <c r="D59" s="1045" t="inlineStr">
        <is>
          <t>Australia, USA, Russia, Mozambique, Canada</t>
        </is>
      </c>
      <c r="E59" s="577" t="n"/>
      <c r="F59" s="708" t="inlineStr">
        <is>
          <t>RM06</t>
        </is>
      </c>
      <c r="G59" s="577" t="n"/>
      <c r="H59" s="577" t="n"/>
      <c r="I59" s="577" t="n"/>
      <c r="J59" s="576" t="n"/>
      <c r="K59" s="576" t="n"/>
      <c r="L59" s="576" t="n"/>
      <c r="M59" s="576" t="n"/>
      <c r="N59" s="576" t="n"/>
    </row>
    <row r="60">
      <c r="A60" s="247" t="inlineStr">
        <is>
          <t>Scrap</t>
        </is>
      </c>
      <c r="B60" s="865" t="n">
        <v>0.75</v>
      </c>
      <c r="C60" s="866">
        <f>1-B60</f>
        <v/>
      </c>
      <c r="D60" s="1045" t="inlineStr">
        <is>
          <t>UAE, USA, UK, EU, West Africa</t>
        </is>
      </c>
      <c r="E60" s="577" t="n"/>
      <c r="F60" s="708" t="inlineStr">
        <is>
          <t>RM06</t>
        </is>
      </c>
      <c r="G60" s="577" t="n"/>
      <c r="H60" s="577" t="n"/>
      <c r="I60" s="577" t="n"/>
      <c r="J60" s="576" t="n"/>
      <c r="K60" s="576" t="n"/>
      <c r="L60" s="576" t="n"/>
      <c r="M60" s="576" t="n"/>
      <c r="N60" s="576" t="n"/>
    </row>
    <row r="61" ht="15" customHeight="1" s="632" thickBot="1">
      <c r="A61" s="248" t="inlineStr">
        <is>
          <t>Ferro Alloys</t>
        </is>
      </c>
      <c r="B61" s="1046" t="n">
        <v>0.9</v>
      </c>
      <c r="C61" s="869">
        <f>1-B61</f>
        <v/>
      </c>
      <c r="D61" s="1047" t="inlineStr">
        <is>
          <t>Domestic; ferro nickel and some ferro molybdenum imported</t>
        </is>
      </c>
      <c r="E61" s="577" t="n"/>
      <c r="F61" s="708" t="inlineStr">
        <is>
          <t>RM06</t>
        </is>
      </c>
      <c r="G61" s="577" t="n"/>
      <c r="H61" s="577" t="n"/>
      <c r="I61" s="577" t="n"/>
      <c r="J61" s="576" t="n"/>
      <c r="K61" s="576" t="n"/>
      <c r="L61" s="576" t="n"/>
      <c r="M61" s="576" t="n"/>
      <c r="N61" s="576" t="n"/>
    </row>
    <row r="62">
      <c r="A62" s="576" t="n"/>
      <c r="B62" s="577" t="n"/>
      <c r="C62" s="577" t="n"/>
      <c r="D62" s="577" t="n"/>
      <c r="E62" s="577" t="n"/>
      <c r="F62" s="577" t="n"/>
      <c r="G62" s="577" t="n"/>
      <c r="H62" s="577" t="n"/>
      <c r="I62" s="577" t="n"/>
      <c r="J62" s="576" t="n"/>
      <c r="K62" s="576" t="n"/>
      <c r="L62" s="576" t="n"/>
      <c r="M62" s="576" t="n"/>
      <c r="N62" s="576" t="n"/>
    </row>
    <row r="63">
      <c r="A63" s="576" t="n"/>
      <c r="B63" s="577" t="n"/>
      <c r="C63" s="577" t="n"/>
      <c r="D63" s="577" t="n"/>
      <c r="E63" s="577" t="n"/>
      <c r="F63" s="577" t="n"/>
      <c r="G63" s="577" t="n"/>
      <c r="H63" s="577" t="n"/>
      <c r="I63" s="577" t="n"/>
      <c r="J63" s="576" t="n"/>
      <c r="K63" s="576" t="n"/>
      <c r="L63" s="576" t="n"/>
      <c r="M63" s="576" t="n"/>
      <c r="N63" s="576" t="n"/>
    </row>
    <row r="64" ht="16.2" customHeight="1" s="632" thickBot="1">
      <c r="A64" s="621" t="inlineStr">
        <is>
          <t>Scenario Analysis</t>
        </is>
      </c>
      <c r="B64" s="991" t="n"/>
      <c r="C64" s="991" t="n"/>
      <c r="D64" s="991" t="n"/>
      <c r="E64" s="991" t="n"/>
      <c r="F64" s="577" t="n"/>
      <c r="G64" s="577" t="n"/>
      <c r="H64" s="577" t="n"/>
      <c r="I64" s="577" t="n"/>
      <c r="J64" s="576" t="n"/>
      <c r="K64" s="576" t="n"/>
      <c r="L64" s="576" t="n"/>
      <c r="M64" s="576" t="n"/>
      <c r="N64" s="576" t="n"/>
    </row>
    <row r="65" ht="15.6" customHeight="1" s="632" thickBot="1" thickTop="1">
      <c r="A65" s="648" t="inlineStr">
        <is>
          <t>Commodity</t>
        </is>
      </c>
      <c r="B65" s="657" t="inlineStr">
        <is>
          <t>Base</t>
        </is>
      </c>
      <c r="C65" s="657" t="inlineStr">
        <is>
          <t>Bull</t>
        </is>
      </c>
      <c r="D65" s="657" t="inlineStr">
        <is>
          <t>Bear</t>
        </is>
      </c>
      <c r="E65" s="658" t="inlineStr">
        <is>
          <t>Stress</t>
        </is>
      </c>
      <c r="F65" s="577" t="n"/>
      <c r="G65" s="707" t="inlineStr">
        <is>
          <t>Ref</t>
        </is>
      </c>
      <c r="H65" s="577" t="n"/>
      <c r="I65" s="577" t="n"/>
      <c r="J65" s="576" t="n"/>
      <c r="K65" s="576" t="n"/>
      <c r="L65" s="576" t="n"/>
      <c r="M65" s="576" t="n"/>
      <c r="N65" s="576" t="n"/>
    </row>
    <row r="66" ht="15" customHeight="1" s="632" thickTop="1">
      <c r="A66" s="246" t="inlineStr">
        <is>
          <t>Iron Ore</t>
        </is>
      </c>
      <c r="B66" s="843">
        <f>'Scenario Manager'!$J$118</f>
        <v/>
      </c>
      <c r="C66" s="843">
        <f>'Scenario Manager'!$J$194</f>
        <v/>
      </c>
      <c r="D66" s="843">
        <f>'Scenario Manager'!$J$270</f>
        <v/>
      </c>
      <c r="E66" s="844">
        <f>'Scenario Manager'!$J$346</f>
        <v/>
      </c>
      <c r="F66" s="577" t="n"/>
      <c r="G66" s="708" t="inlineStr">
        <is>
          <t>RM08</t>
        </is>
      </c>
      <c r="H66" s="577" t="n"/>
      <c r="I66" s="577" t="n"/>
      <c r="J66" s="576" t="n"/>
      <c r="K66" s="576" t="n"/>
      <c r="L66" s="576" t="n"/>
      <c r="M66" s="576" t="n"/>
      <c r="N66" s="576" t="n"/>
    </row>
    <row r="67">
      <c r="A67" s="247" t="inlineStr">
        <is>
          <t>Premium HCC Coal</t>
        </is>
      </c>
      <c r="B67" s="1024">
        <f>'Scenario Manager'!$J$119</f>
        <v/>
      </c>
      <c r="C67" s="1024">
        <f>'Scenario Manager'!$J$195</f>
        <v/>
      </c>
      <c r="D67" s="1024">
        <f>'Scenario Manager'!$J$271</f>
        <v/>
      </c>
      <c r="E67" s="1025">
        <f>'Scenario Manager'!$J$347</f>
        <v/>
      </c>
      <c r="F67" s="577" t="n"/>
      <c r="G67" s="577" t="n"/>
      <c r="H67" s="577" t="n"/>
      <c r="I67" s="577" t="n"/>
      <c r="J67" s="576" t="n"/>
      <c r="K67" s="576" t="n"/>
      <c r="L67" s="576" t="n"/>
      <c r="M67" s="576" t="n"/>
      <c r="N67" s="576" t="n"/>
    </row>
    <row r="68">
      <c r="A68" s="247" t="inlineStr">
        <is>
          <t>Scrap</t>
        </is>
      </c>
      <c r="B68" s="847">
        <f>'Scenario Manager'!$J$119*$K$13</f>
        <v/>
      </c>
      <c r="C68" s="847">
        <f>'Scenario Manager'!$J$195*$K$13</f>
        <v/>
      </c>
      <c r="D68" s="847">
        <f>'Scenario Manager'!$J$271*$K$13</f>
        <v/>
      </c>
      <c r="E68" s="848">
        <f>'Scenario Manager'!$J$347*$K$13</f>
        <v/>
      </c>
      <c r="F68" s="577" t="n"/>
      <c r="G68" s="708" t="inlineStr">
        <is>
          <t>RM07</t>
        </is>
      </c>
      <c r="H68" s="577" t="n"/>
      <c r="I68" s="577" t="n"/>
      <c r="J68" s="576" t="n"/>
      <c r="K68" s="576" t="n"/>
      <c r="L68" s="576" t="n"/>
      <c r="M68" s="576" t="n"/>
      <c r="N68" s="576" t="n"/>
    </row>
    <row r="69">
      <c r="A69" s="247" t="inlineStr">
        <is>
          <t>Thermal Coal</t>
        </is>
      </c>
      <c r="B69" s="847">
        <f>$B$12*'Scenario Manager'!$J$124</f>
        <v/>
      </c>
      <c r="C69" s="847">
        <f>$B$12*'Scenario Manager'!$J$200</f>
        <v/>
      </c>
      <c r="D69" s="847">
        <f>$B$12*'Scenario Manager'!$J$276</f>
        <v/>
      </c>
      <c r="E69" s="848">
        <f>$B$12*'Scenario Manager'!$J$352</f>
        <v/>
      </c>
      <c r="F69" s="577" t="n"/>
      <c r="G69" s="708" t="inlineStr">
        <is>
          <t>RM07</t>
        </is>
      </c>
      <c r="H69" s="577" t="n"/>
      <c r="I69" s="577" t="n"/>
      <c r="J69" s="576" t="n"/>
      <c r="K69" s="576" t="n"/>
      <c r="L69" s="576" t="n"/>
      <c r="M69" s="576" t="n"/>
      <c r="N69" s="576" t="n"/>
    </row>
    <row r="70" ht="15" customHeight="1" s="632" thickBot="1">
      <c r="A70" s="248" t="inlineStr">
        <is>
          <t>Ferro Alloys</t>
        </is>
      </c>
      <c r="B70" s="787">
        <f>$B$15*'Scenario Manager'!$J$124</f>
        <v/>
      </c>
      <c r="C70" s="787">
        <f>$B$15*'Scenario Manager'!$J$200</f>
        <v/>
      </c>
      <c r="D70" s="787">
        <f>$B$15*'Scenario Manager'!$J$276</f>
        <v/>
      </c>
      <c r="E70" s="1048">
        <f>$B$15*'Scenario Manager'!$J$352</f>
        <v/>
      </c>
      <c r="F70" s="577" t="n"/>
      <c r="G70" s="708" t="inlineStr">
        <is>
          <t>RM07</t>
        </is>
      </c>
      <c r="H70" s="577" t="n"/>
      <c r="I70" s="577" t="n"/>
      <c r="J70" s="576" t="n"/>
      <c r="K70" s="576" t="n"/>
      <c r="L70" s="576" t="n"/>
      <c r="M70" s="576" t="n"/>
      <c r="N70" s="576" t="n"/>
    </row>
    <row r="71">
      <c r="A71" s="576" t="n"/>
      <c r="B71" s="577" t="n"/>
      <c r="C71" s="577" t="n"/>
      <c r="D71" s="577" t="n"/>
      <c r="E71" s="577" t="n"/>
      <c r="F71" s="577" t="n"/>
      <c r="G71" s="577" t="n"/>
      <c r="H71" s="577" t="n"/>
      <c r="I71" s="577" t="n"/>
      <c r="J71" s="576" t="n"/>
      <c r="K71" s="576" t="n"/>
      <c r="L71" s="576" t="n"/>
      <c r="M71" s="576" t="n"/>
      <c r="N71" s="576" t="n"/>
    </row>
    <row r="72">
      <c r="A72" s="576" t="n"/>
      <c r="B72" s="577" t="n"/>
      <c r="C72" s="577" t="n"/>
      <c r="D72" s="577" t="n"/>
      <c r="E72" s="577" t="n"/>
      <c r="F72" s="577" t="n"/>
      <c r="G72" s="577" t="n"/>
      <c r="H72" s="577" t="n"/>
      <c r="I72" s="577" t="n"/>
      <c r="J72" s="576" t="n"/>
      <c r="K72" s="576" t="n"/>
      <c r="L72" s="576" t="n"/>
      <c r="M72" s="576" t="n"/>
      <c r="N72" s="576" t="n"/>
    </row>
    <row r="73" ht="16.2" customHeight="1" s="632" thickBot="1">
      <c r="A73" s="621" t="inlineStr">
        <is>
          <t>Sensitivity Analysis</t>
        </is>
      </c>
      <c r="B73" s="991" t="n"/>
      <c r="C73" s="991" t="n"/>
      <c r="D73" s="991" t="n"/>
      <c r="E73" s="656" t="n"/>
      <c r="F73" s="577" t="n"/>
      <c r="G73" s="577" t="n"/>
      <c r="H73" s="577" t="n"/>
      <c r="I73" s="577" t="n"/>
      <c r="J73" s="576" t="n"/>
      <c r="K73" s="576" t="n"/>
      <c r="L73" s="576" t="n"/>
      <c r="M73" s="576" t="n"/>
      <c r="N73" s="576" t="n"/>
    </row>
    <row r="74" ht="15.6" customHeight="1" s="632" thickBot="1" thickTop="1">
      <c r="A74" s="645" t="inlineStr">
        <is>
          <t>Variable</t>
        </is>
      </c>
      <c r="B74" s="659" t="inlineStr">
        <is>
          <t>Impact on Raw Material Cost</t>
        </is>
      </c>
      <c r="C74" s="1049" t="n"/>
      <c r="D74" s="1050" t="n"/>
      <c r="E74" s="577" t="n"/>
      <c r="F74" s="707" t="inlineStr">
        <is>
          <t>Ref</t>
        </is>
      </c>
      <c r="G74" s="577" t="n"/>
      <c r="H74" s="577" t="n"/>
      <c r="I74" s="577" t="n"/>
      <c r="J74" s="576" t="n"/>
      <c r="K74" s="576" t="n"/>
      <c r="L74" s="576" t="n"/>
      <c r="M74" s="576" t="n"/>
      <c r="N74" s="576" t="n"/>
    </row>
    <row r="75" ht="15" customHeight="1" s="632" thickTop="1">
      <c r="A75" s="246" t="inlineStr">
        <is>
          <t>Iron Ore +10%</t>
        </is>
      </c>
      <c r="B75" s="1038">
        <f>'Cost Curve'!$D$80*'Model Assumptions'!$E$20*'Model Assumptions'!$E$21*0.1</f>
        <v/>
      </c>
      <c r="C75" s="699" t="n"/>
      <c r="D75" s="834" t="n"/>
      <c r="E75" s="577" t="n"/>
      <c r="F75" s="708" t="inlineStr">
        <is>
          <t>RM10</t>
        </is>
      </c>
      <c r="G75" s="577" t="n"/>
      <c r="H75" s="577" t="n"/>
      <c r="I75" s="577" t="n"/>
      <c r="J75" s="576" t="n"/>
      <c r="K75" s="576" t="n"/>
      <c r="L75" s="576" t="n"/>
      <c r="M75" s="576" t="n"/>
      <c r="N75" s="576" t="n"/>
    </row>
    <row r="76">
      <c r="A76" s="247" t="inlineStr">
        <is>
          <t>HCC Coal +10%</t>
        </is>
      </c>
      <c r="B76" s="1027">
        <f>'Cost Curve'!$D$80*'Model Assumptions'!$E$20*'Model Assumptions'!$E$21*0.1</f>
        <v/>
      </c>
      <c r="C76" s="703" t="n"/>
      <c r="D76" s="729" t="n"/>
      <c r="E76" s="577" t="n"/>
      <c r="F76" s="577" t="n"/>
      <c r="G76" s="577" t="n"/>
      <c r="H76" s="577" t="n"/>
      <c r="I76" s="577" t="n"/>
      <c r="J76" s="576" t="n"/>
      <c r="K76" s="576" t="n"/>
      <c r="L76" s="576" t="n"/>
      <c r="M76" s="576" t="n"/>
      <c r="N76" s="576" t="n"/>
    </row>
    <row r="77">
      <c r="A77" s="247" t="inlineStr">
        <is>
          <t>Scrap +10%</t>
        </is>
      </c>
      <c r="B77" s="1026" t="n">
        <v>0</v>
      </c>
      <c r="C77" s="703" t="n"/>
      <c r="D77" s="729" t="n"/>
      <c r="E77" s="577" t="n"/>
      <c r="F77" s="708" t="inlineStr">
        <is>
          <t>RM09</t>
        </is>
      </c>
      <c r="G77" s="577" t="n"/>
      <c r="H77" s="577" t="n"/>
      <c r="I77" s="577" t="n"/>
      <c r="J77" s="576" t="n"/>
      <c r="K77" s="576" t="n"/>
      <c r="L77" s="576" t="n"/>
      <c r="M77" s="576" t="n"/>
      <c r="N77" s="576" t="n"/>
    </row>
    <row r="78">
      <c r="A78" s="247" t="inlineStr">
        <is>
          <t>USD/INR +5%</t>
        </is>
      </c>
      <c r="B78" s="1027">
        <f>'Cost Curve'!$D$80*'Model Assumptions'!$E$20*2*'Model Assumptions'!$E$21*0.05</f>
        <v/>
      </c>
      <c r="C78" s="703" t="n"/>
      <c r="D78" s="729" t="n"/>
      <c r="E78" s="577" t="n"/>
      <c r="F78" s="577" t="n"/>
      <c r="G78" s="577" t="n"/>
      <c r="H78" s="577" t="n"/>
      <c r="I78" s="577" t="n"/>
      <c r="J78" s="576" t="n"/>
      <c r="K78" s="576" t="n"/>
      <c r="L78" s="576" t="n"/>
      <c r="M78" s="576" t="n"/>
      <c r="N78" s="576" t="n"/>
    </row>
    <row r="79" ht="15" customHeight="1" s="632" thickBot="1">
      <c r="A79" s="248" t="inlineStr">
        <is>
          <t>Freight +10%</t>
        </is>
      </c>
      <c r="B79" s="1051" t="n">
        <v>0</v>
      </c>
      <c r="C79" s="890" t="n"/>
      <c r="D79" s="835" t="n"/>
      <c r="E79" s="577" t="n"/>
      <c r="F79" s="708" t="inlineStr">
        <is>
          <t>RM09</t>
        </is>
      </c>
      <c r="G79" s="577" t="n"/>
      <c r="H79" s="577" t="n"/>
      <c r="I79" s="577" t="n"/>
      <c r="J79" s="576" t="n"/>
      <c r="K79" s="576" t="n"/>
      <c r="L79" s="576" t="n"/>
      <c r="M79" s="576" t="n"/>
      <c r="N79" s="576" t="n"/>
    </row>
    <row r="80">
      <c r="A80" s="576" t="n"/>
      <c r="B80" s="577" t="n"/>
      <c r="C80" s="577" t="n"/>
      <c r="D80" s="577" t="n"/>
      <c r="E80" s="577" t="n"/>
      <c r="F80" s="577" t="n"/>
      <c r="G80" s="577" t="n"/>
      <c r="H80" s="577" t="n"/>
      <c r="I80" s="577" t="n"/>
      <c r="J80" s="576" t="n"/>
      <c r="K80" s="576" t="n"/>
      <c r="L80" s="576" t="n"/>
      <c r="M80" s="576" t="n"/>
      <c r="N80" s="576" t="n"/>
    </row>
    <row r="81">
      <c r="A81" s="576" t="n"/>
      <c r="B81" s="577" t="n"/>
      <c r="C81" s="577" t="n"/>
      <c r="D81" s="577" t="n"/>
      <c r="E81" s="577" t="n"/>
      <c r="F81" s="577" t="n"/>
      <c r="G81" s="577" t="n"/>
      <c r="H81" s="577" t="n"/>
      <c r="I81" s="577" t="n"/>
      <c r="J81" s="576" t="n"/>
      <c r="K81" s="576" t="n"/>
      <c r="L81" s="576" t="n"/>
      <c r="M81" s="576" t="n"/>
      <c r="N81" s="576" t="n"/>
    </row>
    <row r="82" ht="15" customHeight="1" s="632" thickBot="1">
      <c r="A82" s="371" t="n"/>
    </row>
    <row r="83">
      <c r="A83" s="63" t="inlineStr">
        <is>
          <t>Line item</t>
        </is>
      </c>
      <c r="B83" s="65" t="inlineStr">
        <is>
          <t>Unit</t>
        </is>
      </c>
      <c r="C83" s="65" t="inlineStr">
        <is>
          <t>FY2026A</t>
        </is>
      </c>
      <c r="D83" s="65" t="inlineStr">
        <is>
          <t>FY2027E</t>
        </is>
      </c>
      <c r="E83" s="65" t="inlineStr">
        <is>
          <t>FY2028E</t>
        </is>
      </c>
      <c r="F83" s="65" t="inlineStr">
        <is>
          <t>FY2029E</t>
        </is>
      </c>
      <c r="G83" s="65" t="inlineStr">
        <is>
          <t>FY2030E</t>
        </is>
      </c>
      <c r="H83" s="65" t="inlineStr">
        <is>
          <t>FY2031E</t>
        </is>
      </c>
      <c r="I83" s="65" t="inlineStr">
        <is>
          <t>FY2032E</t>
        </is>
      </c>
      <c r="J83" s="65" t="inlineStr">
        <is>
          <t>FY2033E</t>
        </is>
      </c>
      <c r="K83" s="65" t="inlineStr">
        <is>
          <t>CAGR</t>
        </is>
      </c>
      <c r="L83" s="65" t="inlineStr">
        <is>
          <t>Source</t>
        </is>
      </c>
      <c r="M83" s="65" t="inlineStr">
        <is>
          <t>Conf.</t>
        </is>
      </c>
      <c r="N83" s="410" t="inlineStr">
        <is>
          <t>Notes / methodology</t>
        </is>
      </c>
      <c r="P83" s="707" t="inlineStr">
        <is>
          <t>Ref</t>
        </is>
      </c>
    </row>
    <row r="84">
      <c r="A84" s="836" t="inlineStr">
        <is>
          <t>DOLLAR PRICES</t>
        </is>
      </c>
      <c r="B84" s="837" t="n"/>
      <c r="C84" s="837" t="n"/>
      <c r="D84" s="837" t="n"/>
      <c r="E84" s="837" t="n"/>
      <c r="F84" s="837" t="n"/>
      <c r="G84" s="837" t="n"/>
      <c r="H84" s="837" t="n"/>
      <c r="I84" s="837" t="n"/>
      <c r="J84" s="837" t="n"/>
      <c r="K84" s="837" t="n"/>
      <c r="L84" s="837" t="n"/>
      <c r="M84" s="837" t="n"/>
      <c r="N84" s="838" t="n"/>
    </row>
    <row r="85" ht="36" customHeight="1" s="632">
      <c r="A85" s="69" t="inlineStr">
        <is>
          <t>Iron ore 62% Fe fines, CFR China</t>
        </is>
      </c>
      <c r="B85" s="78" t="inlineStr">
        <is>
          <t>US$/dmt</t>
        </is>
      </c>
      <c r="C85" s="907" t="n">
        <v>100.52</v>
      </c>
      <c r="D85" s="907">
        <f>'Model Assumptions'!E$17</f>
        <v/>
      </c>
      <c r="E85" s="907">
        <f>'Model Assumptions'!F$17</f>
        <v/>
      </c>
      <c r="F85" s="907">
        <f>'Model Assumptions'!G$17</f>
        <v/>
      </c>
      <c r="G85" s="907">
        <f>'Model Assumptions'!H$17</f>
        <v/>
      </c>
      <c r="H85" s="907">
        <f>'Model Assumptions'!I$17</f>
        <v/>
      </c>
      <c r="I85" s="907">
        <f>'Model Assumptions'!J$17</f>
        <v/>
      </c>
      <c r="J85" s="907">
        <f>'Model Assumptions'!K$17</f>
        <v/>
      </c>
      <c r="K85" s="83" t="n"/>
      <c r="L85" s="352" t="inlineStr">
        <is>
          <t>Master DB S17 (World Bank)</t>
        </is>
      </c>
      <c r="M85" s="352" t="inlineStr">
        <is>
          <t>High</t>
        </is>
      </c>
      <c r="N85" s="345" t="inlineStr">
        <is>
          <t>FY2026A of US$100.52/dmt is a genuine 12-month average from the World Bank Pink Sheet - the highest-quality price series in the model. Third consecutive annual decline from US$155.52/dmt in FY2022. Q1FY2027 actual averaged US$105.17/dmt.</t>
        </is>
      </c>
      <c r="P85" s="708" t="inlineStr">
        <is>
          <t>RM11</t>
        </is>
      </c>
    </row>
    <row r="86" ht="48" customHeight="1" s="632">
      <c r="A86" s="69" t="inlineStr">
        <is>
          <t>Premium HCC coking coal, FOB Australia</t>
        </is>
      </c>
      <c r="B86" s="78" t="inlineStr">
        <is>
          <t>US$/t</t>
        </is>
      </c>
      <c r="C86" s="907" t="n">
        <v>225</v>
      </c>
      <c r="D86" s="907">
        <f>'Model Assumptions'!E$18</f>
        <v/>
      </c>
      <c r="E86" s="907">
        <f>'Model Assumptions'!F$18</f>
        <v/>
      </c>
      <c r="F86" s="907">
        <f>'Model Assumptions'!G$18</f>
        <v/>
      </c>
      <c r="G86" s="907">
        <f>'Model Assumptions'!H$18</f>
        <v/>
      </c>
      <c r="H86" s="907">
        <f>'Model Assumptions'!I$18</f>
        <v/>
      </c>
      <c r="I86" s="907">
        <f>'Model Assumptions'!J$18</f>
        <v/>
      </c>
      <c r="J86" s="907">
        <f>'Model Assumptions'!K$18</f>
        <v/>
      </c>
      <c r="K86" s="83" t="n"/>
      <c r="L86" s="352" t="inlineStr">
        <is>
          <t>Master DB S01 (Ministry of Steel)</t>
        </is>
      </c>
      <c r="M86" s="352" t="inlineStr">
        <is>
          <t>Medium</t>
        </is>
      </c>
      <c r="N86" s="345" t="inlineStr">
        <is>
          <t>FY2026A of US$225/t is the Ministry of Steel's MAR-2026 SPOT observation, NOT a fiscal-year average - the database deliberately asserts no average because the two public series disagree by up to US$40/t (Conflict C01). THE LARGEST COST UNCERTAINTY IN THE MODEL. Replace with a licensed PRA series before transaction use.</t>
        </is>
      </c>
      <c r="P86" s="708" t="inlineStr">
        <is>
          <t>RM12</t>
        </is>
      </c>
    </row>
    <row r="87">
      <c r="A87" s="69" t="inlineStr">
        <is>
          <t>USD/INR</t>
        </is>
      </c>
      <c r="B87" s="78" t="inlineStr">
        <is>
          <t>Rs/US$</t>
        </is>
      </c>
      <c r="C87" s="907" t="n">
        <v>88.40000000000001</v>
      </c>
      <c r="D87" s="907">
        <f>'Macroeconomic Model'!D$106</f>
        <v/>
      </c>
      <c r="E87" s="907">
        <f>'Macroeconomic Model'!E$106</f>
        <v/>
      </c>
      <c r="F87" s="907">
        <f>'Macroeconomic Model'!F$106</f>
        <v/>
      </c>
      <c r="G87" s="907">
        <f>'Macroeconomic Model'!G$106</f>
        <v/>
      </c>
      <c r="H87" s="907">
        <f>'Macroeconomic Model'!H$106</f>
        <v/>
      </c>
      <c r="I87" s="907">
        <f>'Macroeconomic Model'!I$106</f>
        <v/>
      </c>
      <c r="J87" s="907">
        <f>'Macroeconomic Model'!J$106</f>
        <v/>
      </c>
      <c r="K87" s="83" t="n"/>
      <c r="L87" s="352" t="inlineStr">
        <is>
          <t>03 Macro</t>
        </is>
      </c>
      <c r="M87" s="352" t="inlineStr">
        <is>
          <t>High</t>
        </is>
      </c>
      <c r="N87" s="68" t="n"/>
      <c r="P87" s="708" t="inlineStr">
        <is>
          <t>RM13</t>
        </is>
      </c>
    </row>
    <row r="88">
      <c r="A88" s="836" t="inlineStr">
        <is>
          <t>RUPEE-CONVERTED PRICES</t>
        </is>
      </c>
      <c r="B88" s="837" t="n"/>
      <c r="C88" s="837" t="n"/>
      <c r="D88" s="837" t="n"/>
      <c r="E88" s="837" t="n"/>
      <c r="F88" s="837" t="n"/>
      <c r="G88" s="837" t="n"/>
      <c r="H88" s="837" t="n"/>
      <c r="I88" s="837" t="n"/>
      <c r="J88" s="837" t="n"/>
      <c r="K88" s="837" t="n"/>
      <c r="L88" s="837" t="n"/>
      <c r="M88" s="837" t="n"/>
      <c r="N88" s="838" t="n"/>
    </row>
    <row r="89" ht="24" customHeight="1" s="632">
      <c r="A89" s="69" t="inlineStr">
        <is>
          <t>Iron ore in rupees</t>
        </is>
      </c>
      <c r="B89" s="78" t="inlineStr">
        <is>
          <t>Rs/dmt</t>
        </is>
      </c>
      <c r="C89" s="1022" t="n">
        <v>8885.968000000001</v>
      </c>
      <c r="D89" s="1022">
        <f>D85*D87</f>
        <v/>
      </c>
      <c r="E89" s="1022">
        <f>E85*E87</f>
        <v/>
      </c>
      <c r="F89" s="1022">
        <f>F85*F87</f>
        <v/>
      </c>
      <c r="G89" s="1022">
        <f>G85*G87</f>
        <v/>
      </c>
      <c r="H89" s="1022">
        <f>H85*H87</f>
        <v/>
      </c>
      <c r="I89" s="1022">
        <f>I85*I87</f>
        <v/>
      </c>
      <c r="J89" s="1022">
        <f>J85*J87</f>
        <v/>
      </c>
      <c r="K89" s="904">
        <f>IFERROR(IF(AND(ISNUMBER(C89),ISNUMBER(J89),C89&gt;0),(J89/C89)^(1/7)-1,""),"")</f>
        <v/>
      </c>
      <c r="L89" s="352" t="inlineStr">
        <is>
          <t>Computed</t>
        </is>
      </c>
      <c r="M89" s="352" t="inlineStr">
        <is>
          <t>High</t>
        </is>
      </c>
      <c r="N89" s="345" t="inlineStr">
        <is>
          <t>This is where the FX channel enters cost: a weaker rupee raises input cost even if the dollar price is flat.</t>
        </is>
      </c>
      <c r="P89" s="708" t="inlineStr">
        <is>
          <t>RM14</t>
        </is>
      </c>
    </row>
    <row r="90">
      <c r="A90" s="69" t="inlineStr">
        <is>
          <t>Coking coal in rupees</t>
        </is>
      </c>
      <c r="B90" s="78" t="inlineStr">
        <is>
          <t>Rs/t</t>
        </is>
      </c>
      <c r="C90" s="1022" t="n">
        <v>19890</v>
      </c>
      <c r="D90" s="1022">
        <f>D86*D87</f>
        <v/>
      </c>
      <c r="E90" s="1022">
        <f>E86*E87</f>
        <v/>
      </c>
      <c r="F90" s="1022">
        <f>F86*F87</f>
        <v/>
      </c>
      <c r="G90" s="1022">
        <f>G86*G87</f>
        <v/>
      </c>
      <c r="H90" s="1022">
        <f>H86*H87</f>
        <v/>
      </c>
      <c r="I90" s="1022">
        <f>I86*I87</f>
        <v/>
      </c>
      <c r="J90" s="1022">
        <f>J86*J87</f>
        <v/>
      </c>
      <c r="K90" s="904">
        <f>IFERROR(IF(AND(ISNUMBER(C90),ISNUMBER(J90),C90&gt;0),(J90/C90)^(1/7)-1,""),"")</f>
        <v/>
      </c>
      <c r="L90" s="352" t="inlineStr">
        <is>
          <t>Computed</t>
        </is>
      </c>
      <c r="M90" s="352" t="inlineStr">
        <is>
          <t>Medium</t>
        </is>
      </c>
      <c r="N90" s="68" t="n"/>
      <c r="P90" s="708" t="inlineStr">
        <is>
          <t>RM15</t>
        </is>
      </c>
    </row>
    <row r="91">
      <c r="A91" s="836" t="inlineStr">
        <is>
          <t>COST INDICES</t>
        </is>
      </c>
      <c r="B91" s="837" t="n"/>
      <c r="C91" s="837" t="n"/>
      <c r="D91" s="837" t="n"/>
      <c r="E91" s="837" t="n"/>
      <c r="F91" s="837" t="n"/>
      <c r="G91" s="837" t="n"/>
      <c r="H91" s="837" t="n"/>
      <c r="I91" s="837" t="n"/>
      <c r="J91" s="837" t="n"/>
      <c r="K91" s="837" t="n"/>
      <c r="L91" s="837" t="n"/>
      <c r="M91" s="837" t="n"/>
      <c r="N91" s="838" t="n"/>
    </row>
    <row r="92" ht="48" customHeight="1" s="632">
      <c r="A92" s="69" t="inlineStr">
        <is>
          <t>Conversion cost inflation</t>
        </is>
      </c>
      <c r="B92" s="78" t="inlineStr">
        <is>
          <t>%</t>
        </is>
      </c>
      <c r="C92" s="83" t="n"/>
      <c r="D92" s="904">
        <f>'Model Assumptions'!E$19</f>
        <v/>
      </c>
      <c r="E92" s="904">
        <f>'Model Assumptions'!F$19</f>
        <v/>
      </c>
      <c r="F92" s="904">
        <f>'Model Assumptions'!G$19</f>
        <v/>
      </c>
      <c r="G92" s="904">
        <f>'Model Assumptions'!H$19</f>
        <v/>
      </c>
      <c r="H92" s="904">
        <f>'Model Assumptions'!I$19</f>
        <v/>
      </c>
      <c r="I92" s="904">
        <f>'Model Assumptions'!J$19</f>
        <v/>
      </c>
      <c r="J92" s="904">
        <f>'Model Assumptions'!K$19</f>
        <v/>
      </c>
      <c r="K92" s="83" t="n"/>
      <c r="L92" s="352" t="inlineStr">
        <is>
          <t>RBI-anchored</t>
        </is>
      </c>
      <c r="M92" s="352" t="inlineStr">
        <is>
          <t>Medium</t>
        </is>
      </c>
      <c r="N92" s="345" t="inlineStr">
        <is>
          <t>Applies to labour, power, consumables, stores, repairs and logistics. Set below RBI's 5.1% FY2027 CPI because conversion cost tracks energy rather than headline CPI and because the majors are delivering cost programmes - Tata Steel recorded roughly Rs 10,868 cr of benefit in FY2026, about Rs 4,825 per tonne of India deliveries.</t>
        </is>
      </c>
      <c r="P92" s="708" t="inlineStr">
        <is>
          <t>RM16</t>
        </is>
      </c>
    </row>
    <row r="93">
      <c r="A93" s="69" t="inlineStr">
        <is>
          <t>Conversion cost index</t>
        </is>
      </c>
      <c r="B93" s="78" t="inlineStr">
        <is>
          <t>x</t>
        </is>
      </c>
      <c r="C93" s="908" t="n">
        <v>1</v>
      </c>
      <c r="D93" s="908">
        <f>C93*(1+D92)</f>
        <v/>
      </c>
      <c r="E93" s="908">
        <f>D93*(1+E92)</f>
        <v/>
      </c>
      <c r="F93" s="908">
        <f>E93*(1+F92)</f>
        <v/>
      </c>
      <c r="G93" s="908">
        <f>F93*(1+G92)</f>
        <v/>
      </c>
      <c r="H93" s="908">
        <f>G93*(1+H92)</f>
        <v/>
      </c>
      <c r="I93" s="908">
        <f>H93*(1+I92)</f>
        <v/>
      </c>
      <c r="J93" s="908">
        <f>I93*(1+J92)</f>
        <v/>
      </c>
      <c r="K93" s="83" t="n"/>
      <c r="L93" s="352" t="inlineStr">
        <is>
          <t>Computed</t>
        </is>
      </c>
      <c r="M93" s="352" t="inlineStr">
        <is>
          <t>Medium</t>
        </is>
      </c>
      <c r="N93" s="345" t="inlineStr">
        <is>
          <t>Compounds the inflation rate above.</t>
        </is>
      </c>
      <c r="P93" s="708" t="inlineStr">
        <is>
          <t>RM17</t>
        </is>
      </c>
    </row>
    <row r="94" ht="24" customHeight="1" s="632">
      <c r="A94" s="69" t="inlineStr">
        <is>
          <t>Iron ore weight in basket</t>
        </is>
      </c>
      <c r="B94" s="78" t="inlineStr">
        <is>
          <t>%</t>
        </is>
      </c>
      <c r="C94" s="83" t="n"/>
      <c r="D94" s="904">
        <f>'Model Assumptions'!E$21</f>
        <v/>
      </c>
      <c r="E94" s="904">
        <f>'Model Assumptions'!F$21</f>
        <v/>
      </c>
      <c r="F94" s="904">
        <f>'Model Assumptions'!G$21</f>
        <v/>
      </c>
      <c r="G94" s="904">
        <f>'Model Assumptions'!H$21</f>
        <v/>
      </c>
      <c r="H94" s="904">
        <f>'Model Assumptions'!I$21</f>
        <v/>
      </c>
      <c r="I94" s="904">
        <f>'Model Assumptions'!J$21</f>
        <v/>
      </c>
      <c r="J94" s="904">
        <f>'Model Assumptions'!K$21</f>
        <v/>
      </c>
      <c r="K94" s="83" t="n"/>
      <c r="L94" s="352" t="inlineStr">
        <is>
          <t>Indicative</t>
        </is>
      </c>
      <c r="M94" s="352" t="inlineStr">
        <is>
          <t>Low</t>
        </is>
      </c>
      <c r="N94" s="345" t="inlineStr">
        <is>
          <t>45% iron ore, 45% coking coal, 10% other ferrous and fluxes. INDICATIVE and unsourced; held constant across scenarios and given a sensitivity axis on 22.</t>
        </is>
      </c>
      <c r="P94" s="708" t="inlineStr">
        <is>
          <t>RM18</t>
        </is>
      </c>
    </row>
    <row r="95" ht="24.6" customHeight="1" s="632" thickBot="1">
      <c r="A95" s="102" t="inlineStr">
        <is>
          <t>Raw material cost index</t>
        </is>
      </c>
      <c r="B95" s="79" t="inlineStr">
        <is>
          <t>x</t>
        </is>
      </c>
      <c r="C95" s="1052" t="n">
        <v>1</v>
      </c>
      <c r="D95" s="1052">
        <f>D94*(D89/$C$89)+D94*(D90/$C$90)+(1-2*D94)*D93</f>
        <v/>
      </c>
      <c r="E95" s="1052">
        <f>E94*(E89/$C$89)+E94*(E90/$C$90)+(1-2*E94)*E93</f>
        <v/>
      </c>
      <c r="F95" s="1052">
        <f>F94*(F89/$C$89)+F94*(F90/$C$90)+(1-2*F94)*F93</f>
        <v/>
      </c>
      <c r="G95" s="1052">
        <f>G94*(G89/$C$89)+G94*(G90/$C$90)+(1-2*G94)*G93</f>
        <v/>
      </c>
      <c r="H95" s="1052">
        <f>H94*(H89/$C$89)+H94*(H90/$C$90)+(1-2*H94)*H93</f>
        <v/>
      </c>
      <c r="I95" s="1052">
        <f>I94*(I89/$C$89)+I94*(I90/$C$90)+(1-2*I94)*I93</f>
        <v/>
      </c>
      <c r="J95" s="1052">
        <f>J94*(J89/$C$89)+J94*(J90/$C$90)+(1-2*J94)*J93</f>
        <v/>
      </c>
      <c r="K95" s="97" t="n"/>
      <c r="L95" s="353" t="inlineStr">
        <is>
          <t>Computed</t>
        </is>
      </c>
      <c r="M95" s="353" t="inlineStr">
        <is>
          <t>Low</t>
        </is>
      </c>
      <c r="N95" s="347" t="inlineStr">
        <is>
          <t>Weighted index of rupee input prices relative to FY2026, with the residual 10% indexed to conversion inflation.</t>
        </is>
      </c>
      <c r="P95" s="708" t="inlineStr">
        <is>
          <t>RM19</t>
        </is>
      </c>
    </row>
    <row r="96"/>
    <row r="97">
      <c r="A97" s="383" t="inlineStr">
        <is>
          <t>The Australian THERMAL coal series in the database (FY2026 average US$111.50/mt) is deliberately NOT used here. It is thermal, not metallurgical, coal - see database Conflict C15.</t>
        </is>
      </c>
    </row>
  </sheetData>
  <mergeCells count="20">
    <mergeCell ref="A7:I7"/>
    <mergeCell ref="A64:E64"/>
    <mergeCell ref="B78:D78"/>
    <mergeCell ref="A19:G19"/>
    <mergeCell ref="A88:N88"/>
    <mergeCell ref="A44:D44"/>
    <mergeCell ref="A1:N1"/>
    <mergeCell ref="B74:D74"/>
    <mergeCell ref="A73:D73"/>
    <mergeCell ref="A97:O97"/>
    <mergeCell ref="A84:N84"/>
    <mergeCell ref="B76:D76"/>
    <mergeCell ref="B79:D79"/>
    <mergeCell ref="B75:D75"/>
    <mergeCell ref="A5:N5"/>
    <mergeCell ref="A32:H32"/>
    <mergeCell ref="A56:D56"/>
    <mergeCell ref="A91:N91"/>
    <mergeCell ref="A2:G2"/>
    <mergeCell ref="B77:D77"/>
  </mergeCells>
  <hyperlinks>
    <hyperlink ref="M11" location="'Audit Checks'!A379" tooltip="Open the reference register on 25 Audit Checks"/>
    <hyperlink ref="M12" location="'Audit Checks'!A379" tooltip="Open the reference register on 25 Audit Checks"/>
    <hyperlink ref="M13" location="'Audit Checks'!A379" tooltip="Open the reference register on 25 Audit Checks"/>
    <hyperlink ref="M14" location="'Audit Checks'!A379" tooltip="Open the reference register on 25 Audit Checks"/>
    <hyperlink ref="M15" location="'Audit Checks'!A379" tooltip="Open the reference register on 25 Audit Checks"/>
    <hyperlink ref="I21" location="'Audit Checks'!A379" tooltip="Open the reference register on 25 Audit Checks"/>
    <hyperlink ref="I22" location="'Audit Checks'!A379" tooltip="Open the reference register on 25 Audit Checks"/>
    <hyperlink ref="I23" location="'Audit Checks'!A379" tooltip="Open the reference register on 25 Audit Checks"/>
    <hyperlink ref="I25" location="'Audit Checks'!A379" tooltip="Open the reference register on 25 Audit Checks"/>
    <hyperlink ref="I26" location="'Audit Checks'!A379" tooltip="Open the reference register on 25 Audit Checks"/>
    <hyperlink ref="I27" location="'Audit Checks'!A379" tooltip="Open the reference register on 25 Audit Checks"/>
    <hyperlink ref="I28" location="'Audit Checks'!A379" tooltip="Open the reference register on 25 Audit Checks"/>
    <hyperlink ref="I29" location="'Audit Checks'!A379" tooltip="Open the reference register on 25 Audit Checks"/>
    <hyperlink ref="M36" location="'Audit Checks'!A379" tooltip="Open the reference register on 25 Audit Checks"/>
    <hyperlink ref="M37" location="'Audit Checks'!A379" tooltip="Open the reference register on 25 Audit Checks"/>
    <hyperlink ref="M38" location="'Audit Checks'!A379" tooltip="Open the reference register on 25 Audit Checks"/>
    <hyperlink ref="M39" location="'Audit Checks'!A379" tooltip="Open the reference register on 25 Audit Checks"/>
    <hyperlink ref="M40" location="'Audit Checks'!A379" tooltip="Open the reference register on 25 Audit Checks"/>
    <hyperlink ref="M41" location="'Audit Checks'!A379" tooltip="Open the reference register on 25 Audit Checks"/>
    <hyperlink ref="F46" location="'Audit Checks'!A379" tooltip="Open the reference register on 25 Audit Checks"/>
    <hyperlink ref="F47" location="'Audit Checks'!A379" tooltip="Open the reference register on 25 Audit Checks"/>
    <hyperlink ref="F48" location="'Audit Checks'!A379" tooltip="Open the reference register on 25 Audit Checks"/>
    <hyperlink ref="F49" location="'Audit Checks'!A379" tooltip="Open the reference register on 25 Audit Checks"/>
    <hyperlink ref="F50" location="'Audit Checks'!A379" tooltip="Open the reference register on 25 Audit Checks"/>
    <hyperlink ref="F51" location="'Audit Checks'!A379" tooltip="Open the reference register on 25 Audit Checks"/>
    <hyperlink ref="F52" location="'Audit Checks'!A379" tooltip="Open the reference register on 25 Audit Checks"/>
    <hyperlink ref="F53" location="'Audit Checks'!A379" tooltip="Open the reference register on 25 Audit Checks"/>
    <hyperlink ref="F58" location="'Audit Checks'!A379" tooltip="Open the reference register on 25 Audit Checks"/>
    <hyperlink ref="F59" location="'Audit Checks'!A379" tooltip="Open the reference register on 25 Audit Checks"/>
    <hyperlink ref="F60" location="'Audit Checks'!A379" tooltip="Open the reference register on 25 Audit Checks"/>
    <hyperlink ref="F61" location="'Audit Checks'!A379" tooltip="Open the reference register on 25 Audit Checks"/>
    <hyperlink ref="G66" location="'Audit Checks'!A379" tooltip="Open the reference register on 25 Audit Checks"/>
    <hyperlink ref="G68" location="'Audit Checks'!A379" tooltip="Open the reference register on 25 Audit Checks"/>
    <hyperlink ref="G69" location="'Audit Checks'!A379" tooltip="Open the reference register on 25 Audit Checks"/>
    <hyperlink ref="G70" location="'Audit Checks'!A379" tooltip="Open the reference register on 25 Audit Checks"/>
    <hyperlink ref="F75" location="'Audit Checks'!A379" tooltip="Open the reference register on 25 Audit Checks"/>
    <hyperlink ref="F77" location="'Audit Checks'!A379" tooltip="Open the reference register on 25 Audit Checks"/>
    <hyperlink ref="F79" location="'Audit Checks'!A379" tooltip="Open the reference register on 25 Audit Checks"/>
    <hyperlink ref="P85" location="'Audit Checks'!A379" tooltip="Open the reference register on 25 Audit Checks"/>
    <hyperlink ref="P86" location="'Audit Checks'!A379" tooltip="Open the reference register on 25 Audit Checks"/>
    <hyperlink ref="P87" location="'Audit Checks'!A379" tooltip="Open the reference register on 25 Audit Checks"/>
    <hyperlink ref="P89" location="'Audit Checks'!A379" tooltip="Open the reference register on 25 Audit Checks"/>
    <hyperlink ref="P90" location="'Audit Checks'!A379" tooltip="Open the reference register on 25 Audit Checks"/>
    <hyperlink ref="P92" location="'Audit Checks'!A379" tooltip="Open the reference register on 25 Audit Checks"/>
    <hyperlink ref="P93" location="'Audit Checks'!A379" tooltip="Open the reference register on 25 Audit Checks"/>
    <hyperlink ref="P94" location="'Audit Checks'!A379" tooltip="Open the reference register on 25 Audit Checks"/>
    <hyperlink ref="P95" location="'Audit Checks'!A379" tooltip="Open the reference register on 25 Audit Checks"/>
  </hyperlinks>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codeName="Sheet16">
    <tabColor rgb="FF002060"/>
    <outlinePr summaryBelow="1" summaryRight="1"/>
    <pageSetUpPr/>
  </sheetPr>
  <dimension ref="A1:P90"/>
  <sheetViews>
    <sheetView showGridLines="0" zoomScaleNormal="100" workbookViewId="0">
      <selection activeCell="A7" sqref="A7:I7"/>
    </sheetView>
  </sheetViews>
  <sheetFormatPr baseColWidth="8" defaultRowHeight="14.4"/>
  <cols>
    <col width="25.88671875" customWidth="1" style="632" min="1" max="1"/>
    <col width="10.109375" customWidth="1" style="320" min="2" max="3"/>
    <col width="10.109375" customWidth="1" style="632" min="4" max="6"/>
    <col width="7" customWidth="1" style="632" min="6" max="6"/>
    <col width="10.77734375" customWidth="1" style="632" min="7" max="7"/>
    <col width="10.109375" customWidth="1" style="632" min="8" max="9"/>
    <col width="7" customWidth="1" style="632" min="9" max="9"/>
    <col width="9.21875" customWidth="1" style="632" min="10" max="11"/>
    <col width="16.6640625" customWidth="1" style="632" min="12" max="12"/>
    <col width="9.6640625" customWidth="1" style="632" min="13" max="13"/>
    <col width="62.6640625" customWidth="1" style="632" min="14" max="14"/>
    <col width="7" customWidth="1" style="632" min="16" max="16"/>
  </cols>
  <sheetData>
    <row r="1" ht="25.8" customHeight="1" s="632">
      <c r="A1" s="372" t="inlineStr">
        <is>
          <t>COST CURVE</t>
        </is>
      </c>
    </row>
    <row r="2">
      <c r="A2" s="355" t="inlineStr">
        <is>
          <t>Industry Financial Model  |  Indian Steel Industry  |  Horizon FY2027E-FY2033E  |  Base year FY2026A</t>
        </is>
      </c>
    </row>
    <row r="3">
      <c r="A3" s="371" t="n"/>
    </row>
    <row r="4">
      <c r="A4" s="356" t="inlineStr">
        <is>
          <t>OBJECTIVE</t>
        </is>
      </c>
    </row>
    <row r="5">
      <c r="A5" s="576" t="inlineStr">
        <is>
          <t>Estimate the cash cost of steel production across major Indian producers, rank them by cost competitiveness, and determine the industry cost curve and marginal producer.</t>
        </is>
      </c>
    </row>
    <row r="6">
      <c r="A6" s="576" t="n"/>
      <c r="B6" s="577" t="n"/>
      <c r="C6" s="577" t="n"/>
      <c r="D6" s="576" t="n"/>
      <c r="E6" s="576" t="n"/>
      <c r="F6" s="576" t="n"/>
      <c r="G6" s="576" t="n"/>
      <c r="H6" s="576" t="n"/>
      <c r="I6" s="576" t="n"/>
      <c r="J6" s="576" t="n"/>
      <c r="K6" s="576" t="n"/>
      <c r="L6" s="576" t="n"/>
      <c r="M6" s="576" t="n"/>
      <c r="N6" s="576" t="n"/>
    </row>
    <row r="7" ht="16.2" customHeight="1" s="632" thickBot="1">
      <c r="A7" s="621" t="inlineStr">
        <is>
          <t>Executive Summary</t>
        </is>
      </c>
      <c r="B7" s="991" t="n"/>
      <c r="C7" s="991" t="n"/>
      <c r="D7" s="991" t="n"/>
      <c r="E7" s="991" t="n"/>
      <c r="F7" s="991" t="n"/>
      <c r="G7" s="991" t="n"/>
      <c r="H7" s="991" t="n"/>
      <c r="I7" s="991" t="n"/>
      <c r="J7" s="576" t="n"/>
      <c r="K7" s="576" t="n"/>
      <c r="L7" s="576" t="n"/>
      <c r="M7" s="576" t="n"/>
      <c r="N7" s="576" t="n"/>
    </row>
    <row r="8" ht="15.6" customHeight="1" s="632" thickBot="1" thickTop="1">
      <c r="A8" s="645" t="inlineStr">
        <is>
          <t>KPI</t>
        </is>
      </c>
      <c r="B8" s="659" t="inlineStr">
        <is>
          <t>FY26A</t>
        </is>
      </c>
      <c r="C8" s="659" t="inlineStr">
        <is>
          <t>FY27E</t>
        </is>
      </c>
      <c r="D8" s="659" t="inlineStr">
        <is>
          <t>FY28E</t>
        </is>
      </c>
      <c r="E8" s="659" t="inlineStr">
        <is>
          <t>FY29E</t>
        </is>
      </c>
      <c r="F8" s="659" t="inlineStr">
        <is>
          <t>FY30E</t>
        </is>
      </c>
      <c r="G8" s="659" t="inlineStr">
        <is>
          <t>FY31E</t>
        </is>
      </c>
      <c r="H8" s="659" t="inlineStr">
        <is>
          <t>FY32E</t>
        </is>
      </c>
      <c r="I8" s="660" t="inlineStr">
        <is>
          <t>FY33E</t>
        </is>
      </c>
      <c r="J8" s="576" t="n"/>
      <c r="K8" s="576" t="n"/>
      <c r="L8" s="576" t="n"/>
      <c r="M8" s="576" t="n"/>
      <c r="N8" s="576" t="n"/>
    </row>
    <row r="9" ht="15" customHeight="1" s="632" thickTop="1">
      <c r="A9" s="246" t="inlineStr">
        <is>
          <t>Average Cash Cost (₹/t)</t>
        </is>
      </c>
      <c r="B9" s="1053">
        <f>$C$80</f>
        <v/>
      </c>
      <c r="C9" s="1053">
        <f>$D$80</f>
        <v/>
      </c>
      <c r="D9" s="1054">
        <f>$E$80</f>
        <v/>
      </c>
      <c r="E9" s="1054">
        <f>$F$80</f>
        <v/>
      </c>
      <c r="F9" s="1054">
        <f>$G$80</f>
        <v/>
      </c>
      <c r="G9" s="1054">
        <f>$H$80</f>
        <v/>
      </c>
      <c r="H9" s="1054">
        <f>$I$80</f>
        <v/>
      </c>
      <c r="I9" s="1055">
        <f>$J$80</f>
        <v/>
      </c>
      <c r="J9" s="576" t="n"/>
      <c r="K9" s="576" t="n"/>
      <c r="L9" s="576" t="n"/>
      <c r="M9" s="576" t="n"/>
      <c r="N9" s="576" t="n"/>
    </row>
    <row r="10">
      <c r="A10" s="247" t="inlineStr">
        <is>
          <t>Average Total Cost (₹/t)</t>
        </is>
      </c>
      <c r="B10" s="1027">
        <f>C80+'Cash Flow Model'!C99/'Steel Supply Model'!C101*10</f>
        <v/>
      </c>
      <c r="C10" s="1027">
        <f>D80+'Cash Flow Model'!D99/'Steel Supply Model'!D101*10</f>
        <v/>
      </c>
      <c r="D10" s="1056">
        <f>E80+'Cash Flow Model'!E99/'Steel Supply Model'!E101*10</f>
        <v/>
      </c>
      <c r="E10" s="1056">
        <f>F80+'Cash Flow Model'!F99/'Steel Supply Model'!F101*10</f>
        <v/>
      </c>
      <c r="F10" s="1056">
        <f>G80+'Cash Flow Model'!G99/'Steel Supply Model'!G101*10</f>
        <v/>
      </c>
      <c r="G10" s="1056">
        <f>H80+'Cash Flow Model'!H99/'Steel Supply Model'!H101*10</f>
        <v/>
      </c>
      <c r="H10" s="1056">
        <f>I80+'Cash Flow Model'!I99/'Steel Supply Model'!I101*10</f>
        <v/>
      </c>
      <c r="I10" s="1057">
        <f>J80+'Cash Flow Model'!J99/'Steel Supply Model'!J101*10</f>
        <v/>
      </c>
      <c r="J10" s="576" t="n"/>
      <c r="K10" s="576" t="n"/>
      <c r="L10" s="576" t="n"/>
      <c r="M10" s="576" t="n"/>
      <c r="N10" s="576" t="n"/>
    </row>
    <row r="11">
      <c r="A11" s="247" t="inlineStr">
        <is>
          <t>Industry ASP (₹/t)</t>
        </is>
      </c>
      <c r="B11" s="1024">
        <f>'Steel Price Forecast'!$C$103</f>
        <v/>
      </c>
      <c r="C11" s="1024">
        <f>'Steel Price Forecast'!$D$103</f>
        <v/>
      </c>
      <c r="D11" s="1058">
        <f>'Steel Price Forecast'!$E$103</f>
        <v/>
      </c>
      <c r="E11" s="1058">
        <f>'Steel Price Forecast'!$F$103</f>
        <v/>
      </c>
      <c r="F11" s="1058">
        <f>'Steel Price Forecast'!$G$103</f>
        <v/>
      </c>
      <c r="G11" s="1058">
        <f>'Steel Price Forecast'!$H$103</f>
        <v/>
      </c>
      <c r="H11" s="1058">
        <f>'Steel Price Forecast'!$I$103</f>
        <v/>
      </c>
      <c r="I11" s="1059">
        <f>'Steel Price Forecast'!$J$103</f>
        <v/>
      </c>
      <c r="J11" s="576" t="n"/>
      <c r="K11" s="576" t="n"/>
      <c r="L11" s="576" t="n"/>
      <c r="M11" s="576" t="n"/>
      <c r="N11" s="576" t="n"/>
    </row>
    <row r="12">
      <c r="A12" s="247" t="inlineStr">
        <is>
          <t>EBITDA/t (₹/t)</t>
        </is>
      </c>
      <c r="B12" s="1024">
        <f>'EBITDA Model'!$C$101</f>
        <v/>
      </c>
      <c r="C12" s="1024">
        <f>'EBITDA Model'!$D$101</f>
        <v/>
      </c>
      <c r="D12" s="1058">
        <f>'EBITDA Model'!$E$101</f>
        <v/>
      </c>
      <c r="E12" s="1058">
        <f>'EBITDA Model'!$F$101</f>
        <v/>
      </c>
      <c r="F12" s="1058">
        <f>'EBITDA Model'!$G$101</f>
        <v/>
      </c>
      <c r="G12" s="1058">
        <f>'EBITDA Model'!$H$101</f>
        <v/>
      </c>
      <c r="H12" s="1058">
        <f>'EBITDA Model'!$I$101</f>
        <v/>
      </c>
      <c r="I12" s="1059">
        <f>'EBITDA Model'!$J$101</f>
        <v/>
      </c>
      <c r="J12" s="576" t="n"/>
      <c r="K12" s="576" t="n"/>
      <c r="L12" s="576" t="n"/>
      <c r="M12" s="576" t="n"/>
      <c r="N12" s="576" t="n"/>
    </row>
    <row r="13">
      <c r="A13" s="247" t="inlineStr">
        <is>
          <t>Marginal Producer Cost (₹/t)</t>
        </is>
      </c>
      <c r="B13" s="1027">
        <f>MAX(C85:C88)</f>
        <v/>
      </c>
      <c r="C13" s="1027">
        <f>MAX(D85:D88)</f>
        <v/>
      </c>
      <c r="D13" s="1056">
        <f>MAX(E85:E88)</f>
        <v/>
      </c>
      <c r="E13" s="1056">
        <f>MAX(F85:F88)</f>
        <v/>
      </c>
      <c r="F13" s="1056">
        <f>MAX(G85:G88)</f>
        <v/>
      </c>
      <c r="G13" s="1056">
        <f>MAX(H85:H88)</f>
        <v/>
      </c>
      <c r="H13" s="1056">
        <f>MAX(I85:I88)</f>
        <v/>
      </c>
      <c r="I13" s="1057">
        <f>MAX(J85:J88)</f>
        <v/>
      </c>
      <c r="J13" s="576" t="n"/>
      <c r="K13" s="576" t="n"/>
      <c r="L13" s="576" t="n"/>
      <c r="M13" s="576" t="n"/>
      <c r="N13" s="576" t="n"/>
    </row>
    <row r="14" ht="15" customHeight="1" s="632" thickBot="1">
      <c r="A14" s="248" t="inlineStr">
        <is>
          <t>Industry Spread (₹/t)</t>
        </is>
      </c>
      <c r="B14" s="1029">
        <f>B11-B9</f>
        <v/>
      </c>
      <c r="C14" s="1029">
        <f>C11-C9</f>
        <v/>
      </c>
      <c r="D14" s="1060">
        <f>D11-D9</f>
        <v/>
      </c>
      <c r="E14" s="1060">
        <f>E11-E9</f>
        <v/>
      </c>
      <c r="F14" s="1060">
        <f>F11-F9</f>
        <v/>
      </c>
      <c r="G14" s="1060">
        <f>G11-G9</f>
        <v/>
      </c>
      <c r="H14" s="1060">
        <f>H11-H9</f>
        <v/>
      </c>
      <c r="I14" s="1061">
        <f>I11-I9</f>
        <v/>
      </c>
      <c r="J14" s="576" t="n"/>
      <c r="K14" s="576" t="n"/>
      <c r="L14" s="576" t="n"/>
      <c r="M14" s="576" t="n"/>
      <c r="N14" s="576" t="n"/>
    </row>
    <row r="15">
      <c r="A15" s="576" t="n"/>
      <c r="B15" s="577" t="n"/>
      <c r="C15" s="577" t="n"/>
      <c r="D15" s="576" t="n"/>
      <c r="E15" s="576" t="n"/>
      <c r="F15" s="576" t="n"/>
      <c r="G15" s="576" t="n"/>
      <c r="H15" s="576" t="n"/>
      <c r="I15" s="576" t="n"/>
      <c r="J15" s="576" t="n"/>
      <c r="K15" s="576" t="n"/>
      <c r="L15" s="576" t="n"/>
      <c r="M15" s="576" t="n"/>
      <c r="N15" s="576" t="n"/>
    </row>
    <row r="16">
      <c r="A16" s="576" t="n"/>
      <c r="B16" s="577" t="n"/>
      <c r="C16" s="577" t="n"/>
      <c r="D16" s="576" t="n"/>
      <c r="E16" s="576" t="n"/>
      <c r="F16" s="576" t="n"/>
      <c r="G16" s="576" t="n"/>
      <c r="H16" s="576" t="n"/>
      <c r="I16" s="576" t="n"/>
      <c r="J16" s="576" t="n"/>
      <c r="K16" s="576" t="n"/>
      <c r="L16" s="576" t="n"/>
      <c r="M16" s="576" t="n"/>
      <c r="N16" s="576" t="n"/>
    </row>
    <row r="17" ht="16.2" customHeight="1" s="632" thickBot="1">
      <c r="A17" s="612" t="inlineStr">
        <is>
          <t>Company Cost Curve</t>
        </is>
      </c>
      <c r="H17" s="612" t="n"/>
      <c r="I17" s="612" t="n"/>
      <c r="J17" s="576" t="n"/>
      <c r="K17" s="576" t="n"/>
      <c r="L17" s="576" t="n"/>
      <c r="M17" s="576" t="n"/>
      <c r="N17" s="576" t="n"/>
    </row>
    <row r="18" ht="43.8" customHeight="1" s="632" thickBot="1">
      <c r="A18" s="525" t="inlineStr">
        <is>
          <t>Rank</t>
        </is>
      </c>
      <c r="B18" s="526" t="inlineStr">
        <is>
          <t>Company</t>
        </is>
      </c>
      <c r="C18" s="526" t="inlineStr">
        <is>
          <t>Production (Mt)</t>
        </is>
      </c>
      <c r="D18" s="567" t="inlineStr">
        <is>
          <t>Cash Cost (₹/t)</t>
        </is>
      </c>
      <c r="E18" s="567" t="inlineStr">
        <is>
          <t>Total Cost (₹/t)</t>
        </is>
      </c>
      <c r="F18" s="567" t="inlineStr">
        <is>
          <t>EBITDA/t</t>
        </is>
      </c>
      <c r="G18" s="560" t="inlineStr">
        <is>
          <t>Cumulative Production (Mt)</t>
        </is>
      </c>
      <c r="H18" s="576" t="n"/>
      <c r="I18" s="707" t="inlineStr">
        <is>
          <t>Ref</t>
        </is>
      </c>
      <c r="J18" s="576" t="n"/>
      <c r="K18" s="576" t="n"/>
      <c r="L18" s="576" t="n"/>
      <c r="M18" s="576" t="n"/>
      <c r="N18" s="576" t="n"/>
    </row>
    <row r="19" ht="15" customHeight="1" s="632" thickTop="1">
      <c r="A19" s="667" t="n">
        <v>1</v>
      </c>
      <c r="B19" s="1062" t="inlineStr">
        <is>
          <t>Tata Steel</t>
        </is>
      </c>
      <c r="C19" s="843">
        <f>'Revenue Forecast'!$C$101</f>
        <v/>
      </c>
      <c r="D19" s="999">
        <f>$C$85</f>
        <v/>
      </c>
      <c r="E19" s="994">
        <f>D19+'Cash Flow Model'!C99/'Steel Supply Model'!C101*10</f>
        <v/>
      </c>
      <c r="F19" s="999">
        <f>'EBITDA Model'!$C$108</f>
        <v/>
      </c>
      <c r="G19" s="881">
        <f>C19</f>
        <v/>
      </c>
      <c r="H19" s="576" t="n"/>
      <c r="I19" s="576" t="n"/>
      <c r="J19" s="576" t="n"/>
      <c r="K19" s="576" t="n"/>
      <c r="L19" s="576" t="n"/>
      <c r="M19" s="576" t="n"/>
      <c r="N19" s="576" t="n"/>
    </row>
    <row r="20">
      <c r="A20" s="490" t="n">
        <v>2</v>
      </c>
      <c r="B20" s="1063" t="inlineStr">
        <is>
          <t>SAIL</t>
        </is>
      </c>
      <c r="C20" s="847">
        <f>'Revenue Forecast'!$C$103</f>
        <v/>
      </c>
      <c r="D20" s="997">
        <f>$C$86</f>
        <v/>
      </c>
      <c r="E20" s="1002">
        <f>D20+'Cash Flow Model'!C99/'Steel Supply Model'!C101*10</f>
        <v/>
      </c>
      <c r="F20" s="997">
        <f>'EBITDA Model'!$C$110</f>
        <v/>
      </c>
      <c r="G20" s="882">
        <f>G19+C20</f>
        <v/>
      </c>
      <c r="H20" s="576" t="n"/>
      <c r="I20" s="576" t="n"/>
      <c r="J20" s="576" t="n"/>
      <c r="K20" s="576" t="n"/>
      <c r="L20" s="576" t="n"/>
      <c r="M20" s="576" t="n"/>
      <c r="N20" s="576" t="n"/>
    </row>
    <row r="21">
      <c r="A21" s="490" t="n">
        <v>3</v>
      </c>
      <c r="B21" s="1063" t="inlineStr">
        <is>
          <t>JSW Steel</t>
        </is>
      </c>
      <c r="C21" s="847">
        <f>'Revenue Forecast'!$C$102</f>
        <v/>
      </c>
      <c r="D21" s="997">
        <f>$C$87</f>
        <v/>
      </c>
      <c r="E21" s="1002">
        <f>D21+'Cash Flow Model'!C99/'Steel Supply Model'!C101*10</f>
        <v/>
      </c>
      <c r="F21" s="997">
        <f>'EBITDA Model'!$C$109</f>
        <v/>
      </c>
      <c r="G21" s="882">
        <f>G20+C21</f>
        <v/>
      </c>
      <c r="H21" s="576" t="n"/>
      <c r="I21" s="576" t="n"/>
      <c r="J21" s="576" t="n"/>
      <c r="K21" s="576" t="n"/>
      <c r="L21" s="576" t="n"/>
      <c r="M21" s="576" t="n"/>
      <c r="N21" s="576" t="n"/>
    </row>
    <row r="22">
      <c r="A22" s="490" t="n">
        <v>4</v>
      </c>
      <c r="B22" s="1063" t="inlineStr">
        <is>
          <t>Jindal Steel</t>
        </is>
      </c>
      <c r="C22" s="847">
        <f>'Revenue Forecast'!$C$104</f>
        <v/>
      </c>
      <c r="D22" s="997">
        <f>$C$88</f>
        <v/>
      </c>
      <c r="E22" s="1002">
        <f>D22+'Cash Flow Model'!C99/'Steel Supply Model'!C101*10</f>
        <v/>
      </c>
      <c r="F22" s="997">
        <f>'EBITDA Model'!$C$111</f>
        <v/>
      </c>
      <c r="G22" s="882">
        <f>G21+C22</f>
        <v/>
      </c>
      <c r="H22" s="576" t="n"/>
      <c r="I22" s="708" t="inlineStr">
        <is>
          <t>CC01</t>
        </is>
      </c>
      <c r="J22" s="576" t="n"/>
      <c r="K22" s="576" t="n"/>
      <c r="L22" s="576" t="n"/>
      <c r="M22" s="576" t="n"/>
      <c r="N22" s="576" t="n"/>
    </row>
    <row r="23">
      <c r="A23" s="490" t="n">
        <v>5</v>
      </c>
      <c r="B23" s="1063" t="inlineStr">
        <is>
          <t>Jindal Stainless (stainless - not comparable)</t>
        </is>
      </c>
      <c r="C23" s="847">
        <f>'Revenue Forecast'!$C$105</f>
        <v/>
      </c>
      <c r="D23" s="1002">
        <f>'Steel Price Forecast'!$C$103*2.786876-'EBITDA Model'!$C$112</f>
        <v/>
      </c>
      <c r="E23" s="1002">
        <f>D23+'Cash Flow Model'!C99/'Steel Supply Model'!C101*10</f>
        <v/>
      </c>
      <c r="F23" s="997">
        <f>'EBITDA Model'!$C$112</f>
        <v/>
      </c>
      <c r="G23" s="882">
        <f>G22+C23</f>
        <v/>
      </c>
      <c r="H23" s="576" t="n"/>
      <c r="I23" s="576" t="n"/>
      <c r="J23" s="576" t="n"/>
      <c r="K23" s="576" t="n"/>
      <c r="L23" s="576" t="n"/>
      <c r="M23" s="576" t="n"/>
      <c r="N23" s="576" t="n"/>
    </row>
    <row r="24">
      <c r="A24" s="490" t="n">
        <v>6</v>
      </c>
      <c r="B24" s="1063" t="inlineStr">
        <is>
          <t>Others - secondary sector, RINL, AM/NS, ESL, unlisted</t>
        </is>
      </c>
      <c r="C24" s="911">
        <f>'Steel Supply Model'!$C$101-SUM(C19:C23)</f>
        <v/>
      </c>
      <c r="D24" s="955" t="n"/>
      <c r="E24" s="955" t="n"/>
      <c r="F24" s="955" t="n"/>
      <c r="G24" s="882">
        <f>G23+C24</f>
        <v/>
      </c>
      <c r="H24" s="576" t="n"/>
      <c r="I24" s="708" t="inlineStr">
        <is>
          <t>CC15</t>
        </is>
      </c>
      <c r="J24" s="576" t="n"/>
      <c r="K24" s="576" t="n"/>
      <c r="L24" s="576" t="n"/>
      <c r="M24" s="576" t="n"/>
      <c r="N24" s="576" t="n"/>
    </row>
    <row r="25">
      <c r="A25" s="490" t="n">
        <v>7</v>
      </c>
      <c r="B25" s="916" t="n"/>
      <c r="C25" s="916" t="n"/>
      <c r="D25" s="955" t="n"/>
      <c r="E25" s="955" t="n"/>
      <c r="F25" s="955" t="n"/>
      <c r="G25" s="956" t="n"/>
      <c r="H25" s="576" t="n"/>
      <c r="I25" s="708" t="inlineStr">
        <is>
          <t>CC14</t>
        </is>
      </c>
      <c r="J25" s="576" t="n"/>
      <c r="K25" s="576" t="n"/>
      <c r="L25" s="576" t="n"/>
      <c r="M25" s="576" t="n"/>
      <c r="N25" s="576" t="n"/>
    </row>
    <row r="26">
      <c r="A26" s="490" t="n">
        <v>8</v>
      </c>
      <c r="B26" s="916" t="n"/>
      <c r="C26" s="916" t="n"/>
      <c r="D26" s="955" t="n"/>
      <c r="E26" s="955" t="n"/>
      <c r="F26" s="955" t="n"/>
      <c r="G26" s="956" t="n"/>
      <c r="H26" s="576" t="n"/>
      <c r="I26" s="708" t="inlineStr">
        <is>
          <t>CC14</t>
        </is>
      </c>
      <c r="J26" s="576" t="n"/>
      <c r="K26" s="576" t="n"/>
      <c r="L26" s="576" t="n"/>
      <c r="M26" s="576" t="n"/>
      <c r="N26" s="576" t="n"/>
    </row>
    <row r="27">
      <c r="A27" s="490" t="n">
        <v>9</v>
      </c>
      <c r="B27" s="916" t="n"/>
      <c r="C27" s="916" t="n"/>
      <c r="D27" s="955" t="n"/>
      <c r="E27" s="955" t="n"/>
      <c r="F27" s="955" t="n"/>
      <c r="G27" s="956" t="n"/>
      <c r="H27" s="576" t="n"/>
      <c r="I27" s="708" t="inlineStr">
        <is>
          <t>CC14</t>
        </is>
      </c>
      <c r="J27" s="576" t="n"/>
      <c r="K27" s="576" t="n"/>
      <c r="L27" s="576" t="n"/>
      <c r="M27" s="576" t="n"/>
      <c r="N27" s="576" t="n"/>
    </row>
    <row r="28">
      <c r="A28" s="490" t="n">
        <v>10</v>
      </c>
      <c r="B28" s="916" t="n"/>
      <c r="C28" s="916" t="n"/>
      <c r="D28" s="955" t="n"/>
      <c r="E28" s="955" t="n"/>
      <c r="F28" s="955" t="n"/>
      <c r="G28" s="956" t="n"/>
      <c r="H28" s="576" t="n"/>
      <c r="I28" s="708" t="inlineStr">
        <is>
          <t>CC14</t>
        </is>
      </c>
      <c r="J28" s="576" t="n"/>
      <c r="K28" s="576" t="n"/>
      <c r="L28" s="576" t="n"/>
      <c r="M28" s="576" t="n"/>
      <c r="N28" s="576" t="n"/>
    </row>
    <row r="29">
      <c r="A29" s="490" t="n">
        <v>11</v>
      </c>
      <c r="B29" s="916" t="n"/>
      <c r="C29" s="916" t="n"/>
      <c r="D29" s="955" t="n"/>
      <c r="E29" s="955" t="n"/>
      <c r="F29" s="955" t="n"/>
      <c r="G29" s="956" t="n"/>
      <c r="H29" s="576" t="n"/>
      <c r="I29" s="708" t="inlineStr">
        <is>
          <t>CC14</t>
        </is>
      </c>
      <c r="J29" s="576" t="n"/>
      <c r="K29" s="576" t="n"/>
      <c r="L29" s="576" t="n"/>
      <c r="M29" s="576" t="n"/>
      <c r="N29" s="576" t="n"/>
    </row>
    <row r="30">
      <c r="A30" s="490" t="n">
        <v>12</v>
      </c>
      <c r="B30" s="916" t="n"/>
      <c r="C30" s="916" t="n"/>
      <c r="D30" s="955" t="n"/>
      <c r="E30" s="955" t="n"/>
      <c r="F30" s="955" t="n"/>
      <c r="G30" s="956" t="n"/>
      <c r="H30" s="576" t="n"/>
      <c r="I30" s="708" t="inlineStr">
        <is>
          <t>CC14</t>
        </is>
      </c>
      <c r="J30" s="576" t="n"/>
      <c r="K30" s="576" t="n"/>
      <c r="L30" s="576" t="n"/>
      <c r="M30" s="576" t="n"/>
      <c r="N30" s="576" t="n"/>
    </row>
    <row r="31">
      <c r="A31" s="490" t="n">
        <v>13</v>
      </c>
      <c r="B31" s="916" t="n"/>
      <c r="C31" s="916" t="n"/>
      <c r="D31" s="955" t="n"/>
      <c r="E31" s="955" t="n"/>
      <c r="F31" s="955" t="n"/>
      <c r="G31" s="956" t="n"/>
      <c r="H31" s="576" t="n"/>
      <c r="I31" s="708" t="inlineStr">
        <is>
          <t>CC14</t>
        </is>
      </c>
      <c r="J31" s="576" t="n"/>
      <c r="K31" s="576" t="n"/>
      <c r="L31" s="576" t="n"/>
      <c r="M31" s="576" t="n"/>
      <c r="N31" s="576" t="n"/>
    </row>
    <row r="32">
      <c r="A32" s="490" t="n">
        <v>14</v>
      </c>
      <c r="B32" s="1064" t="n"/>
      <c r="C32" s="1064" t="n"/>
      <c r="D32" s="1065" t="n"/>
      <c r="E32" s="1065" t="n"/>
      <c r="F32" s="1065" t="n"/>
      <c r="G32" s="1066" t="n"/>
      <c r="H32" s="576" t="n"/>
      <c r="I32" s="708" t="inlineStr">
        <is>
          <t>CC14</t>
        </is>
      </c>
      <c r="J32" s="576" t="n"/>
      <c r="K32" s="576" t="n"/>
      <c r="L32" s="576" t="n"/>
      <c r="M32" s="576" t="n"/>
      <c r="N32" s="576" t="n"/>
    </row>
    <row r="33" ht="15" customHeight="1" s="632" thickBot="1">
      <c r="A33" s="491" t="n">
        <v>15</v>
      </c>
      <c r="B33" s="1067" t="n"/>
      <c r="C33" s="1067" t="n"/>
      <c r="D33" s="1068" t="n"/>
      <c r="E33" s="1068" t="n"/>
      <c r="F33" s="1068" t="n"/>
      <c r="G33" s="1069" t="n"/>
      <c r="H33" s="576" t="n"/>
      <c r="I33" s="708" t="inlineStr">
        <is>
          <t>CC14</t>
        </is>
      </c>
      <c r="J33" s="576" t="n"/>
      <c r="K33" s="576" t="n"/>
      <c r="L33" s="576" t="n"/>
      <c r="M33" s="576" t="n"/>
      <c r="N33" s="576" t="n"/>
    </row>
    <row r="34">
      <c r="A34" s="576" t="n"/>
      <c r="B34" s="577" t="n"/>
      <c r="C34" s="577" t="n"/>
      <c r="D34" s="576" t="n"/>
      <c r="E34" s="576" t="n"/>
      <c r="F34" s="576" t="n"/>
      <c r="G34" s="576" t="n"/>
      <c r="H34" s="576" t="n"/>
      <c r="I34" s="576" t="n"/>
      <c r="J34" s="576" t="n"/>
      <c r="K34" s="576" t="n"/>
      <c r="L34" s="576" t="n"/>
      <c r="M34" s="576" t="n"/>
      <c r="N34" s="576" t="n"/>
    </row>
    <row r="35">
      <c r="A35" s="576" t="n"/>
      <c r="B35" s="577" t="n"/>
      <c r="C35" s="577" t="n"/>
      <c r="D35" s="576" t="n"/>
      <c r="E35" s="576" t="n"/>
      <c r="F35" s="576" t="n"/>
      <c r="G35" s="576" t="n"/>
      <c r="H35" s="576" t="n"/>
      <c r="I35" s="576" t="n"/>
      <c r="J35" s="576" t="n"/>
      <c r="K35" s="576" t="n"/>
      <c r="L35" s="576" t="n"/>
      <c r="M35" s="576" t="n"/>
      <c r="N35" s="576" t="n"/>
    </row>
    <row r="36" ht="15.6" customHeight="1" s="632">
      <c r="A36" s="612" t="inlineStr">
        <is>
          <t>Cost Build Up</t>
        </is>
      </c>
      <c r="D36" s="612" t="n"/>
      <c r="E36" s="612" t="n"/>
      <c r="F36" s="612" t="n"/>
      <c r="G36" s="612" t="n"/>
      <c r="H36" s="576" t="n"/>
      <c r="I36" s="576" t="n"/>
      <c r="J36" s="576" t="n"/>
      <c r="K36" s="576" t="n"/>
      <c r="L36" s="576" t="n"/>
      <c r="M36" s="576" t="n"/>
      <c r="N36" s="576" t="n"/>
    </row>
    <row r="37">
      <c r="A37" s="539" t="inlineStr">
        <is>
          <t>Cost Component</t>
        </is>
      </c>
      <c r="B37" s="544" t="inlineStr">
        <is>
          <t>₹/t</t>
        </is>
      </c>
      <c r="C37" s="544" t="inlineStr">
        <is>
          <t>% of Total</t>
        </is>
      </c>
      <c r="D37" s="576" t="n"/>
      <c r="E37" s="576" t="n"/>
      <c r="F37" s="576" t="n"/>
      <c r="G37" s="576" t="n"/>
      <c r="H37" s="576" t="n"/>
      <c r="I37" s="576" t="n"/>
      <c r="J37" s="576" t="n"/>
      <c r="K37" s="576" t="n"/>
      <c r="L37" s="576" t="n"/>
      <c r="M37" s="707" t="inlineStr">
        <is>
          <t>Ref</t>
        </is>
      </c>
      <c r="N37" s="576" t="n"/>
    </row>
    <row r="38">
      <c r="A38" s="670" t="inlineStr">
        <is>
          <t>Iron Ore</t>
        </is>
      </c>
      <c r="B38" s="1027">
        <f>$C$80*'Model Assumptions'!$D$20*$J$38</f>
        <v/>
      </c>
      <c r="C38" s="813">
        <f>IFERROR(B38/$B$51,"")</f>
        <v/>
      </c>
      <c r="D38" s="576" t="n"/>
      <c r="E38" s="576" t="n"/>
      <c r="F38" s="576" t="n"/>
      <c r="G38" s="576" t="n"/>
      <c r="H38" s="576" t="n"/>
      <c r="I38" s="576" t="n"/>
      <c r="J38" s="1070" t="n">
        <v>0.45</v>
      </c>
      <c r="K38" s="576" t="n"/>
      <c r="L38" s="576" t="n"/>
      <c r="M38" s="708" t="inlineStr">
        <is>
          <t>CC02</t>
        </is>
      </c>
      <c r="N38" s="576" t="n"/>
    </row>
    <row r="39">
      <c r="A39" s="670" t="inlineStr">
        <is>
          <t>Coking Coal</t>
        </is>
      </c>
      <c r="B39" s="1027">
        <f>$C$80*'Model Assumptions'!$D$20*$J$39</f>
        <v/>
      </c>
      <c r="C39" s="813">
        <f>IFERROR(B39/$B$51,"")</f>
        <v/>
      </c>
      <c r="D39" s="576" t="n"/>
      <c r="E39" s="576" t="n"/>
      <c r="F39" s="576" t="n"/>
      <c r="G39" s="576" t="n"/>
      <c r="H39" s="576" t="n"/>
      <c r="I39" s="576" t="n"/>
      <c r="J39" s="1070" t="n">
        <v>0.422</v>
      </c>
      <c r="K39" s="576" t="n"/>
      <c r="L39" s="576" t="n"/>
      <c r="M39" s="708" t="inlineStr">
        <is>
          <t>CC02</t>
        </is>
      </c>
      <c r="N39" s="576" t="n"/>
    </row>
    <row r="40">
      <c r="A40" s="670" t="inlineStr">
        <is>
          <t>PCI Coal</t>
        </is>
      </c>
      <c r="B40" s="1027">
        <f>$C$80*'Model Assumptions'!$D$20*$J$40</f>
        <v/>
      </c>
      <c r="C40" s="813">
        <f>IFERROR(B40/$B$51,"")</f>
        <v/>
      </c>
      <c r="D40" s="576" t="n"/>
      <c r="E40" s="576" t="n"/>
      <c r="F40" s="576" t="n"/>
      <c r="G40" s="576" t="n"/>
      <c r="H40" s="576" t="n"/>
      <c r="I40" s="576" t="n"/>
      <c r="J40" s="1070" t="n">
        <v>0.028</v>
      </c>
      <c r="K40" s="576" t="n"/>
      <c r="L40" s="576" t="n"/>
      <c r="M40" s="708" t="inlineStr">
        <is>
          <t>CC02</t>
        </is>
      </c>
      <c r="N40" s="576" t="n"/>
    </row>
    <row r="41">
      <c r="A41" s="670" t="inlineStr">
        <is>
          <t>Scrap</t>
        </is>
      </c>
      <c r="B41" s="1027">
        <f>$C$80*'Model Assumptions'!$D$20*$J$41</f>
        <v/>
      </c>
      <c r="C41" s="813">
        <f>IFERROR(B41/$B$51,"")</f>
        <v/>
      </c>
      <c r="D41" s="576" t="n"/>
      <c r="E41" s="576" t="n"/>
      <c r="F41" s="576" t="n"/>
      <c r="G41" s="576" t="n"/>
      <c r="H41" s="576" t="n"/>
      <c r="I41" s="576" t="n"/>
      <c r="J41" s="1070" t="n">
        <v>0</v>
      </c>
      <c r="K41" s="576" t="n"/>
      <c r="L41" s="576" t="n"/>
      <c r="M41" s="708" t="inlineStr">
        <is>
          <t>CC02</t>
        </is>
      </c>
      <c r="N41" s="576" t="n"/>
    </row>
    <row r="42">
      <c r="A42" s="670" t="inlineStr">
        <is>
          <t>Fluxes</t>
        </is>
      </c>
      <c r="B42" s="1027">
        <f>$C$80*'Model Assumptions'!$D$20*$J$42</f>
        <v/>
      </c>
      <c r="C42" s="813">
        <f>IFERROR(B42/$B$51,"")</f>
        <v/>
      </c>
      <c r="D42" s="576" t="n"/>
      <c r="E42" s="576" t="n"/>
      <c r="F42" s="576" t="n"/>
      <c r="G42" s="576" t="n"/>
      <c r="H42" s="576" t="n"/>
      <c r="I42" s="576" t="n"/>
      <c r="J42" s="1070" t="n">
        <v>0.1</v>
      </c>
      <c r="K42" s="576" t="n"/>
      <c r="L42" s="576" t="n"/>
      <c r="M42" s="708" t="inlineStr">
        <is>
          <t>CC02</t>
        </is>
      </c>
      <c r="N42" s="576" t="n"/>
    </row>
    <row r="43">
      <c r="A43" s="670" t="inlineStr">
        <is>
          <t>Power &amp; Fuel</t>
        </is>
      </c>
      <c r="B43" s="1027">
        <f>$C$80*(1-'Model Assumptions'!$D$20)*$K$43</f>
        <v/>
      </c>
      <c r="C43" s="813">
        <f>IFERROR(B43/$B$51,"")</f>
        <v/>
      </c>
      <c r="D43" s="576" t="n"/>
      <c r="E43" s="576" t="n"/>
      <c r="F43" s="576" t="n"/>
      <c r="G43" s="576" t="n"/>
      <c r="H43" s="576" t="n"/>
      <c r="I43" s="576" t="n"/>
      <c r="J43" s="576" t="n"/>
      <c r="K43" s="1070" t="n">
        <v>0.18</v>
      </c>
      <c r="L43" s="576" t="n"/>
      <c r="M43" s="708" t="inlineStr">
        <is>
          <t>CC02</t>
        </is>
      </c>
      <c r="N43" s="576" t="n"/>
    </row>
    <row r="44">
      <c r="A44" s="670" t="inlineStr">
        <is>
          <t>Labour</t>
        </is>
      </c>
      <c r="B44" s="1027">
        <f>$C$80*(1-'Model Assumptions'!$D$20)*$K$44</f>
        <v/>
      </c>
      <c r="C44" s="813">
        <f>IFERROR(B44/$B$51,"")</f>
        <v/>
      </c>
      <c r="D44" s="576" t="n"/>
      <c r="E44" s="576" t="n"/>
      <c r="F44" s="576" t="n"/>
      <c r="G44" s="576" t="n"/>
      <c r="H44" s="576" t="n"/>
      <c r="I44" s="576" t="n"/>
      <c r="J44" s="576" t="n"/>
      <c r="K44" s="1070" t="n">
        <v>0.18</v>
      </c>
      <c r="L44" s="576" t="n"/>
      <c r="M44" s="708" t="inlineStr">
        <is>
          <t>CC02</t>
        </is>
      </c>
      <c r="N44" s="576" t="n"/>
    </row>
    <row r="45">
      <c r="A45" s="670" t="inlineStr">
        <is>
          <t>Maintenance</t>
        </is>
      </c>
      <c r="B45" s="1027">
        <f>$C$80*(1-'Model Assumptions'!$D$20)*$K$45</f>
        <v/>
      </c>
      <c r="C45" s="813">
        <f>IFERROR(B45/$B$51,"")</f>
        <v/>
      </c>
      <c r="D45" s="576" t="n"/>
      <c r="E45" s="576" t="n"/>
      <c r="F45" s="576" t="n"/>
      <c r="G45" s="576" t="n"/>
      <c r="H45" s="576" t="n"/>
      <c r="I45" s="576" t="n"/>
      <c r="J45" s="576" t="n"/>
      <c r="K45" s="1070" t="n">
        <v>0.14</v>
      </c>
      <c r="L45" s="576" t="n"/>
      <c r="M45" s="708" t="inlineStr">
        <is>
          <t>CC02</t>
        </is>
      </c>
      <c r="N45" s="576" t="n"/>
    </row>
    <row r="46">
      <c r="A46" s="670" t="inlineStr">
        <is>
          <t>Logistics</t>
        </is>
      </c>
      <c r="B46" s="1027">
        <f>$C$80*(1-'Model Assumptions'!$D$20)*$K$46</f>
        <v/>
      </c>
      <c r="C46" s="813">
        <f>IFERROR(B46/$B$51,"")</f>
        <v/>
      </c>
      <c r="D46" s="576" t="n"/>
      <c r="E46" s="576" t="n"/>
      <c r="F46" s="576" t="n"/>
      <c r="G46" s="576" t="n"/>
      <c r="H46" s="576" t="n"/>
      <c r="I46" s="576" t="n"/>
      <c r="J46" s="576" t="n"/>
      <c r="K46" s="1070" t="n">
        <v>0.22</v>
      </c>
      <c r="L46" s="576" t="n"/>
      <c r="M46" s="708" t="inlineStr">
        <is>
          <t>CC02</t>
        </is>
      </c>
      <c r="N46" s="576" t="n"/>
    </row>
    <row r="47">
      <c r="A47" s="670" t="inlineStr">
        <is>
          <t>Other Manufacturing</t>
        </is>
      </c>
      <c r="B47" s="1027">
        <f>$C$80*(1-'Model Assumptions'!$D$20)*($K$47+$K$50)</f>
        <v/>
      </c>
      <c r="C47" s="813">
        <f>IFERROR(B47/$B$51,"")</f>
        <v/>
      </c>
      <c r="D47" s="576" t="n"/>
      <c r="E47" s="576" t="n"/>
      <c r="F47" s="576" t="n"/>
      <c r="G47" s="576" t="n"/>
      <c r="H47" s="576" t="n"/>
      <c r="I47" s="576" t="n"/>
      <c r="J47" s="576" t="n"/>
      <c r="K47" s="1070" t="n">
        <v>0.13</v>
      </c>
      <c r="L47" s="576" t="n"/>
      <c r="M47" s="708" t="inlineStr">
        <is>
          <t>CC02</t>
        </is>
      </c>
      <c r="N47" s="576" t="n"/>
    </row>
    <row r="48">
      <c r="A48" s="489" t="inlineStr">
        <is>
          <t>Cash Cost</t>
        </is>
      </c>
      <c r="B48" s="1027">
        <f>SUM(B38:B47)</f>
        <v/>
      </c>
      <c r="C48" s="813">
        <f>IFERROR(B48/$B$51,"")</f>
        <v/>
      </c>
      <c r="D48" s="576" t="n"/>
      <c r="E48" s="576" t="n"/>
      <c r="F48" s="576" t="n"/>
      <c r="G48" s="576" t="n"/>
      <c r="H48" s="576" t="n"/>
      <c r="I48" s="576" t="n"/>
      <c r="J48" s="576" t="n"/>
      <c r="K48" s="576" t="n"/>
      <c r="L48" s="576" t="n"/>
      <c r="M48" s="708" t="inlineStr">
        <is>
          <t>CC02</t>
        </is>
      </c>
      <c r="N48" s="576" t="n"/>
    </row>
    <row r="49">
      <c r="A49" s="670" t="inlineStr">
        <is>
          <t>Depreciation</t>
        </is>
      </c>
      <c r="B49" s="1027">
        <f>'Cash Flow Model'!C99/'Steel Supply Model'!C101*10</f>
        <v/>
      </c>
      <c r="C49" s="813">
        <f>IFERROR(B49/$B$51,"")</f>
        <v/>
      </c>
      <c r="D49" s="576" t="n"/>
      <c r="E49" s="576" t="n"/>
      <c r="F49" s="576" t="n"/>
      <c r="G49" s="576" t="n"/>
      <c r="H49" s="576" t="n"/>
      <c r="I49" s="576" t="n"/>
      <c r="J49" s="576" t="n"/>
      <c r="K49" s="576" t="n"/>
      <c r="L49" s="576" t="n"/>
      <c r="M49" s="708" t="inlineStr">
        <is>
          <t>CC02</t>
        </is>
      </c>
      <c r="N49" s="576" t="n"/>
    </row>
    <row r="50">
      <c r="A50" s="670" t="inlineStr">
        <is>
          <t>SG&amp;A</t>
        </is>
      </c>
      <c r="B50" s="1027">
        <f>$C$80*(1-'Model Assumptions'!$D$20)*$K$50</f>
        <v/>
      </c>
      <c r="C50" s="813">
        <f>IFERROR(B50/$B$51,"")</f>
        <v/>
      </c>
      <c r="D50" s="576" t="n"/>
      <c r="E50" s="576" t="n"/>
      <c r="F50" s="576" t="n"/>
      <c r="G50" s="576" t="n"/>
      <c r="H50" s="576" t="n"/>
      <c r="I50" s="576" t="n"/>
      <c r="J50" s="576" t="n"/>
      <c r="K50" s="1070" t="n">
        <v>0.15</v>
      </c>
      <c r="L50" s="576" t="n"/>
      <c r="M50" s="708" t="inlineStr">
        <is>
          <t>CC02</t>
        </is>
      </c>
      <c r="N50" s="576" t="n"/>
    </row>
    <row r="51">
      <c r="A51" s="489" t="inlineStr">
        <is>
          <t>Total Cost</t>
        </is>
      </c>
      <c r="B51" s="1027">
        <f>B48+B49</f>
        <v/>
      </c>
      <c r="C51" s="813">
        <f>IFERROR(B51/$B$51,"")</f>
        <v/>
      </c>
      <c r="D51" s="576" t="n"/>
      <c r="E51" s="576" t="n"/>
      <c r="F51" s="576" t="n"/>
      <c r="G51" s="576" t="n"/>
      <c r="H51" s="576" t="n"/>
      <c r="I51" s="576" t="n"/>
      <c r="J51" s="576" t="n"/>
      <c r="K51" s="576" t="n"/>
      <c r="L51" s="576" t="n"/>
      <c r="M51" s="708" t="inlineStr">
        <is>
          <t>CC02, CC03</t>
        </is>
      </c>
      <c r="N51" s="576" t="n"/>
    </row>
    <row r="52">
      <c r="A52" s="576" t="n"/>
      <c r="B52" s="577" t="n"/>
      <c r="C52" s="577" t="n"/>
      <c r="D52" s="576" t="n"/>
      <c r="E52" s="576" t="n"/>
      <c r="F52" s="576" t="n"/>
      <c r="G52" s="576" t="n"/>
      <c r="H52" s="576" t="n"/>
      <c r="I52" s="576" t="n"/>
      <c r="J52" s="576" t="n"/>
      <c r="K52" s="576" t="n"/>
      <c r="L52" s="576" t="n"/>
      <c r="M52" s="576" t="n"/>
      <c r="N52" s="576" t="n"/>
    </row>
    <row r="53">
      <c r="A53" s="576" t="n"/>
      <c r="B53" s="577" t="n"/>
      <c r="C53" s="577" t="n"/>
      <c r="D53" s="576" t="n"/>
      <c r="E53" s="576" t="n"/>
      <c r="F53" s="576" t="n"/>
      <c r="G53" s="576" t="n"/>
      <c r="H53" s="576" t="n"/>
      <c r="I53" s="576" t="n"/>
      <c r="J53" s="576" t="n"/>
      <c r="K53" s="576" t="n"/>
      <c r="L53" s="576" t="n"/>
      <c r="M53" s="576" t="n"/>
      <c r="N53" s="576" t="n"/>
    </row>
    <row r="54" ht="15.6" customHeight="1" s="632">
      <c r="A54" s="608" t="inlineStr">
        <is>
          <t>Margin at Forecast Price</t>
        </is>
      </c>
      <c r="B54" s="699" t="n"/>
      <c r="C54" s="699" t="n"/>
      <c r="D54" s="699" t="n"/>
      <c r="E54" s="699" t="n"/>
      <c r="F54" s="576" t="n"/>
      <c r="G54" s="576" t="n"/>
      <c r="H54" s="576" t="n"/>
      <c r="I54" s="576" t="n"/>
      <c r="J54" s="576" t="n"/>
      <c r="K54" s="576" t="n"/>
      <c r="L54" s="576" t="n"/>
      <c r="M54" s="576" t="n"/>
      <c r="N54" s="576" t="n"/>
    </row>
    <row r="55" ht="28.8" customHeight="1" s="632">
      <c r="A55" s="539" t="inlineStr">
        <is>
          <t>Company</t>
        </is>
      </c>
      <c r="B55" s="539" t="inlineStr">
        <is>
          <t>Forecast ASP</t>
        </is>
      </c>
      <c r="C55" s="539" t="inlineStr">
        <is>
          <t>Cash Cost</t>
        </is>
      </c>
      <c r="D55" s="539" t="inlineStr">
        <is>
          <t>EBITDA/t</t>
        </is>
      </c>
      <c r="E55" s="539" t="inlineStr">
        <is>
          <t>EBITDA Margin</t>
        </is>
      </c>
      <c r="F55" s="576" t="n"/>
      <c r="G55" s="707" t="inlineStr">
        <is>
          <t>Ref</t>
        </is>
      </c>
      <c r="H55" s="576" t="n"/>
      <c r="I55" s="576" t="n"/>
      <c r="J55" s="576" t="n"/>
      <c r="K55" s="576" t="n"/>
      <c r="L55" s="576" t="n"/>
      <c r="M55" s="576" t="n"/>
      <c r="N55" s="576" t="n"/>
    </row>
    <row r="56">
      <c r="A56" s="670" t="inlineStr">
        <is>
          <t>Tata Steel</t>
        </is>
      </c>
      <c r="B56" s="1002">
        <f>'Steel Price Forecast'!$D$103*1.03834</f>
        <v/>
      </c>
      <c r="C56" s="997">
        <f>$D$85</f>
        <v/>
      </c>
      <c r="D56" s="997">
        <f>'EBITDA Model'!$D$108</f>
        <v/>
      </c>
      <c r="E56" s="954">
        <f>IFERROR(D56/B56,"")</f>
        <v/>
      </c>
      <c r="F56" s="576" t="n"/>
      <c r="G56" s="708" t="inlineStr">
        <is>
          <t>CC04</t>
        </is>
      </c>
      <c r="H56" s="576" t="n"/>
      <c r="I56" s="576" t="n"/>
      <c r="J56" s="576" t="n"/>
      <c r="K56" s="576" t="n"/>
      <c r="L56" s="576" t="n"/>
      <c r="M56" s="576" t="n"/>
      <c r="N56" s="576" t="n"/>
    </row>
    <row r="57">
      <c r="A57" s="670" t="inlineStr">
        <is>
          <t>JSW Steel</t>
        </is>
      </c>
      <c r="B57" s="1002">
        <f>'Steel Price Forecast'!$D$103*1.013733</f>
        <v/>
      </c>
      <c r="C57" s="997">
        <f>$D$87</f>
        <v/>
      </c>
      <c r="D57" s="997">
        <f>'EBITDA Model'!$D$109</f>
        <v/>
      </c>
      <c r="E57" s="954">
        <f>IFERROR(D57/B57,"")</f>
        <v/>
      </c>
      <c r="F57" s="576" t="n"/>
      <c r="G57" s="576" t="n"/>
      <c r="H57" s="576" t="n"/>
      <c r="I57" s="576" t="n"/>
      <c r="J57" s="576" t="n"/>
      <c r="K57" s="576" t="n"/>
      <c r="L57" s="576" t="n"/>
      <c r="M57" s="576" t="n"/>
      <c r="N57" s="576" t="n"/>
    </row>
    <row r="58">
      <c r="A58" s="670" t="inlineStr">
        <is>
          <t>SAIL</t>
        </is>
      </c>
      <c r="B58" s="1002">
        <f>'Steel Price Forecast'!$D$103*0.92707</f>
        <v/>
      </c>
      <c r="C58" s="997">
        <f>$D$86</f>
        <v/>
      </c>
      <c r="D58" s="997">
        <f>'EBITDA Model'!$D$110</f>
        <v/>
      </c>
      <c r="E58" s="954">
        <f>IFERROR(D58/B58,"")</f>
        <v/>
      </c>
      <c r="F58" s="576" t="n"/>
      <c r="G58" s="576" t="n"/>
      <c r="H58" s="576" t="n"/>
      <c r="I58" s="576" t="n"/>
      <c r="J58" s="576" t="n"/>
      <c r="K58" s="576" t="n"/>
      <c r="L58" s="576" t="n"/>
      <c r="M58" s="576" t="n"/>
      <c r="N58" s="576" t="n"/>
    </row>
    <row r="59">
      <c r="A59" s="670" t="inlineStr">
        <is>
          <t>Others</t>
        </is>
      </c>
      <c r="B59" s="997">
        <f>'Steel Price Forecast'!$D$103</f>
        <v/>
      </c>
      <c r="C59" s="997">
        <f>$D$80</f>
        <v/>
      </c>
      <c r="D59" s="997">
        <f>'EBITDA Model'!$D$101</f>
        <v/>
      </c>
      <c r="E59" s="954">
        <f>IFERROR(D59/B59,"")</f>
        <v/>
      </c>
      <c r="F59" s="576" t="n"/>
      <c r="G59" s="576" t="n"/>
      <c r="H59" s="576" t="n"/>
      <c r="I59" s="576" t="n"/>
      <c r="J59" s="576" t="n"/>
      <c r="K59" s="576" t="n"/>
      <c r="L59" s="576" t="n"/>
      <c r="M59" s="576" t="n"/>
      <c r="N59" s="576" t="n"/>
    </row>
    <row r="60">
      <c r="A60" s="576" t="n"/>
      <c r="B60" s="577" t="n"/>
      <c r="C60" s="577" t="n"/>
      <c r="D60" s="576" t="n"/>
      <c r="E60" s="576" t="n"/>
      <c r="F60" s="576" t="n"/>
      <c r="G60" s="576" t="n"/>
      <c r="H60" s="576" t="n"/>
      <c r="I60" s="576" t="n"/>
      <c r="J60" s="576" t="n"/>
      <c r="K60" s="576" t="n"/>
      <c r="L60" s="576" t="n"/>
      <c r="M60" s="576" t="n"/>
      <c r="N60" s="576" t="n"/>
    </row>
    <row r="61">
      <c r="A61" s="576" t="n"/>
      <c r="B61" s="577" t="n"/>
      <c r="C61" s="577" t="n"/>
      <c r="D61" s="576" t="n"/>
      <c r="E61" s="576" t="n"/>
      <c r="F61" s="576" t="n"/>
      <c r="G61" s="576" t="n"/>
      <c r="H61" s="576" t="n"/>
      <c r="I61" s="576" t="n"/>
      <c r="J61" s="576" t="n"/>
      <c r="K61" s="576" t="n"/>
      <c r="L61" s="576" t="n"/>
      <c r="M61" s="576" t="n"/>
      <c r="N61" s="576" t="n"/>
    </row>
    <row r="62" ht="15.6" customHeight="1" s="632">
      <c r="A62" s="608" t="inlineStr">
        <is>
          <t>Scenario Analysis</t>
        </is>
      </c>
      <c r="B62" s="699" t="n"/>
      <c r="C62" s="699" t="n"/>
      <c r="D62" s="699" t="n"/>
      <c r="E62" s="612" t="n"/>
      <c r="F62" s="576" t="n"/>
      <c r="G62" s="576" t="n"/>
      <c r="H62" s="576" t="n"/>
      <c r="I62" s="576" t="n"/>
      <c r="J62" s="576" t="n"/>
      <c r="K62" s="576" t="n"/>
      <c r="L62" s="576" t="n"/>
      <c r="M62" s="576" t="n"/>
      <c r="N62" s="576" t="n"/>
    </row>
    <row r="63" ht="28.8" customHeight="1" s="632">
      <c r="A63" s="539" t="inlineStr">
        <is>
          <t>Scenario</t>
        </is>
      </c>
      <c r="B63" s="539" t="inlineStr">
        <is>
          <t>Average Cost</t>
        </is>
      </c>
      <c r="C63" s="539" t="inlineStr">
        <is>
          <t>EBITDA/t</t>
        </is>
      </c>
      <c r="D63" s="539" t="inlineStr">
        <is>
          <t>Spread</t>
        </is>
      </c>
      <c r="E63" s="576" t="n"/>
      <c r="F63" s="707" t="inlineStr">
        <is>
          <t>Ref</t>
        </is>
      </c>
      <c r="G63" s="576" t="n"/>
      <c r="H63" s="576" t="n"/>
      <c r="I63" s="576" t="n"/>
      <c r="J63" s="576" t="n"/>
      <c r="K63" s="576" t="n"/>
      <c r="L63" s="576" t="n"/>
      <c r="M63" s="576" t="n"/>
      <c r="N63" s="576" t="n"/>
    </row>
    <row r="64">
      <c r="A64" s="670" t="inlineStr">
        <is>
          <t>Base</t>
        </is>
      </c>
      <c r="B64" s="997">
        <f>AVERAGE('Scenario Manager'!$D$128:$J$128)</f>
        <v/>
      </c>
      <c r="C64" s="997">
        <f>AVERAGE('Scenario Manager'!$D$129:$J$129)</f>
        <v/>
      </c>
      <c r="D64" s="1002">
        <f>AVERAGE('Scenario Manager'!$D$117:$J$117)-B64</f>
        <v/>
      </c>
      <c r="E64" s="576" t="n"/>
      <c r="F64" s="708" t="inlineStr">
        <is>
          <t>CC05</t>
        </is>
      </c>
      <c r="G64" s="576" t="n"/>
      <c r="H64" s="576" t="n"/>
      <c r="I64" s="576" t="n"/>
      <c r="J64" s="576" t="n"/>
      <c r="K64" s="576" t="n"/>
      <c r="L64" s="576" t="n"/>
      <c r="M64" s="576" t="n"/>
      <c r="N64" s="576" t="n"/>
    </row>
    <row r="65">
      <c r="A65" s="670" t="inlineStr">
        <is>
          <t>Bull</t>
        </is>
      </c>
      <c r="B65" s="997">
        <f>AVERAGE('Scenario Manager'!$D$204:$J$204)</f>
        <v/>
      </c>
      <c r="C65" s="997">
        <f>AVERAGE('Scenario Manager'!$D$205:$J$205)</f>
        <v/>
      </c>
      <c r="D65" s="1002">
        <f>AVERAGE('Scenario Manager'!$D$193:$J$193)-B65</f>
        <v/>
      </c>
      <c r="E65" s="576" t="n"/>
      <c r="F65" s="576" t="n"/>
      <c r="G65" s="576" t="n"/>
      <c r="H65" s="576" t="n"/>
      <c r="I65" s="576" t="n"/>
      <c r="J65" s="576" t="n"/>
      <c r="K65" s="576" t="n"/>
      <c r="L65" s="576" t="n"/>
      <c r="M65" s="576" t="n"/>
      <c r="N65" s="576" t="n"/>
    </row>
    <row r="66">
      <c r="A66" s="670" t="inlineStr">
        <is>
          <t>Bear</t>
        </is>
      </c>
      <c r="B66" s="997">
        <f>AVERAGE('Scenario Manager'!$D$280:$J$280)</f>
        <v/>
      </c>
      <c r="C66" s="997">
        <f>AVERAGE('Scenario Manager'!$D$281:$J$281)</f>
        <v/>
      </c>
      <c r="D66" s="1002">
        <f>AVERAGE('Scenario Manager'!$D$269:$J$269)-B66</f>
        <v/>
      </c>
      <c r="E66" s="576" t="n"/>
      <c r="F66" s="576" t="n"/>
      <c r="G66" s="576" t="n"/>
      <c r="H66" s="576" t="n"/>
      <c r="I66" s="576" t="n"/>
      <c r="J66" s="576" t="n"/>
      <c r="K66" s="576" t="n"/>
      <c r="L66" s="576" t="n"/>
      <c r="M66" s="576" t="n"/>
      <c r="N66" s="576" t="n"/>
    </row>
    <row r="67">
      <c r="A67" s="670" t="inlineStr">
        <is>
          <t>Stress</t>
        </is>
      </c>
      <c r="B67" s="997">
        <f>AVERAGE('Scenario Manager'!$D$356:$J$356)</f>
        <v/>
      </c>
      <c r="C67" s="997">
        <f>AVERAGE('Scenario Manager'!$D$357:$J$357)</f>
        <v/>
      </c>
      <c r="D67" s="1002">
        <f>AVERAGE('Scenario Manager'!$D$345:$J$345)-B67</f>
        <v/>
      </c>
      <c r="E67" s="576" t="n"/>
      <c r="F67" s="576" t="n"/>
      <c r="G67" s="576" t="n"/>
      <c r="H67" s="576" t="n"/>
      <c r="I67" s="576" t="n"/>
      <c r="J67" s="576" t="n"/>
      <c r="K67" s="576" t="n"/>
      <c r="L67" s="576" t="n"/>
      <c r="M67" s="576" t="n"/>
      <c r="N67" s="576" t="n"/>
    </row>
    <row r="68">
      <c r="A68" s="576" t="n"/>
      <c r="B68" s="577" t="n"/>
      <c r="C68" s="577" t="n"/>
      <c r="D68" s="576" t="n"/>
      <c r="E68" s="576" t="n"/>
      <c r="F68" s="576" t="n"/>
      <c r="G68" s="576" t="n"/>
      <c r="H68" s="576" t="n"/>
      <c r="I68" s="576" t="n"/>
      <c r="J68" s="576" t="n"/>
      <c r="K68" s="576" t="n"/>
      <c r="L68" s="576" t="n"/>
      <c r="M68" s="576" t="n"/>
      <c r="N68" s="576" t="n"/>
    </row>
    <row r="69">
      <c r="A69" s="576" t="n"/>
      <c r="B69" s="577" t="n"/>
      <c r="C69" s="577" t="n"/>
      <c r="D69" s="576" t="n"/>
      <c r="E69" s="576" t="n"/>
      <c r="F69" s="576" t="n"/>
      <c r="G69" s="576" t="n"/>
      <c r="H69" s="576" t="n"/>
      <c r="I69" s="576" t="n"/>
      <c r="J69" s="576" t="n"/>
      <c r="K69" s="576" t="n"/>
      <c r="L69" s="576" t="n"/>
      <c r="M69" s="576" t="n"/>
      <c r="N69" s="576" t="n"/>
    </row>
    <row r="70">
      <c r="A70" s="576" t="n"/>
      <c r="B70" s="577" t="n"/>
      <c r="C70" s="577" t="n"/>
      <c r="D70" s="576" t="n"/>
      <c r="E70" s="576" t="n"/>
      <c r="F70" s="576" t="n"/>
      <c r="G70" s="576" t="n"/>
      <c r="H70" s="576" t="n"/>
      <c r="I70" s="576" t="n"/>
      <c r="J70" s="576" t="n"/>
      <c r="K70" s="576" t="n"/>
      <c r="L70" s="576" t="n"/>
      <c r="M70" s="576" t="n"/>
      <c r="N70" s="576" t="n"/>
    </row>
    <row r="71">
      <c r="A71" s="576" t="n"/>
      <c r="B71" s="577" t="n"/>
      <c r="C71" s="577" t="n"/>
      <c r="D71" s="576" t="n"/>
      <c r="E71" s="576" t="n"/>
      <c r="F71" s="576" t="n"/>
      <c r="G71" s="576" t="n"/>
      <c r="H71" s="576" t="n"/>
      <c r="I71" s="576" t="n"/>
      <c r="J71" s="576" t="n"/>
      <c r="K71" s="576" t="n"/>
      <c r="L71" s="576" t="n"/>
      <c r="M71" s="576" t="n"/>
      <c r="N71" s="576" t="n"/>
    </row>
    <row r="72">
      <c r="A72" s="576" t="n"/>
      <c r="B72" s="577" t="n"/>
      <c r="C72" s="577" t="n"/>
      <c r="D72" s="576" t="n"/>
      <c r="E72" s="576" t="n"/>
      <c r="F72" s="576" t="n"/>
      <c r="G72" s="576" t="n"/>
      <c r="H72" s="576" t="n"/>
      <c r="I72" s="576" t="n"/>
      <c r="J72" s="576" t="n"/>
      <c r="K72" s="576" t="n"/>
      <c r="L72" s="576" t="n"/>
      <c r="M72" s="576" t="n"/>
      <c r="N72" s="576" t="n"/>
    </row>
    <row r="73">
      <c r="A73" s="576" t="n"/>
      <c r="B73" s="577" t="n"/>
      <c r="C73" s="577" t="n"/>
      <c r="D73" s="576" t="n"/>
      <c r="E73" s="576" t="n"/>
      <c r="F73" s="576" t="n"/>
      <c r="G73" s="576" t="n"/>
      <c r="H73" s="576" t="n"/>
      <c r="I73" s="576" t="n"/>
      <c r="J73" s="576" t="n"/>
      <c r="K73" s="576" t="n"/>
      <c r="L73" s="576" t="n"/>
      <c r="M73" s="576" t="n"/>
      <c r="N73" s="576" t="n"/>
    </row>
    <row r="74">
      <c r="A74" s="576" t="n"/>
      <c r="B74" s="577" t="n"/>
      <c r="C74" s="577" t="n"/>
      <c r="D74" s="576" t="n"/>
      <c r="E74" s="576" t="n"/>
      <c r="F74" s="576" t="n"/>
      <c r="G74" s="576" t="n"/>
      <c r="H74" s="576" t="n"/>
      <c r="I74" s="576" t="n"/>
      <c r="J74" s="576" t="n"/>
      <c r="K74" s="576" t="n"/>
      <c r="L74" s="576" t="n"/>
      <c r="M74" s="576" t="n"/>
      <c r="N74" s="576" t="n"/>
    </row>
    <row r="75" ht="15" customHeight="1" s="632" thickBot="1">
      <c r="A75" s="371" t="n"/>
    </row>
    <row r="76">
      <c r="A76" s="63" t="inlineStr">
        <is>
          <t>Line item</t>
        </is>
      </c>
      <c r="B76" s="65" t="inlineStr">
        <is>
          <t>Unit</t>
        </is>
      </c>
      <c r="C76" s="65" t="inlineStr">
        <is>
          <t>FY2026A</t>
        </is>
      </c>
      <c r="D76" s="65" t="inlineStr">
        <is>
          <t>FY2027E</t>
        </is>
      </c>
      <c r="E76" s="65" t="inlineStr">
        <is>
          <t>FY2028E</t>
        </is>
      </c>
      <c r="F76" s="65" t="inlineStr">
        <is>
          <t>FY2029E</t>
        </is>
      </c>
      <c r="G76" s="65" t="inlineStr">
        <is>
          <t>FY2030E</t>
        </is>
      </c>
      <c r="H76" s="65" t="inlineStr">
        <is>
          <t>FY2031E</t>
        </is>
      </c>
      <c r="I76" s="65" t="inlineStr">
        <is>
          <t>FY2032E</t>
        </is>
      </c>
      <c r="J76" s="65" t="inlineStr">
        <is>
          <t>FY2033E</t>
        </is>
      </c>
      <c r="K76" s="65" t="inlineStr">
        <is>
          <t>CAGR</t>
        </is>
      </c>
      <c r="L76" s="409" t="inlineStr">
        <is>
          <t>Source</t>
        </is>
      </c>
      <c r="M76" s="65" t="inlineStr">
        <is>
          <t>Conf.</t>
        </is>
      </c>
      <c r="N76" s="410" t="inlineStr">
        <is>
          <t>Notes / methodology</t>
        </is>
      </c>
      <c r="P76" s="707" t="inlineStr">
        <is>
          <t>Ref</t>
        </is>
      </c>
    </row>
    <row r="77" ht="24" customHeight="1" s="632">
      <c r="A77" s="69" t="inlineStr">
        <is>
          <t>Raw material share of cash cost</t>
        </is>
      </c>
      <c r="B77" s="78" t="inlineStr">
        <is>
          <t>%</t>
        </is>
      </c>
      <c r="C77" s="83" t="n"/>
      <c r="D77" s="904">
        <f>'Model Assumptions'!E$20</f>
        <v/>
      </c>
      <c r="E77" s="904">
        <f>'Model Assumptions'!F$20</f>
        <v/>
      </c>
      <c r="F77" s="904">
        <f>'Model Assumptions'!G$20</f>
        <v/>
      </c>
      <c r="G77" s="904">
        <f>'Model Assumptions'!H$20</f>
        <v/>
      </c>
      <c r="H77" s="904">
        <f>'Model Assumptions'!I$20</f>
        <v/>
      </c>
      <c r="I77" s="904">
        <f>'Model Assumptions'!J$20</f>
        <v/>
      </c>
      <c r="J77" s="904">
        <f>'Model Assumptions'!K$20</f>
        <v/>
      </c>
      <c r="K77" s="83" t="n"/>
      <c r="L77" s="352" t="inlineStr">
        <is>
          <t>Indicative</t>
        </is>
      </c>
      <c r="M77" s="352" t="inlineStr">
        <is>
          <t>Low</t>
        </is>
      </c>
      <c r="N77" s="345" t="inlineStr">
        <is>
          <t>60/40 raw material to conversion. INDICATIVE and unsourced. Plausible range 55-65%; a 5ppt change alters FY2033 EBITDA/t by roughly Rs 600/t.</t>
        </is>
      </c>
      <c r="P77" s="708" t="inlineStr">
        <is>
          <t>CC06</t>
        </is>
      </c>
    </row>
    <row r="78">
      <c r="A78" s="69" t="inlineStr">
        <is>
          <t>Raw material cost index</t>
        </is>
      </c>
      <c r="B78" s="78" t="inlineStr">
        <is>
          <t>x</t>
        </is>
      </c>
      <c r="C78" s="908" t="n">
        <v>1</v>
      </c>
      <c r="D78" s="908">
        <f>'Raw Material Forecast'!D$95</f>
        <v/>
      </c>
      <c r="E78" s="908">
        <f>'Raw Material Forecast'!E$95</f>
        <v/>
      </c>
      <c r="F78" s="908">
        <f>'Raw Material Forecast'!F$95</f>
        <v/>
      </c>
      <c r="G78" s="908">
        <f>'Raw Material Forecast'!G$95</f>
        <v/>
      </c>
      <c r="H78" s="908">
        <f>'Raw Material Forecast'!H$95</f>
        <v/>
      </c>
      <c r="I78" s="908">
        <f>'Raw Material Forecast'!I$95</f>
        <v/>
      </c>
      <c r="J78" s="908">
        <f>'Raw Material Forecast'!J$95</f>
        <v/>
      </c>
      <c r="K78" s="83" t="n"/>
      <c r="L78" s="352" t="inlineStr">
        <is>
          <t>10 Raw Material</t>
        </is>
      </c>
      <c r="M78" s="352" t="inlineStr">
        <is>
          <t>Low</t>
        </is>
      </c>
      <c r="N78" s="68" t="n"/>
      <c r="P78" s="708" t="inlineStr">
        <is>
          <t>CC07</t>
        </is>
      </c>
    </row>
    <row r="79">
      <c r="A79" s="69" t="inlineStr">
        <is>
          <t>Conversion cost index</t>
        </is>
      </c>
      <c r="B79" s="78" t="inlineStr">
        <is>
          <t>x</t>
        </is>
      </c>
      <c r="C79" s="908" t="n">
        <v>1</v>
      </c>
      <c r="D79" s="908">
        <f>'Raw Material Forecast'!D$93</f>
        <v/>
      </c>
      <c r="E79" s="908">
        <f>'Raw Material Forecast'!E$93</f>
        <v/>
      </c>
      <c r="F79" s="908">
        <f>'Raw Material Forecast'!F$93</f>
        <v/>
      </c>
      <c r="G79" s="908">
        <f>'Raw Material Forecast'!G$93</f>
        <v/>
      </c>
      <c r="H79" s="908">
        <f>'Raw Material Forecast'!H$93</f>
        <v/>
      </c>
      <c r="I79" s="908">
        <f>'Raw Material Forecast'!I$93</f>
        <v/>
      </c>
      <c r="J79" s="908">
        <f>'Raw Material Forecast'!J$93</f>
        <v/>
      </c>
      <c r="K79" s="83" t="n"/>
      <c r="L79" s="352" t="inlineStr">
        <is>
          <t>10 Raw Material</t>
        </is>
      </c>
      <c r="M79" s="352" t="inlineStr">
        <is>
          <t>Medium</t>
        </is>
      </c>
      <c r="N79" s="68" t="n"/>
      <c r="P79" s="708" t="inlineStr">
        <is>
          <t>CC08</t>
        </is>
      </c>
    </row>
    <row r="80" ht="36.6" customHeight="1" s="632" thickBot="1">
      <c r="A80" s="102" t="inlineStr">
        <is>
          <t>Industry cash cost per tonne</t>
        </is>
      </c>
      <c r="B80" s="79" t="inlineStr">
        <is>
          <t>Rs/t</t>
        </is>
      </c>
      <c r="C80" s="1071" t="n">
        <v>49241</v>
      </c>
      <c r="D80" s="1071">
        <f>$C$80*(D77*D78+(1-D77)*D79)</f>
        <v/>
      </c>
      <c r="E80" s="1071">
        <f>$C$80*(E77*E78+(1-E77)*E79)</f>
        <v/>
      </c>
      <c r="F80" s="1071">
        <f>$C$80*(F77*F78+(1-F77)*F79)</f>
        <v/>
      </c>
      <c r="G80" s="1071">
        <f>$C$80*(G77*G78+(1-G77)*G79)</f>
        <v/>
      </c>
      <c r="H80" s="1071">
        <f>$C$80*(H77*H78+(1-H77)*H79)</f>
        <v/>
      </c>
      <c r="I80" s="1071">
        <f>$C$80*(I77*I78+(1-I77)*I79)</f>
        <v/>
      </c>
      <c r="J80" s="1071">
        <f>$C$80*(J77*J78+(1-J77)*J79)</f>
        <v/>
      </c>
      <c r="K80" s="910">
        <f>IFERROR(IF(AND(ISNUMBER(C80),ISNUMBER(J80),C80&gt;0),(J80/C80)^(1/7)-1,""),"")</f>
        <v/>
      </c>
      <c r="L80" s="353" t="inlineStr">
        <is>
          <t>Computed - calibrated</t>
        </is>
      </c>
      <c r="M80" s="353" t="inlineStr">
        <is>
          <t>Medium</t>
        </is>
      </c>
      <c r="N80" s="347" t="inlineStr">
        <is>
          <t>FY2026A of Rs 49,241/t is derived from the database. Dispersion across the four majors is only Rs 3,777/t, under 8%, which supports the weighted figure being representative rather than an artefact of one company.</t>
        </is>
      </c>
      <c r="P80" s="708" t="inlineStr">
        <is>
          <t>CC09</t>
        </is>
      </c>
    </row>
    <row r="81"/>
    <row r="82">
      <c r="A82" s="329" t="inlineStr">
        <is>
          <t>PRODUCER COST CURVE - FY2026A ACTUAL AND FORECAST</t>
        </is>
      </c>
    </row>
    <row r="83" ht="15" customHeight="1" s="632" thickBot="1">
      <c r="A83" s="392" t="inlineStr">
        <is>
          <t>Each producer's FY2026 implied cash cost is realisation less reported EBITDA/t. The forecast holds each producer's SPREAD to the industry constant, which assumes relative competitive position is stable - a strong assumption, stated explicitly.</t>
        </is>
      </c>
    </row>
    <row r="84">
      <c r="A84" s="63" t="inlineStr">
        <is>
          <t>Line item</t>
        </is>
      </c>
      <c r="B84" s="65" t="inlineStr">
        <is>
          <t>Unit</t>
        </is>
      </c>
      <c r="C84" s="65" t="inlineStr">
        <is>
          <t>FY2026A</t>
        </is>
      </c>
      <c r="D84" s="65" t="inlineStr">
        <is>
          <t>FY2027E</t>
        </is>
      </c>
      <c r="E84" s="65" t="inlineStr">
        <is>
          <t>FY2028E</t>
        </is>
      </c>
      <c r="F84" s="65" t="inlineStr">
        <is>
          <t>FY2029E</t>
        </is>
      </c>
      <c r="G84" s="65" t="inlineStr">
        <is>
          <t>FY2030E</t>
        </is>
      </c>
      <c r="H84" s="65" t="inlineStr">
        <is>
          <t>FY2031E</t>
        </is>
      </c>
      <c r="I84" s="65" t="inlineStr">
        <is>
          <t>FY2032E</t>
        </is>
      </c>
      <c r="J84" s="65" t="inlineStr">
        <is>
          <t>FY2033E</t>
        </is>
      </c>
      <c r="K84" s="65" t="inlineStr">
        <is>
          <t>CAGR</t>
        </is>
      </c>
      <c r="L84" s="65" t="inlineStr">
        <is>
          <t>Source</t>
        </is>
      </c>
      <c r="M84" s="65" t="inlineStr">
        <is>
          <t>Conf.</t>
        </is>
      </c>
      <c r="N84" s="410" t="inlineStr">
        <is>
          <t>Notes / methodology</t>
        </is>
      </c>
      <c r="P84" s="707" t="inlineStr">
        <is>
          <t>Ref</t>
        </is>
      </c>
    </row>
    <row r="85" ht="24" customHeight="1" s="632">
      <c r="A85" s="69" t="inlineStr">
        <is>
          <t>Tata Steel - cash cost</t>
        </is>
      </c>
      <c r="B85" s="78" t="inlineStr">
        <is>
          <t>Rs/t</t>
        </is>
      </c>
      <c r="C85" s="1022" t="n">
        <v>47060</v>
      </c>
      <c r="D85" s="1022">
        <f>D80+(-2181)</f>
        <v/>
      </c>
      <c r="E85" s="1022">
        <f>E80+(-2181)</f>
        <v/>
      </c>
      <c r="F85" s="1022">
        <f>F80+(-2181)</f>
        <v/>
      </c>
      <c r="G85" s="1022">
        <f>G80+(-2181)</f>
        <v/>
      </c>
      <c r="H85" s="1022">
        <f>H80+(-2181)</f>
        <v/>
      </c>
      <c r="I85" s="1022">
        <f>I80+(-2181)</f>
        <v/>
      </c>
      <c r="J85" s="1022">
        <f>J80+(-2181)</f>
        <v/>
      </c>
      <c r="K85" s="83" t="n"/>
      <c r="L85" s="352" t="inlineStr">
        <is>
          <t>Master DB</t>
        </is>
      </c>
      <c r="M85" s="352" t="inlineStr">
        <is>
          <t>Medium</t>
        </is>
      </c>
      <c r="N85" s="345" t="inlineStr">
        <is>
          <t>FY2026 realisation Rs 62,273/t less reported EBITDA Rs 15,213/t. Spread to industry -2181 Rs/t, held constant in the forecast.</t>
        </is>
      </c>
      <c r="P85" s="708" t="inlineStr">
        <is>
          <t>CC10</t>
        </is>
      </c>
    </row>
    <row r="86" ht="24" customHeight="1" s="632">
      <c r="A86" s="69" t="inlineStr">
        <is>
          <t>SAIL - cash cost</t>
        </is>
      </c>
      <c r="B86" s="78" t="inlineStr">
        <is>
          <t>Rs/t</t>
        </is>
      </c>
      <c r="C86" s="1022" t="n">
        <v>49004</v>
      </c>
      <c r="D86" s="1022">
        <f>D80+(-237)</f>
        <v/>
      </c>
      <c r="E86" s="1022">
        <f>E80+(-237)</f>
        <v/>
      </c>
      <c r="F86" s="1022">
        <f>F80+(-237)</f>
        <v/>
      </c>
      <c r="G86" s="1022">
        <f>G80+(-237)</f>
        <v/>
      </c>
      <c r="H86" s="1022">
        <f>H80+(-237)</f>
        <v/>
      </c>
      <c r="I86" s="1022">
        <f>I80+(-237)</f>
        <v/>
      </c>
      <c r="J86" s="1022">
        <f>J80+(-237)</f>
        <v/>
      </c>
      <c r="K86" s="83" t="n"/>
      <c r="L86" s="352" t="inlineStr">
        <is>
          <t>Master DB</t>
        </is>
      </c>
      <c r="M86" s="352" t="inlineStr">
        <is>
          <t>Medium</t>
        </is>
      </c>
      <c r="N86" s="345" t="inlineStr">
        <is>
          <t>FY2026 realisation Rs 55,600/t less reported EBITDA Rs 6,596/t. Spread to industry -237 Rs/t, held constant in the forecast.</t>
        </is>
      </c>
      <c r="P86" s="708" t="inlineStr">
        <is>
          <t>CC11</t>
        </is>
      </c>
    </row>
    <row r="87" ht="24" customHeight="1" s="632">
      <c r="A87" s="69" t="inlineStr">
        <is>
          <t>JSW Steel - cash cost</t>
        </is>
      </c>
      <c r="B87" s="78" t="inlineStr">
        <is>
          <t>Rs/t</t>
        </is>
      </c>
      <c r="C87" s="1022" t="n">
        <v>50631</v>
      </c>
      <c r="D87" s="1022">
        <f>D80+1390</f>
        <v/>
      </c>
      <c r="E87" s="1022">
        <f>E80+1390</f>
        <v/>
      </c>
      <c r="F87" s="1022">
        <f>F80+1390</f>
        <v/>
      </c>
      <c r="G87" s="1022">
        <f>G80+1390</f>
        <v/>
      </c>
      <c r="H87" s="1022">
        <f>H80+1390</f>
        <v/>
      </c>
      <c r="I87" s="1022">
        <f>I80+1390</f>
        <v/>
      </c>
      <c r="J87" s="1022">
        <f>J80+1390</f>
        <v/>
      </c>
      <c r="K87" s="83" t="n"/>
      <c r="L87" s="352" t="inlineStr">
        <is>
          <t>Master DB</t>
        </is>
      </c>
      <c r="M87" s="352" t="inlineStr">
        <is>
          <t>Medium</t>
        </is>
      </c>
      <c r="N87" s="345" t="inlineStr">
        <is>
          <t>FY2026 realisation Rs 60,798/t less reported EBITDA Rs 10,167/t. Spread to industry +1390 Rs/t, held constant in the forecast.</t>
        </is>
      </c>
      <c r="P87" s="708" t="inlineStr">
        <is>
          <t>CC12</t>
        </is>
      </c>
    </row>
    <row r="88" ht="24.6" customHeight="1" s="632" thickBot="1">
      <c r="A88" s="72" t="inlineStr">
        <is>
          <t>Jindal Steel - cash cost</t>
        </is>
      </c>
      <c r="B88" s="79" t="inlineStr">
        <is>
          <t>Rs/t</t>
        </is>
      </c>
      <c r="C88" s="1072" t="n">
        <v>50837</v>
      </c>
      <c r="D88" s="1072">
        <f>D80+1596</f>
        <v/>
      </c>
      <c r="E88" s="1072">
        <f>E80+1596</f>
        <v/>
      </c>
      <c r="F88" s="1072">
        <f>F80+1596</f>
        <v/>
      </c>
      <c r="G88" s="1072">
        <f>G80+1596</f>
        <v/>
      </c>
      <c r="H88" s="1072">
        <f>H80+1596</f>
        <v/>
      </c>
      <c r="I88" s="1072">
        <f>I80+1596</f>
        <v/>
      </c>
      <c r="J88" s="1072">
        <f>J80+1596</f>
        <v/>
      </c>
      <c r="K88" s="97" t="n"/>
      <c r="L88" s="353" t="inlineStr">
        <is>
          <t>Master DB</t>
        </is>
      </c>
      <c r="M88" s="353" t="inlineStr">
        <is>
          <t>Medium</t>
        </is>
      </c>
      <c r="N88" s="347" t="inlineStr">
        <is>
          <t>FY2026 realisation Rs 61,319/t less reported EBITDA Rs 10,482/t. Spread to industry +1596 Rs/t, held constant in the forecast.</t>
        </is>
      </c>
      <c r="P88" s="708" t="inlineStr">
        <is>
          <t>CC13</t>
        </is>
      </c>
    </row>
    <row r="89"/>
    <row r="90">
      <c r="A90" s="393" t="inlineStr">
        <is>
          <t>Cost-curve position is the primary determinant of who survives a downturn. On FY2026 actuals Tata Steel India sits roughly Rs 2,180/t BELOW the industry weighted cash cost and Jindal Steel roughly Rs 1,600/t above it - a Rs 3,780/t spread between best and worst of the four, equal to about 35% of industry EBITDA per tonne.</t>
        </is>
      </c>
    </row>
  </sheetData>
  <mergeCells count="11">
    <mergeCell ref="A2:F2"/>
    <mergeCell ref="A7:I7"/>
    <mergeCell ref="A36:C36"/>
    <mergeCell ref="A17:G17"/>
    <mergeCell ref="A83:N83"/>
    <mergeCell ref="A54:E54"/>
    <mergeCell ref="A62:D62"/>
    <mergeCell ref="A90:N90"/>
    <mergeCell ref="A82:G82"/>
    <mergeCell ref="A5:N5"/>
    <mergeCell ref="A1:N1"/>
  </mergeCells>
  <hyperlinks>
    <hyperlink ref="I22" location="'Audit Checks'!A405" tooltip="Open the reference register on 25 Audit Checks"/>
    <hyperlink ref="I24" location="'Audit Checks'!A405" tooltip="Open the reference register on 25 Audit Checks"/>
    <hyperlink ref="I25" location="'Audit Checks'!A405" tooltip="Open the reference register on 25 Audit Checks"/>
    <hyperlink ref="I26" location="'Audit Checks'!A405" tooltip="Open the reference register on 25 Audit Checks"/>
    <hyperlink ref="I27" location="'Audit Checks'!A405" tooltip="Open the reference register on 25 Audit Checks"/>
    <hyperlink ref="I28" location="'Audit Checks'!A405" tooltip="Open the reference register on 25 Audit Checks"/>
    <hyperlink ref="I29" location="'Audit Checks'!A405" tooltip="Open the reference register on 25 Audit Checks"/>
    <hyperlink ref="I30" location="'Audit Checks'!A405" tooltip="Open the reference register on 25 Audit Checks"/>
    <hyperlink ref="I31" location="'Audit Checks'!A405" tooltip="Open the reference register on 25 Audit Checks"/>
    <hyperlink ref="I32" location="'Audit Checks'!A405" tooltip="Open the reference register on 25 Audit Checks"/>
    <hyperlink ref="I33" location="'Audit Checks'!A405" tooltip="Open the reference register on 25 Audit Checks"/>
    <hyperlink ref="M38" location="'Audit Checks'!A405" tooltip="Open the reference register on 25 Audit Checks"/>
    <hyperlink ref="M39" location="'Audit Checks'!A405" tooltip="Open the reference register on 25 Audit Checks"/>
    <hyperlink ref="M40" location="'Audit Checks'!A405" tooltip="Open the reference register on 25 Audit Checks"/>
    <hyperlink ref="M41" location="'Audit Checks'!A405" tooltip="Open the reference register on 25 Audit Checks"/>
    <hyperlink ref="M42" location="'Audit Checks'!A405" tooltip="Open the reference register on 25 Audit Checks"/>
    <hyperlink ref="M43" location="'Audit Checks'!A405" tooltip="Open the reference register on 25 Audit Checks"/>
    <hyperlink ref="M44" location="'Audit Checks'!A405" tooltip="Open the reference register on 25 Audit Checks"/>
    <hyperlink ref="M45" location="'Audit Checks'!A405" tooltip="Open the reference register on 25 Audit Checks"/>
    <hyperlink ref="M46" location="'Audit Checks'!A405" tooltip="Open the reference register on 25 Audit Checks"/>
    <hyperlink ref="M47" location="'Audit Checks'!A405" tooltip="Open the reference register on 25 Audit Checks"/>
    <hyperlink ref="M48" location="'Audit Checks'!A405" tooltip="Open the reference register on 25 Audit Checks"/>
    <hyperlink ref="M49" location="'Audit Checks'!A405" tooltip="Open the reference register on 25 Audit Checks"/>
    <hyperlink ref="M50" location="'Audit Checks'!A405" tooltip="Open the reference register on 25 Audit Checks"/>
    <hyperlink ref="M51" location="'Audit Checks'!A405" tooltip="Open the reference register on 25 Audit Checks"/>
    <hyperlink ref="G56" location="'Audit Checks'!A405" tooltip="Open the reference register on 25 Audit Checks"/>
    <hyperlink ref="F64" location="'Audit Checks'!A405" tooltip="Open the reference register on 25 Audit Checks"/>
    <hyperlink ref="P77" location="'Audit Checks'!A405" tooltip="Open the reference register on 25 Audit Checks"/>
    <hyperlink ref="P78" location="'Audit Checks'!A405" tooltip="Open the reference register on 25 Audit Checks"/>
    <hyperlink ref="P79" location="'Audit Checks'!A405" tooltip="Open the reference register on 25 Audit Checks"/>
    <hyperlink ref="P80" location="'Audit Checks'!A405" tooltip="Open the reference register on 25 Audit Checks"/>
    <hyperlink ref="P85" location="'Audit Checks'!A405" tooltip="Open the reference register on 25 Audit Checks"/>
    <hyperlink ref="P86" location="'Audit Checks'!A405" tooltip="Open the reference register on 25 Audit Checks"/>
    <hyperlink ref="P87" location="'Audit Checks'!A405" tooltip="Open the reference register on 25 Audit Checks"/>
    <hyperlink ref="P88" location="'Audit Checks'!A405" tooltip="Open the reference register on 25 Audit Checks"/>
  </hyperlink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codeName="Sheet17">
    <tabColor rgb="FF002060"/>
    <outlinePr summaryBelow="1" summaryRight="1"/>
    <pageSetUpPr/>
  </sheetPr>
  <dimension ref="A1:P119"/>
  <sheetViews>
    <sheetView showGridLines="0" workbookViewId="0">
      <selection activeCell="A7" sqref="A7:I14"/>
    </sheetView>
  </sheetViews>
  <sheetFormatPr baseColWidth="8" defaultRowHeight="14.4"/>
  <cols>
    <col width="24.33203125" customWidth="1" style="690" min="1" max="1"/>
    <col width="11.33203125" customWidth="1" style="129" min="2" max="2"/>
    <col width="10.6640625" customWidth="1" style="129" min="3" max="3"/>
    <col width="12.77734375" customWidth="1" style="129" min="4" max="4"/>
    <col width="10.6640625" customWidth="1" style="129" min="5" max="9"/>
    <col width="7" customWidth="1" style="632" min="6" max="6"/>
    <col width="7" customWidth="1" style="632" min="7" max="7"/>
    <col width="10.33203125" customWidth="1" style="129" min="10" max="11"/>
    <col width="7" customWidth="1" style="632" min="11" max="11"/>
    <col width="10.44140625" customWidth="1" style="690" min="12" max="12"/>
    <col width="6.5546875" bestFit="1" customWidth="1" style="690" min="13" max="13"/>
    <col width="63.44140625" customWidth="1" style="690" min="14" max="14"/>
    <col width="8.88671875" customWidth="1" style="690" min="15" max="16384"/>
    <col width="7" customWidth="1" style="632" min="16" max="16"/>
  </cols>
  <sheetData>
    <row r="1" ht="25.8" customHeight="1" s="632">
      <c r="A1" s="365" t="inlineStr">
        <is>
          <t>REVENUE FORECAST</t>
        </is>
      </c>
    </row>
    <row r="2">
      <c r="A2" s="494" t="inlineStr">
        <is>
          <t>Industry Financial Model  |  Indian Steel Industry  |  Horizon FY2027E-FY2033E  |  Base year FY2026A</t>
        </is>
      </c>
    </row>
    <row r="3">
      <c r="A3" s="415" t="n"/>
    </row>
    <row r="4">
      <c r="A4" s="411" t="inlineStr">
        <is>
          <t>OBJECTIVE</t>
        </is>
      </c>
    </row>
    <row r="5">
      <c r="A5" s="394" t="inlineStr">
        <is>
          <t>Forecast the Indian steel industry's revenue by combining production volumes, product mix, and realized selling prices.</t>
        </is>
      </c>
    </row>
    <row r="6">
      <c r="A6" s="394" t="n"/>
      <c r="B6" s="394" t="n"/>
      <c r="C6" s="394" t="n"/>
      <c r="D6" s="394" t="n"/>
      <c r="E6" s="394" t="n"/>
      <c r="F6" s="394" t="n"/>
      <c r="G6" s="394" t="n"/>
      <c r="H6" s="394" t="n"/>
      <c r="I6" s="394" t="n"/>
      <c r="J6" s="394" t="n"/>
      <c r="K6" s="394" t="n"/>
      <c r="L6" s="394" t="n"/>
      <c r="M6" s="394" t="n"/>
      <c r="N6" s="394" t="n"/>
    </row>
    <row r="7" ht="15.6" customHeight="1" s="632">
      <c r="A7" s="612" t="inlineStr">
        <is>
          <t>Executive Summary</t>
        </is>
      </c>
      <c r="J7" s="394" t="n"/>
      <c r="K7" s="394" t="n"/>
      <c r="L7" s="394" t="n"/>
      <c r="M7" s="394" t="n"/>
      <c r="N7" s="394" t="n"/>
    </row>
    <row r="8">
      <c r="A8" s="506" t="inlineStr">
        <is>
          <t>KPI</t>
        </is>
      </c>
      <c r="B8" s="506" t="inlineStr">
        <is>
          <t>FY26A</t>
        </is>
      </c>
      <c r="C8" s="506" t="inlineStr">
        <is>
          <t>FY27E</t>
        </is>
      </c>
      <c r="D8" s="506" t="inlineStr">
        <is>
          <t>FY28E</t>
        </is>
      </c>
      <c r="E8" s="506" t="inlineStr">
        <is>
          <t>FY29E</t>
        </is>
      </c>
      <c r="F8" s="506" t="inlineStr">
        <is>
          <t>FY30E</t>
        </is>
      </c>
      <c r="G8" s="506" t="inlineStr">
        <is>
          <t>FY31E</t>
        </is>
      </c>
      <c r="H8" s="506" t="inlineStr">
        <is>
          <t>FY32E</t>
        </is>
      </c>
      <c r="I8" s="506" t="inlineStr">
        <is>
          <t>FY33E</t>
        </is>
      </c>
      <c r="J8" s="394" t="n"/>
      <c r="K8" s="707" t="inlineStr">
        <is>
          <t>Ref</t>
        </is>
      </c>
      <c r="L8" s="394" t="n"/>
      <c r="M8" s="394" t="n"/>
      <c r="N8" s="394" t="n"/>
    </row>
    <row r="9">
      <c r="A9" s="670" t="inlineStr">
        <is>
          <t>Sales Volume (Mt)</t>
        </is>
      </c>
      <c r="B9" s="828">
        <f>$C$94</f>
        <v/>
      </c>
      <c r="C9" s="828">
        <f>$D$94</f>
        <v/>
      </c>
      <c r="D9" s="828">
        <f>$E$94</f>
        <v/>
      </c>
      <c r="E9" s="828">
        <f>$F$94</f>
        <v/>
      </c>
      <c r="F9" s="828">
        <f>$G$94</f>
        <v/>
      </c>
      <c r="G9" s="828">
        <f>$H$94</f>
        <v/>
      </c>
      <c r="H9" s="828">
        <f>$I$94</f>
        <v/>
      </c>
      <c r="I9" s="828">
        <f>$J$94</f>
        <v/>
      </c>
      <c r="J9" s="394" t="n"/>
      <c r="K9" s="394" t="n"/>
      <c r="L9" s="394" t="n"/>
      <c r="M9" s="394" t="n"/>
      <c r="N9" s="394" t="n"/>
    </row>
    <row r="10">
      <c r="A10" s="670" t="inlineStr">
        <is>
          <t>Average Selling Price (₹/t)</t>
        </is>
      </c>
      <c r="B10" s="997">
        <f>$C$95</f>
        <v/>
      </c>
      <c r="C10" s="997">
        <f>$D$95</f>
        <v/>
      </c>
      <c r="D10" s="997">
        <f>$E$95</f>
        <v/>
      </c>
      <c r="E10" s="997">
        <f>$F$95</f>
        <v/>
      </c>
      <c r="F10" s="997">
        <f>$G$95</f>
        <v/>
      </c>
      <c r="G10" s="997">
        <f>$H$95</f>
        <v/>
      </c>
      <c r="H10" s="997">
        <f>$I$95</f>
        <v/>
      </c>
      <c r="I10" s="997">
        <f>$J$95</f>
        <v/>
      </c>
      <c r="J10" s="394" t="n"/>
      <c r="K10" s="394" t="n"/>
      <c r="L10" s="394" t="n"/>
      <c r="M10" s="394" t="n"/>
      <c r="N10" s="394" t="n"/>
    </row>
    <row r="11">
      <c r="A11" s="670" t="inlineStr">
        <is>
          <t>Revenue (₹ Cr)</t>
        </is>
      </c>
      <c r="B11" s="1073">
        <f>$C$96</f>
        <v/>
      </c>
      <c r="C11" s="1073">
        <f>$D$96</f>
        <v/>
      </c>
      <c r="D11" s="1073">
        <f>$E$96</f>
        <v/>
      </c>
      <c r="E11" s="1073">
        <f>$F$96</f>
        <v/>
      </c>
      <c r="F11" s="1073">
        <f>$G$96</f>
        <v/>
      </c>
      <c r="G11" s="1073">
        <f>$H$96</f>
        <v/>
      </c>
      <c r="H11" s="1073">
        <f>$I$96</f>
        <v/>
      </c>
      <c r="I11" s="1073">
        <f>$J$96</f>
        <v/>
      </c>
      <c r="J11" s="394" t="n"/>
      <c r="K11" s="394" t="n"/>
      <c r="L11" s="394" t="n"/>
      <c r="M11" s="394" t="n"/>
      <c r="N11" s="394" t="n"/>
    </row>
    <row r="12">
      <c r="A12" s="670" t="inlineStr">
        <is>
          <t>Revenue Growth (%)</t>
        </is>
      </c>
      <c r="B12" s="955" t="n"/>
      <c r="C12" s="954">
        <f>IFERROR(D96/C96-1,"")</f>
        <v/>
      </c>
      <c r="D12" s="954">
        <f>IFERROR(E96/D96-1,"")</f>
        <v/>
      </c>
      <c r="E12" s="954">
        <f>IFERROR(F96/E96-1,"")</f>
        <v/>
      </c>
      <c r="F12" s="954">
        <f>IFERROR(G96/F96-1,"")</f>
        <v/>
      </c>
      <c r="G12" s="954">
        <f>IFERROR(H96/G96-1,"")</f>
        <v/>
      </c>
      <c r="H12" s="954">
        <f>IFERROR(I96/H96-1,"")</f>
        <v/>
      </c>
      <c r="I12" s="954">
        <f>IFERROR(J96/I96-1,"")</f>
        <v/>
      </c>
      <c r="J12" s="394" t="n"/>
      <c r="K12" s="708" t="inlineStr">
        <is>
          <t>RF25</t>
        </is>
      </c>
      <c r="L12" s="394" t="n"/>
      <c r="M12" s="394" t="n"/>
      <c r="N12" s="394" t="n"/>
    </row>
    <row r="13">
      <c r="A13" s="670" t="inlineStr">
        <is>
          <t>Revenue CAGR</t>
        </is>
      </c>
      <c r="B13" s="875">
        <f>$K$96</f>
        <v/>
      </c>
      <c r="C13" s="954">
        <f>IFERROR((D96/$C$96)^(1/1)-1,"")</f>
        <v/>
      </c>
      <c r="D13" s="954">
        <f>IFERROR((E96/$C$96)^(1/2)-1,"")</f>
        <v/>
      </c>
      <c r="E13" s="954">
        <f>IFERROR((F96/$C$96)^(1/3)-1,"")</f>
        <v/>
      </c>
      <c r="F13" s="954">
        <f>IFERROR((G96/$C$96)^(1/4)-1,"")</f>
        <v/>
      </c>
      <c r="G13" s="954">
        <f>IFERROR((H96/$C$96)^(1/5)-1,"")</f>
        <v/>
      </c>
      <c r="H13" s="954">
        <f>IFERROR((I96/$C$96)^(1/6)-1,"")</f>
        <v/>
      </c>
      <c r="I13" s="954">
        <f>IFERROR((J96/$C$96)^(1/7)-1,"")</f>
        <v/>
      </c>
      <c r="J13" s="394" t="n"/>
      <c r="K13" s="394" t="n"/>
      <c r="L13" s="394" t="n"/>
      <c r="M13" s="394" t="n"/>
      <c r="N13" s="394" t="n"/>
    </row>
    <row r="14">
      <c r="A14" s="670" t="inlineStr">
        <is>
          <t>Revenue per Ton (₹/t)</t>
        </is>
      </c>
      <c r="B14" s="1002">
        <f>IFERROR(C96/C94*10,"")</f>
        <v/>
      </c>
      <c r="C14" s="1002">
        <f>IFERROR(D96/D94*10,"")</f>
        <v/>
      </c>
      <c r="D14" s="1002">
        <f>IFERROR(E96/E94*10,"")</f>
        <v/>
      </c>
      <c r="E14" s="1002">
        <f>IFERROR(F96/F94*10,"")</f>
        <v/>
      </c>
      <c r="F14" s="1002">
        <f>IFERROR(G96/G94*10,"")</f>
        <v/>
      </c>
      <c r="G14" s="1002">
        <f>IFERROR(H96/H94*10,"")</f>
        <v/>
      </c>
      <c r="H14" s="1002">
        <f>IFERROR(I96/I94*10,"")</f>
        <v/>
      </c>
      <c r="I14" s="1002">
        <f>IFERROR(J96/J94*10,"")</f>
        <v/>
      </c>
      <c r="J14" s="394" t="n"/>
      <c r="K14" s="394" t="n"/>
      <c r="L14" s="394" t="n"/>
      <c r="M14" s="394" t="n"/>
      <c r="N14" s="394" t="n"/>
    </row>
    <row r="15">
      <c r="A15" s="394" t="n"/>
      <c r="B15" s="394" t="n"/>
      <c r="C15" s="394" t="n"/>
      <c r="D15" s="394" t="n"/>
      <c r="E15" s="394" t="n"/>
      <c r="F15" s="394" t="n"/>
      <c r="G15" s="394" t="n"/>
      <c r="H15" s="394" t="n"/>
      <c r="I15" s="394" t="n"/>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ht="15.6" customHeight="1" s="632">
      <c r="A17" s="612" t="inlineStr">
        <is>
          <t>Revenue Build Up</t>
        </is>
      </c>
      <c r="J17" s="394" t="n"/>
      <c r="K17" s="394" t="n"/>
      <c r="L17" s="394" t="n"/>
      <c r="M17" s="394" t="n"/>
      <c r="N17" s="394" t="n"/>
    </row>
    <row r="18">
      <c r="A18" s="669" t="inlineStr">
        <is>
          <t>KPI  /  Year</t>
        </is>
      </c>
      <c r="B18" s="506" t="inlineStr">
        <is>
          <t>FY26A</t>
        </is>
      </c>
      <c r="C18" s="506" t="inlineStr">
        <is>
          <t>FY27E</t>
        </is>
      </c>
      <c r="D18" s="506" t="inlineStr">
        <is>
          <t>FY28E</t>
        </is>
      </c>
      <c r="E18" s="506" t="inlineStr">
        <is>
          <t>FY29E</t>
        </is>
      </c>
      <c r="F18" s="506" t="inlineStr">
        <is>
          <t>FY30E</t>
        </is>
      </c>
      <c r="G18" s="506" t="inlineStr">
        <is>
          <t>FY31E</t>
        </is>
      </c>
      <c r="H18" s="506" t="inlineStr">
        <is>
          <t>FY32E</t>
        </is>
      </c>
      <c r="I18" s="506" t="inlineStr">
        <is>
          <t>FY33E</t>
        </is>
      </c>
      <c r="J18" s="394" t="n"/>
      <c r="K18" s="707" t="inlineStr">
        <is>
          <t>Ref</t>
        </is>
      </c>
      <c r="L18" s="394" t="n"/>
      <c r="M18" s="394" t="n"/>
      <c r="N18" s="394" t="n"/>
    </row>
    <row r="19">
      <c r="A19" s="670" t="inlineStr">
        <is>
          <t>Sales Volume (Mt)</t>
        </is>
      </c>
      <c r="B19" s="828">
        <f>$C$94</f>
        <v/>
      </c>
      <c r="C19" s="828">
        <f>$D$94</f>
        <v/>
      </c>
      <c r="D19" s="828">
        <f>$E$94</f>
        <v/>
      </c>
      <c r="E19" s="828">
        <f>$F$94</f>
        <v/>
      </c>
      <c r="F19" s="828">
        <f>$G$94</f>
        <v/>
      </c>
      <c r="G19" s="1074">
        <f>$H$94</f>
        <v/>
      </c>
      <c r="H19" s="1074">
        <f>$I$94</f>
        <v/>
      </c>
      <c r="I19" s="1074">
        <f>$J$94</f>
        <v/>
      </c>
      <c r="J19" s="394" t="n"/>
      <c r="K19" s="394" t="n"/>
      <c r="L19" s="394" t="n"/>
      <c r="M19" s="394" t="n"/>
      <c r="N19" s="394" t="n"/>
    </row>
    <row r="20">
      <c r="A20" s="670" t="inlineStr">
        <is>
          <t>ASP (₹/t)</t>
        </is>
      </c>
      <c r="B20" s="997">
        <f>$C$95</f>
        <v/>
      </c>
      <c r="C20" s="997">
        <f>$D$95</f>
        <v/>
      </c>
      <c r="D20" s="997">
        <f>$E$95</f>
        <v/>
      </c>
      <c r="E20" s="997">
        <f>$F$95</f>
        <v/>
      </c>
      <c r="F20" s="997">
        <f>$G$95</f>
        <v/>
      </c>
      <c r="G20" s="1075">
        <f>$H$95</f>
        <v/>
      </c>
      <c r="H20" s="1075">
        <f>$I$95</f>
        <v/>
      </c>
      <c r="I20" s="1075">
        <f>$J$95</f>
        <v/>
      </c>
      <c r="J20" s="394" t="n"/>
      <c r="K20" s="394" t="n"/>
      <c r="L20" s="394" t="n"/>
      <c r="M20" s="394" t="n"/>
      <c r="N20" s="394" t="n"/>
    </row>
    <row r="21">
      <c r="A21" s="670" t="inlineStr">
        <is>
          <t>Gross Revenue (₹ Cr)</t>
        </is>
      </c>
      <c r="B21" s="1073">
        <f>$C$96</f>
        <v/>
      </c>
      <c r="C21" s="1073">
        <f>$D$96</f>
        <v/>
      </c>
      <c r="D21" s="1073">
        <f>$E$96</f>
        <v/>
      </c>
      <c r="E21" s="1073">
        <f>$F$96</f>
        <v/>
      </c>
      <c r="F21" s="1073">
        <f>$G$96</f>
        <v/>
      </c>
      <c r="G21" s="1076">
        <f>$H$96</f>
        <v/>
      </c>
      <c r="H21" s="1076">
        <f>$I$96</f>
        <v/>
      </c>
      <c r="I21" s="1076">
        <f>$J$96</f>
        <v/>
      </c>
      <c r="J21" s="394" t="n"/>
      <c r="K21" s="394" t="n"/>
      <c r="L21" s="394" t="n"/>
      <c r="M21" s="394" t="n"/>
      <c r="N21" s="394" t="n"/>
    </row>
    <row r="22">
      <c r="A22" s="670" t="inlineStr">
        <is>
          <t>Discounts</t>
        </is>
      </c>
      <c r="B22" s="1077" t="n">
        <v>0</v>
      </c>
      <c r="C22" s="1077" t="n">
        <v>0</v>
      </c>
      <c r="D22" s="1077" t="n">
        <v>0</v>
      </c>
      <c r="E22" s="1077" t="n">
        <v>0</v>
      </c>
      <c r="F22" s="1077" t="n">
        <v>0</v>
      </c>
      <c r="G22" s="1078" t="n">
        <v>0</v>
      </c>
      <c r="H22" s="1078" t="n">
        <v>0</v>
      </c>
      <c r="I22" s="1078" t="n">
        <v>0</v>
      </c>
      <c r="J22" s="394" t="n"/>
      <c r="K22" s="708" t="inlineStr">
        <is>
          <t>RF01</t>
        </is>
      </c>
      <c r="L22" s="394" t="n"/>
      <c r="M22" s="394" t="n"/>
      <c r="N22" s="394" t="n"/>
    </row>
    <row r="23">
      <c r="A23" s="670" t="inlineStr">
        <is>
          <t>Net Revenue (₹ Cr)</t>
        </is>
      </c>
      <c r="B23" s="1079">
        <f>B21-B22</f>
        <v/>
      </c>
      <c r="C23" s="1079">
        <f>C21-C22</f>
        <v/>
      </c>
      <c r="D23" s="1079">
        <f>D21-D22</f>
        <v/>
      </c>
      <c r="E23" s="1079">
        <f>E21-E22</f>
        <v/>
      </c>
      <c r="F23" s="1079">
        <f>F21-F22</f>
        <v/>
      </c>
      <c r="G23" s="1080">
        <f>G21-G22</f>
        <v/>
      </c>
      <c r="H23" s="1080">
        <f>H21-H22</f>
        <v/>
      </c>
      <c r="I23" s="1080">
        <f>I21-I22</f>
        <v/>
      </c>
      <c r="J23" s="394" t="n"/>
      <c r="K23" s="394" t="n"/>
      <c r="L23" s="394" t="n"/>
      <c r="M23" s="394" t="n"/>
      <c r="N23" s="394" t="n"/>
    </row>
    <row r="24">
      <c r="A24" s="683" t="n"/>
      <c r="B24" s="596" t="n"/>
      <c r="C24" s="596" t="n"/>
      <c r="D24" s="596" t="n"/>
      <c r="E24" s="596" t="n"/>
      <c r="F24" s="596" t="n"/>
      <c r="G24" s="394" t="n"/>
      <c r="H24" s="394" t="n"/>
      <c r="I24" s="394" t="n"/>
      <c r="J24" s="394" t="n"/>
      <c r="K24" s="394" t="n"/>
      <c r="L24" s="394" t="n"/>
      <c r="M24" s="394" t="n"/>
      <c r="N24" s="394" t="n"/>
    </row>
    <row r="25">
      <c r="A25" s="683" t="n"/>
      <c r="B25" s="596" t="n"/>
      <c r="C25" s="596" t="n"/>
      <c r="D25" s="596" t="n"/>
      <c r="E25" s="596" t="n"/>
      <c r="F25" s="596" t="n"/>
      <c r="G25" s="394" t="n"/>
      <c r="H25" s="394" t="n"/>
      <c r="I25" s="394" t="n"/>
      <c r="J25" s="394" t="n"/>
      <c r="K25" s="394" t="n"/>
      <c r="L25" s="394" t="n"/>
      <c r="M25" s="394" t="n"/>
      <c r="N25" s="394" t="n"/>
    </row>
    <row r="26" ht="15.6" customHeight="1" s="632">
      <c r="A26" s="612" t="inlineStr">
        <is>
          <t>Revenue Bridge</t>
        </is>
      </c>
      <c r="J26" s="394" t="n"/>
      <c r="K26" s="394" t="n"/>
      <c r="L26" s="394" t="n"/>
      <c r="M26" s="394" t="n"/>
      <c r="N26" s="394" t="n"/>
    </row>
    <row r="27">
      <c r="A27" s="669" t="inlineStr">
        <is>
          <t>Driver</t>
        </is>
      </c>
      <c r="B27" s="669" t="inlineStr">
        <is>
          <t>FY27E</t>
        </is>
      </c>
      <c r="C27" s="669" t="inlineStr">
        <is>
          <t>FY28E</t>
        </is>
      </c>
      <c r="D27" s="669" t="inlineStr">
        <is>
          <t>FY29E</t>
        </is>
      </c>
      <c r="E27" s="669" t="inlineStr">
        <is>
          <t>FY30E</t>
        </is>
      </c>
      <c r="F27" s="669" t="inlineStr">
        <is>
          <t>FY31E</t>
        </is>
      </c>
      <c r="G27" s="669" t="inlineStr">
        <is>
          <t>FY32E</t>
        </is>
      </c>
      <c r="H27" s="669" t="inlineStr">
        <is>
          <t>FY33E</t>
        </is>
      </c>
      <c r="I27" s="394" t="n"/>
      <c r="J27" s="707" t="inlineStr">
        <is>
          <t>Ref</t>
        </is>
      </c>
      <c r="K27" s="394" t="n"/>
      <c r="L27" s="394" t="n"/>
      <c r="M27" s="394" t="n"/>
      <c r="N27" s="394" t="n"/>
    </row>
    <row r="28">
      <c r="A28" s="670" t="inlineStr">
        <is>
          <t>Previous Revenue</t>
        </is>
      </c>
      <c r="B28" s="1079">
        <f>$C$96</f>
        <v/>
      </c>
      <c r="C28" s="1079">
        <f>$D$96</f>
        <v/>
      </c>
      <c r="D28" s="1079">
        <f>$E$96</f>
        <v/>
      </c>
      <c r="E28" s="1079">
        <f>$F$96</f>
        <v/>
      </c>
      <c r="F28" s="1079">
        <f>$G$96</f>
        <v/>
      </c>
      <c r="G28" s="1079">
        <f>$H$96</f>
        <v/>
      </c>
      <c r="H28" s="1079">
        <f>$I$96</f>
        <v/>
      </c>
      <c r="I28" s="394" t="n"/>
      <c r="J28" s="394" t="n"/>
      <c r="K28" s="394" t="n"/>
      <c r="L28" s="394" t="n"/>
      <c r="M28" s="394" t="n"/>
      <c r="N28" s="394" t="n"/>
    </row>
    <row r="29">
      <c r="A29" s="670" t="inlineStr">
        <is>
          <t>Volume Effect</t>
        </is>
      </c>
      <c r="B29" s="1079">
        <f>(D94-C94)*C95/10</f>
        <v/>
      </c>
      <c r="C29" s="1079">
        <f>(E94-D94)*D95/10</f>
        <v/>
      </c>
      <c r="D29" s="1079">
        <f>(F94-E94)*E95/10</f>
        <v/>
      </c>
      <c r="E29" s="1079">
        <f>(G94-F94)*F95/10</f>
        <v/>
      </c>
      <c r="F29" s="1079">
        <f>(H94-G94)*G95/10</f>
        <v/>
      </c>
      <c r="G29" s="1079">
        <f>(I94-H94)*H95/10</f>
        <v/>
      </c>
      <c r="H29" s="1079">
        <f>(J94-I94)*I95/10</f>
        <v/>
      </c>
      <c r="I29" s="394" t="n"/>
      <c r="J29" s="394" t="n"/>
      <c r="K29" s="394" t="n"/>
      <c r="L29" s="394" t="n"/>
      <c r="M29" s="394" t="n"/>
      <c r="N29" s="394" t="n"/>
    </row>
    <row r="30">
      <c r="A30" s="670" t="inlineStr">
        <is>
          <t>Price Effect</t>
        </is>
      </c>
      <c r="B30" s="1079">
        <f>D94*(D95-C95)/10</f>
        <v/>
      </c>
      <c r="C30" s="1079">
        <f>E94*(E95-D95)/10</f>
        <v/>
      </c>
      <c r="D30" s="1079">
        <f>F94*(F95-E95)/10</f>
        <v/>
      </c>
      <c r="E30" s="1079">
        <f>G94*(G95-F95)/10</f>
        <v/>
      </c>
      <c r="F30" s="1079">
        <f>H94*(H95-G95)/10</f>
        <v/>
      </c>
      <c r="G30" s="1079">
        <f>I94*(I95-H95)/10</f>
        <v/>
      </c>
      <c r="H30" s="1079">
        <f>J94*(J95-I95)/10</f>
        <v/>
      </c>
      <c r="I30" s="394" t="n"/>
      <c r="J30" s="394" t="n"/>
      <c r="K30" s="394" t="n"/>
      <c r="L30" s="394" t="n"/>
      <c r="M30" s="394" t="n"/>
      <c r="N30" s="394" t="n"/>
    </row>
    <row r="31">
      <c r="A31" s="670" t="inlineStr">
        <is>
          <t>Product Mix Effect</t>
        </is>
      </c>
      <c r="B31" s="1077" t="n">
        <v>0</v>
      </c>
      <c r="C31" s="1077" t="n">
        <v>0</v>
      </c>
      <c r="D31" s="1077" t="n">
        <v>0</v>
      </c>
      <c r="E31" s="1077" t="n">
        <v>0</v>
      </c>
      <c r="F31" s="1077" t="n">
        <v>0</v>
      </c>
      <c r="G31" s="1077" t="n">
        <v>0</v>
      </c>
      <c r="H31" s="1077" t="n">
        <v>0</v>
      </c>
      <c r="I31" s="394" t="n"/>
      <c r="J31" s="708" t="inlineStr">
        <is>
          <t>RF03</t>
        </is>
      </c>
      <c r="K31" s="394" t="n"/>
      <c r="L31" s="394" t="n"/>
      <c r="M31" s="394" t="n"/>
      <c r="N31" s="394" t="n"/>
    </row>
    <row r="32">
      <c r="A32" s="670" t="inlineStr">
        <is>
          <t>Export Mix Effect</t>
        </is>
      </c>
      <c r="B32" s="1077" t="n">
        <v>0</v>
      </c>
      <c r="C32" s="1077" t="n">
        <v>0</v>
      </c>
      <c r="D32" s="1077" t="n">
        <v>0</v>
      </c>
      <c r="E32" s="1077" t="n">
        <v>0</v>
      </c>
      <c r="F32" s="1077" t="n">
        <v>0</v>
      </c>
      <c r="G32" s="1077" t="n">
        <v>0</v>
      </c>
      <c r="H32" s="1077" t="n">
        <v>0</v>
      </c>
      <c r="I32" s="394" t="n"/>
      <c r="J32" s="394" t="n"/>
      <c r="K32" s="394" t="n"/>
      <c r="L32" s="394" t="n"/>
      <c r="M32" s="394" t="n"/>
      <c r="N32" s="394" t="n"/>
    </row>
    <row r="33">
      <c r="A33" s="670" t="inlineStr">
        <is>
          <t>Currency Effect</t>
        </is>
      </c>
      <c r="B33" s="1077" t="n">
        <v>0</v>
      </c>
      <c r="C33" s="1077" t="n">
        <v>0</v>
      </c>
      <c r="D33" s="1077" t="n">
        <v>0</v>
      </c>
      <c r="E33" s="1077" t="n">
        <v>0</v>
      </c>
      <c r="F33" s="1077" t="n">
        <v>0</v>
      </c>
      <c r="G33" s="1077" t="n">
        <v>0</v>
      </c>
      <c r="H33" s="1077" t="n">
        <v>0</v>
      </c>
      <c r="I33" s="394" t="n"/>
      <c r="J33" s="394" t="n"/>
      <c r="K33" s="394" t="n"/>
      <c r="L33" s="394" t="n"/>
      <c r="M33" s="394" t="n"/>
      <c r="N33" s="394" t="n"/>
    </row>
    <row r="34">
      <c r="A34" s="670" t="inlineStr">
        <is>
          <t>Net Revenue</t>
        </is>
      </c>
      <c r="B34" s="1073">
        <f>$D$96</f>
        <v/>
      </c>
      <c r="C34" s="1073">
        <f>$E$96</f>
        <v/>
      </c>
      <c r="D34" s="1073">
        <f>$F$96</f>
        <v/>
      </c>
      <c r="E34" s="1073">
        <f>$G$96</f>
        <v/>
      </c>
      <c r="F34" s="1073">
        <f>$H$96</f>
        <v/>
      </c>
      <c r="G34" s="1073">
        <f>$I$96</f>
        <v/>
      </c>
      <c r="H34" s="1073">
        <f>$J$96</f>
        <v/>
      </c>
      <c r="I34" s="394" t="n"/>
      <c r="J34" s="708" t="inlineStr">
        <is>
          <t>RF02</t>
        </is>
      </c>
      <c r="K34" s="394" t="n"/>
      <c r="L34" s="394" t="n"/>
      <c r="M34" s="394" t="n"/>
      <c r="N34" s="394" t="n"/>
    </row>
    <row r="35">
      <c r="A35" s="683" t="n"/>
      <c r="B35" s="596" t="n"/>
      <c r="C35" s="596" t="n"/>
      <c r="D35" s="596" t="n"/>
      <c r="E35" s="596" t="n"/>
      <c r="F35" s="596" t="n"/>
      <c r="G35" s="394" t="n"/>
      <c r="H35" s="394" t="n"/>
      <c r="I35" s="394" t="n"/>
      <c r="J35" s="394" t="n"/>
      <c r="K35" s="394" t="n"/>
      <c r="L35" s="394" t="n"/>
      <c r="M35" s="394" t="n"/>
      <c r="N35" s="394" t="n"/>
    </row>
    <row r="36">
      <c r="A36" s="683" t="n"/>
      <c r="B36" s="596" t="n"/>
      <c r="C36" s="596" t="n"/>
      <c r="D36" s="596" t="n"/>
      <c r="E36" s="596" t="n"/>
      <c r="F36" s="596" t="n"/>
      <c r="G36" s="394" t="n"/>
      <c r="H36" s="394" t="n"/>
      <c r="I36" s="394" t="n"/>
      <c r="J36" s="394" t="n"/>
      <c r="K36" s="394" t="n"/>
      <c r="L36" s="394" t="n"/>
      <c r="M36" s="394" t="n"/>
      <c r="N36" s="394" t="n"/>
    </row>
    <row r="37" ht="15.6" customHeight="1" s="632">
      <c r="A37" s="608" t="inlineStr">
        <is>
          <t>Product Wise Revenue</t>
        </is>
      </c>
      <c r="B37" s="699" t="n"/>
      <c r="C37" s="699" t="n"/>
      <c r="D37" s="699" t="n"/>
      <c r="E37" s="699" t="n"/>
      <c r="F37" s="612" t="n"/>
      <c r="G37" s="612" t="n"/>
      <c r="H37" s="612" t="n"/>
      <c r="I37" s="612" t="n"/>
      <c r="J37" s="394" t="n"/>
      <c r="K37" s="394" t="n"/>
      <c r="L37" s="394" t="n"/>
      <c r="M37" s="394" t="n"/>
      <c r="N37" s="394" t="n"/>
    </row>
    <row r="38">
      <c r="A38" s="669" t="inlineStr">
        <is>
          <t>Product</t>
        </is>
      </c>
      <c r="B38" s="669" t="inlineStr">
        <is>
          <t>Volume (Mt)</t>
        </is>
      </c>
      <c r="C38" s="669" t="inlineStr">
        <is>
          <t>ASP (₹/t)</t>
        </is>
      </c>
      <c r="D38" s="669" t="inlineStr">
        <is>
          <t>Revenue (₹ Cr)</t>
        </is>
      </c>
      <c r="E38" s="669" t="inlineStr">
        <is>
          <t>% Share</t>
        </is>
      </c>
      <c r="F38" s="596" t="n"/>
      <c r="G38" s="707" t="inlineStr">
        <is>
          <t>Ref</t>
        </is>
      </c>
      <c r="H38" s="394" t="n"/>
      <c r="I38" s="394" t="n"/>
      <c r="J38" s="394" t="n"/>
      <c r="K38" s="394" t="n"/>
      <c r="L38" s="394" t="n"/>
      <c r="M38" s="394" t="n"/>
      <c r="N38" s="394" t="n"/>
    </row>
    <row r="39">
      <c r="A39" s="670" t="inlineStr">
        <is>
          <t>HRC</t>
        </is>
      </c>
      <c r="B39" s="955" t="n"/>
      <c r="C39" s="955" t="n"/>
      <c r="D39" s="955" t="n"/>
      <c r="E39" s="955" t="n"/>
      <c r="F39" s="596" t="n"/>
      <c r="G39" s="708" t="inlineStr">
        <is>
          <t>RF26</t>
        </is>
      </c>
      <c r="H39" s="394" t="n"/>
      <c r="I39" s="394" t="n"/>
      <c r="J39" s="394" t="n"/>
      <c r="K39" s="394" t="n"/>
      <c r="L39" s="394" t="n"/>
      <c r="M39" s="394" t="n"/>
      <c r="N39" s="394" t="n"/>
    </row>
    <row r="40">
      <c r="A40" s="670" t="inlineStr">
        <is>
          <t>CRC</t>
        </is>
      </c>
      <c r="B40" s="955" t="n"/>
      <c r="C40" s="955" t="n"/>
      <c r="D40" s="955" t="n"/>
      <c r="E40" s="955" t="n"/>
      <c r="F40" s="596" t="n"/>
      <c r="G40" s="708" t="inlineStr">
        <is>
          <t>RF26</t>
        </is>
      </c>
      <c r="H40" s="394" t="n"/>
      <c r="I40" s="394" t="n"/>
      <c r="J40" s="394" t="n"/>
      <c r="K40" s="394" t="n"/>
      <c r="L40" s="394" t="n"/>
      <c r="M40" s="394" t="n"/>
      <c r="N40" s="394" t="n"/>
    </row>
    <row r="41">
      <c r="A41" s="670" t="inlineStr">
        <is>
          <t>Rebar</t>
        </is>
      </c>
      <c r="B41" s="955" t="n"/>
      <c r="C41" s="955" t="n"/>
      <c r="D41" s="955" t="n"/>
      <c r="E41" s="955" t="n"/>
      <c r="F41" s="596" t="n"/>
      <c r="G41" s="708" t="inlineStr">
        <is>
          <t>RF26</t>
        </is>
      </c>
      <c r="H41" s="394" t="n"/>
      <c r="I41" s="394" t="n"/>
      <c r="J41" s="394" t="n"/>
      <c r="K41" s="394" t="n"/>
      <c r="L41" s="394" t="n"/>
      <c r="M41" s="394" t="n"/>
      <c r="N41" s="394" t="n"/>
    </row>
    <row r="42">
      <c r="A42" s="670" t="inlineStr">
        <is>
          <t>Wire Rod</t>
        </is>
      </c>
      <c r="B42" s="955" t="n"/>
      <c r="C42" s="955" t="n"/>
      <c r="D42" s="955" t="n"/>
      <c r="E42" s="955" t="n"/>
      <c r="F42" s="596" t="n"/>
      <c r="G42" s="708" t="inlineStr">
        <is>
          <t>RF26</t>
        </is>
      </c>
      <c r="H42" s="394" t="n"/>
      <c r="I42" s="394" t="n"/>
      <c r="J42" s="394" t="n"/>
      <c r="K42" s="394" t="n"/>
      <c r="L42" s="394" t="n"/>
      <c r="M42" s="394" t="n"/>
      <c r="N42" s="394" t="n"/>
    </row>
    <row r="43">
      <c r="A43" s="670" t="inlineStr">
        <is>
          <t>Plates</t>
        </is>
      </c>
      <c r="B43" s="955" t="n"/>
      <c r="C43" s="955" t="n"/>
      <c r="D43" s="955" t="n"/>
      <c r="E43" s="955" t="n"/>
      <c r="F43" s="596" t="n"/>
      <c r="G43" s="708" t="inlineStr">
        <is>
          <t>RF26</t>
        </is>
      </c>
      <c r="H43" s="394" t="n"/>
      <c r="I43" s="394" t="n"/>
      <c r="J43" s="394" t="n"/>
      <c r="K43" s="394" t="n"/>
      <c r="L43" s="394" t="n"/>
      <c r="M43" s="394" t="n"/>
      <c r="N43" s="394" t="n"/>
    </row>
    <row r="44">
      <c r="A44" s="670" t="inlineStr">
        <is>
          <t>Structural Steel</t>
        </is>
      </c>
      <c r="B44" s="955" t="n"/>
      <c r="C44" s="955" t="n"/>
      <c r="D44" s="955" t="n"/>
      <c r="E44" s="955" t="n"/>
      <c r="F44" s="596" t="n"/>
      <c r="G44" s="708" t="inlineStr">
        <is>
          <t>RF26</t>
        </is>
      </c>
      <c r="H44" s="394" t="n"/>
      <c r="I44" s="394" t="n"/>
      <c r="J44" s="394" t="n"/>
      <c r="K44" s="394" t="n"/>
      <c r="L44" s="394" t="n"/>
      <c r="M44" s="394" t="n"/>
      <c r="N44" s="394" t="n"/>
    </row>
    <row r="45">
      <c r="A45" s="670" t="inlineStr">
        <is>
          <t>Stainless Steel</t>
        </is>
      </c>
      <c r="B45" s="955" t="n"/>
      <c r="C45" s="955" t="n"/>
      <c r="D45" s="955" t="n"/>
      <c r="E45" s="955" t="n"/>
      <c r="F45" s="596" t="n"/>
      <c r="G45" s="708" t="inlineStr">
        <is>
          <t>RF26</t>
        </is>
      </c>
      <c r="H45" s="394" t="n"/>
      <c r="I45" s="394" t="n"/>
      <c r="J45" s="394" t="n"/>
      <c r="K45" s="394" t="n"/>
      <c r="L45" s="394" t="n"/>
      <c r="M45" s="394" t="n"/>
      <c r="N45" s="394" t="n"/>
    </row>
    <row r="46">
      <c r="A46" s="670" t="inlineStr">
        <is>
          <t>Others</t>
        </is>
      </c>
      <c r="B46" s="955" t="n"/>
      <c r="C46" s="955" t="n"/>
      <c r="D46" s="955" t="n"/>
      <c r="E46" s="955" t="n"/>
      <c r="F46" s="596" t="n"/>
      <c r="G46" s="708" t="inlineStr">
        <is>
          <t>RF26</t>
        </is>
      </c>
      <c r="H46" s="394" t="n"/>
      <c r="I46" s="394" t="n"/>
      <c r="J46" s="394" t="n"/>
      <c r="K46" s="394" t="n"/>
      <c r="L46" s="394" t="n"/>
      <c r="M46" s="394" t="n"/>
      <c r="N46" s="394" t="n"/>
    </row>
    <row r="47">
      <c r="A47" s="489" t="inlineStr">
        <is>
          <t>Total</t>
        </is>
      </c>
      <c r="B47" s="828">
        <f>$C$94</f>
        <v/>
      </c>
      <c r="C47" s="997">
        <f>$C$95</f>
        <v/>
      </c>
      <c r="D47" s="1073">
        <f>$C$96</f>
        <v/>
      </c>
      <c r="E47" s="1081">
        <f>IF(COUNT(D39:D46)=0,1,SUM(E39:E46))</f>
        <v/>
      </c>
      <c r="F47" s="596" t="n"/>
      <c r="G47" s="394" t="n"/>
      <c r="H47" s="394" t="n"/>
      <c r="I47" s="394" t="n"/>
      <c r="J47" s="394" t="n"/>
      <c r="K47" s="394" t="n"/>
      <c r="L47" s="394" t="n"/>
      <c r="M47" s="394" t="n"/>
      <c r="N47" s="394" t="n"/>
    </row>
    <row r="48">
      <c r="A48" s="683" t="n"/>
      <c r="B48" s="596" t="n"/>
      <c r="C48" s="596" t="n"/>
      <c r="D48" s="596" t="n"/>
      <c r="E48" s="596" t="n"/>
      <c r="F48" s="596" t="n"/>
      <c r="G48" s="394" t="n"/>
      <c r="H48" s="394" t="n"/>
      <c r="I48" s="394" t="n"/>
      <c r="J48" s="394" t="n"/>
      <c r="K48" s="394" t="n"/>
      <c r="L48" s="394" t="n"/>
      <c r="M48" s="394" t="n"/>
      <c r="N48" s="394" t="n"/>
    </row>
    <row r="49">
      <c r="A49" s="683" t="n"/>
      <c r="B49" s="596" t="n"/>
      <c r="C49" s="596" t="n"/>
      <c r="D49" s="596" t="n"/>
      <c r="E49" s="596" t="n"/>
      <c r="F49" s="596" t="n"/>
      <c r="G49" s="394" t="n"/>
      <c r="H49" s="394" t="n"/>
      <c r="I49" s="394" t="n"/>
      <c r="J49" s="394" t="n"/>
      <c r="K49" s="394" t="n"/>
      <c r="L49" s="394" t="n"/>
      <c r="M49" s="394" t="n"/>
      <c r="N49" s="394" t="n"/>
    </row>
    <row r="50" ht="15.6" customHeight="1" s="632">
      <c r="A50" s="612" t="inlineStr">
        <is>
          <t>Domestic vs Export Revenue</t>
        </is>
      </c>
      <c r="F50" s="596" t="n"/>
      <c r="G50" s="394" t="n"/>
      <c r="H50" s="394" t="n"/>
      <c r="I50" s="394" t="n"/>
      <c r="J50" s="394" t="n"/>
      <c r="K50" s="394" t="n"/>
      <c r="L50" s="394" t="n"/>
      <c r="M50" s="394" t="n"/>
      <c r="N50" s="394" t="n"/>
    </row>
    <row r="51">
      <c r="A51" s="669" t="inlineStr">
        <is>
          <t>Year</t>
        </is>
      </c>
      <c r="B51" s="669" t="inlineStr">
        <is>
          <t>Domestic</t>
        </is>
      </c>
      <c r="C51" s="669" t="inlineStr">
        <is>
          <t>Export</t>
        </is>
      </c>
      <c r="D51" s="669" t="inlineStr">
        <is>
          <t>Total</t>
        </is>
      </c>
      <c r="E51" s="669" t="inlineStr">
        <is>
          <t>Export %</t>
        </is>
      </c>
      <c r="F51" s="596" t="n"/>
      <c r="G51" s="707" t="inlineStr">
        <is>
          <t>Ref</t>
        </is>
      </c>
      <c r="H51" s="394" t="n"/>
      <c r="I51" s="394" t="n"/>
      <c r="J51" s="394" t="n"/>
      <c r="K51" s="394" t="n"/>
      <c r="L51" s="394" t="n"/>
      <c r="M51" s="394" t="n"/>
      <c r="N51" s="394" t="n"/>
    </row>
    <row r="52">
      <c r="A52" s="670" t="inlineStr">
        <is>
          <t>FY26A</t>
        </is>
      </c>
      <c r="B52" s="1079">
        <f>D52-C52</f>
        <v/>
      </c>
      <c r="C52" s="1079">
        <f>'Trade Model'!C78*C95/10</f>
        <v/>
      </c>
      <c r="D52" s="1073">
        <f>$C$96</f>
        <v/>
      </c>
      <c r="E52" s="954">
        <f>IFERROR(C52/D52,"")</f>
        <v/>
      </c>
      <c r="F52" s="596" t="n"/>
      <c r="G52" s="394" t="n"/>
      <c r="H52" s="394" t="n"/>
      <c r="I52" s="394" t="n"/>
      <c r="J52" s="394" t="n"/>
      <c r="K52" s="394" t="n"/>
      <c r="L52" s="394" t="n"/>
      <c r="M52" s="394" t="n"/>
      <c r="N52" s="394" t="n"/>
    </row>
    <row r="53">
      <c r="A53" s="670" t="inlineStr">
        <is>
          <t>FY27E</t>
        </is>
      </c>
      <c r="B53" s="1079">
        <f>D53-C53</f>
        <v/>
      </c>
      <c r="C53" s="1079">
        <f>'Trade Model'!D78*D95/10</f>
        <v/>
      </c>
      <c r="D53" s="1073">
        <f>$D$96</f>
        <v/>
      </c>
      <c r="E53" s="954">
        <f>IFERROR(C53/D53,"")</f>
        <v/>
      </c>
      <c r="F53" s="596" t="n"/>
      <c r="G53" s="394" t="n"/>
      <c r="H53" s="394" t="n"/>
      <c r="I53" s="394" t="n"/>
      <c r="J53" s="394" t="n"/>
      <c r="K53" s="394" t="n"/>
      <c r="L53" s="394" t="n"/>
      <c r="M53" s="394" t="n"/>
      <c r="N53" s="394" t="n"/>
    </row>
    <row r="54">
      <c r="A54" s="670" t="inlineStr">
        <is>
          <t>FY28E</t>
        </is>
      </c>
      <c r="B54" s="1079">
        <f>D54-C54</f>
        <v/>
      </c>
      <c r="C54" s="1079">
        <f>'Trade Model'!E78*E95/10</f>
        <v/>
      </c>
      <c r="D54" s="1073">
        <f>$E$96</f>
        <v/>
      </c>
      <c r="E54" s="954">
        <f>IFERROR(C54/D54,"")</f>
        <v/>
      </c>
      <c r="F54" s="596" t="n"/>
      <c r="G54" s="394" t="n"/>
      <c r="H54" s="394" t="n"/>
      <c r="I54" s="394" t="n"/>
      <c r="J54" s="394" t="n"/>
      <c r="K54" s="394" t="n"/>
      <c r="L54" s="394" t="n"/>
      <c r="M54" s="394" t="n"/>
      <c r="N54" s="394" t="n"/>
    </row>
    <row r="55">
      <c r="A55" s="670" t="inlineStr">
        <is>
          <t>FY29E</t>
        </is>
      </c>
      <c r="B55" s="1079">
        <f>D55-C55</f>
        <v/>
      </c>
      <c r="C55" s="1079">
        <f>'Trade Model'!F78*F95/10</f>
        <v/>
      </c>
      <c r="D55" s="1073">
        <f>$F$96</f>
        <v/>
      </c>
      <c r="E55" s="954">
        <f>IFERROR(C55/D55,"")</f>
        <v/>
      </c>
      <c r="F55" s="596" t="n"/>
      <c r="G55" s="394" t="n"/>
      <c r="H55" s="394" t="n"/>
      <c r="I55" s="394" t="n"/>
      <c r="J55" s="394" t="n"/>
      <c r="K55" s="394" t="n"/>
      <c r="L55" s="394" t="n"/>
      <c r="M55" s="394" t="n"/>
      <c r="N55" s="394" t="n"/>
    </row>
    <row r="56">
      <c r="A56" s="670" t="inlineStr">
        <is>
          <t>FY30E</t>
        </is>
      </c>
      <c r="B56" s="1079">
        <f>D56-C56</f>
        <v/>
      </c>
      <c r="C56" s="1079">
        <f>'Trade Model'!G78*G95/10</f>
        <v/>
      </c>
      <c r="D56" s="1073">
        <f>$G$96</f>
        <v/>
      </c>
      <c r="E56" s="954">
        <f>IFERROR(C56/D56,"")</f>
        <v/>
      </c>
      <c r="F56" s="596" t="n"/>
      <c r="G56" s="394" t="n"/>
      <c r="H56" s="394" t="n"/>
      <c r="I56" s="394" t="n"/>
      <c r="J56" s="394" t="n"/>
      <c r="K56" s="394" t="n"/>
      <c r="L56" s="394" t="n"/>
      <c r="M56" s="394" t="n"/>
      <c r="N56" s="394" t="n"/>
    </row>
    <row r="57">
      <c r="A57" s="670" t="inlineStr">
        <is>
          <t>FY31E</t>
        </is>
      </c>
      <c r="B57" s="1079">
        <f>D57-C57</f>
        <v/>
      </c>
      <c r="C57" s="1079">
        <f>'Trade Model'!H78*H95/10</f>
        <v/>
      </c>
      <c r="D57" s="1073">
        <f>$H$96</f>
        <v/>
      </c>
      <c r="E57" s="954">
        <f>IFERROR(C57/D57,"")</f>
        <v/>
      </c>
      <c r="F57" s="596" t="n"/>
      <c r="G57" s="394" t="n"/>
      <c r="H57" s="394" t="n"/>
      <c r="I57" s="394" t="n"/>
      <c r="J57" s="394" t="n"/>
      <c r="K57" s="394" t="n"/>
      <c r="L57" s="394" t="n"/>
      <c r="M57" s="394" t="n"/>
      <c r="N57" s="394" t="n"/>
    </row>
    <row r="58">
      <c r="A58" s="670" t="inlineStr">
        <is>
          <t>FY32E</t>
        </is>
      </c>
      <c r="B58" s="1079">
        <f>D58-C58</f>
        <v/>
      </c>
      <c r="C58" s="1079">
        <f>'Trade Model'!I78*I95/10</f>
        <v/>
      </c>
      <c r="D58" s="1073">
        <f>$I$96</f>
        <v/>
      </c>
      <c r="E58" s="954">
        <f>IFERROR(C58/D58,"")</f>
        <v/>
      </c>
      <c r="F58" s="596" t="n"/>
      <c r="G58" s="394" t="n"/>
      <c r="H58" s="394" t="n"/>
      <c r="I58" s="394" t="n"/>
      <c r="J58" s="394" t="n"/>
      <c r="K58" s="394" t="n"/>
      <c r="L58" s="394" t="n"/>
      <c r="M58" s="394" t="n"/>
      <c r="N58" s="394" t="n"/>
    </row>
    <row r="59">
      <c r="A59" s="670" t="inlineStr">
        <is>
          <t>FY33E</t>
        </is>
      </c>
      <c r="B59" s="1079">
        <f>D59-C59</f>
        <v/>
      </c>
      <c r="C59" s="1079">
        <f>'Trade Model'!J78*J95/10</f>
        <v/>
      </c>
      <c r="D59" s="1073">
        <f>$J$96</f>
        <v/>
      </c>
      <c r="E59" s="954">
        <f>IFERROR(C59/D59,"")</f>
        <v/>
      </c>
      <c r="F59" s="596" t="n"/>
      <c r="G59" s="708" t="inlineStr">
        <is>
          <t>RF04</t>
        </is>
      </c>
      <c r="H59" s="394" t="n"/>
      <c r="I59" s="394" t="n"/>
      <c r="J59" s="394" t="n"/>
      <c r="K59" s="394" t="n"/>
      <c r="L59" s="394" t="n"/>
      <c r="M59" s="394" t="n"/>
      <c r="N59" s="394" t="n"/>
    </row>
    <row r="60">
      <c r="A60" s="683" t="n"/>
      <c r="B60" s="596" t="n"/>
      <c r="C60" s="596" t="n"/>
      <c r="D60" s="596" t="n"/>
      <c r="E60" s="596" t="n"/>
      <c r="F60" s="596" t="n"/>
      <c r="G60" s="394" t="n"/>
      <c r="H60" s="394" t="n"/>
      <c r="I60" s="394" t="n"/>
      <c r="J60" s="394" t="n"/>
      <c r="K60" s="394" t="n"/>
      <c r="L60" s="394" t="n"/>
      <c r="M60" s="394" t="n"/>
      <c r="N60" s="394" t="n"/>
    </row>
    <row r="61">
      <c r="A61" s="683" t="n"/>
      <c r="B61" s="596" t="n"/>
      <c r="C61" s="596" t="n"/>
      <c r="D61" s="596" t="n"/>
      <c r="E61" s="596" t="n"/>
      <c r="F61" s="596" t="n"/>
      <c r="G61" s="394" t="n"/>
      <c r="H61" s="394" t="n"/>
      <c r="I61" s="394" t="n"/>
      <c r="J61" s="394" t="n"/>
      <c r="K61" s="394" t="n"/>
      <c r="L61" s="394" t="n"/>
      <c r="M61" s="394" t="n"/>
      <c r="N61" s="394" t="n"/>
    </row>
    <row r="62" ht="14.4" customHeight="1" s="632">
      <c r="A62" s="612" t="inlineStr">
        <is>
          <t>Company Revenue Benchmark</t>
        </is>
      </c>
      <c r="E62" s="596" t="n"/>
      <c r="F62" s="596" t="n"/>
      <c r="G62" s="394" t="n"/>
      <c r="H62" s="394" t="n"/>
      <c r="I62" s="394" t="n"/>
      <c r="J62" s="394" t="n"/>
      <c r="K62" s="394" t="n"/>
      <c r="L62" s="394" t="n"/>
      <c r="M62" s="394" t="n"/>
      <c r="N62" s="394" t="n"/>
    </row>
    <row r="63">
      <c r="A63" s="669" t="inlineStr">
        <is>
          <t>Company</t>
        </is>
      </c>
      <c r="B63" s="669" t="inlineStr">
        <is>
          <t>Revenue</t>
        </is>
      </c>
      <c r="C63" s="669" t="inlineStr">
        <is>
          <t>Volume</t>
        </is>
      </c>
      <c r="D63" s="669" t="inlineStr">
        <is>
          <t>ASP</t>
        </is>
      </c>
      <c r="E63" s="596" t="n"/>
      <c r="F63" s="707" t="inlineStr">
        <is>
          <t>Ref</t>
        </is>
      </c>
      <c r="G63" s="394" t="n"/>
      <c r="H63" s="394" t="n"/>
      <c r="I63" s="394" t="n"/>
      <c r="J63" s="394" t="n"/>
      <c r="K63" s="394" t="n"/>
      <c r="L63" s="394" t="n"/>
      <c r="M63" s="394" t="n"/>
      <c r="N63" s="394" t="n"/>
    </row>
    <row r="64">
      <c r="A64" s="670" t="inlineStr">
        <is>
          <t>Tata Steel</t>
        </is>
      </c>
      <c r="B64" s="1073">
        <f>$C$111</f>
        <v/>
      </c>
      <c r="C64" s="828">
        <f>$C$101</f>
        <v/>
      </c>
      <c r="D64" s="1002">
        <f>IFERROR(B64/C64*10,"")</f>
        <v/>
      </c>
      <c r="E64" s="596" t="n"/>
      <c r="F64" s="708" t="inlineStr">
        <is>
          <t>RF05</t>
        </is>
      </c>
      <c r="G64" s="394" t="n"/>
      <c r="H64" s="394" t="n"/>
      <c r="I64" s="394" t="n"/>
      <c r="J64" s="394" t="n"/>
      <c r="K64" s="394" t="n"/>
      <c r="L64" s="394" t="n"/>
      <c r="M64" s="394" t="n"/>
      <c r="N64" s="394" t="n"/>
    </row>
    <row r="65">
      <c r="A65" s="670" t="inlineStr">
        <is>
          <t>JSW Steel</t>
        </is>
      </c>
      <c r="B65" s="1073">
        <f>$C$112</f>
        <v/>
      </c>
      <c r="C65" s="828">
        <f>$C$102</f>
        <v/>
      </c>
      <c r="D65" s="1002">
        <f>IFERROR(B65/C65*10,"")</f>
        <v/>
      </c>
      <c r="E65" s="596" t="n"/>
      <c r="F65" s="596" t="n"/>
      <c r="G65" s="394" t="n"/>
      <c r="H65" s="394" t="n"/>
      <c r="I65" s="394" t="n"/>
      <c r="J65" s="394" t="n"/>
      <c r="K65" s="394" t="n"/>
      <c r="L65" s="394" t="n"/>
      <c r="M65" s="394" t="n"/>
      <c r="N65" s="394" t="n"/>
    </row>
    <row r="66">
      <c r="A66" s="670" t="inlineStr">
        <is>
          <t>SAIL</t>
        </is>
      </c>
      <c r="B66" s="1073">
        <f>$C$113</f>
        <v/>
      </c>
      <c r="C66" s="828">
        <f>$C$103</f>
        <v/>
      </c>
      <c r="D66" s="1002">
        <f>IFERROR(B66/C66*10,"")</f>
        <v/>
      </c>
      <c r="E66" s="596" t="n"/>
      <c r="F66" s="596" t="n"/>
      <c r="G66" s="394" t="n"/>
      <c r="H66" s="394" t="n"/>
      <c r="I66" s="394" t="n"/>
      <c r="J66" s="394" t="n"/>
      <c r="K66" s="394" t="n"/>
      <c r="L66" s="394" t="n"/>
      <c r="M66" s="394" t="n"/>
      <c r="N66" s="394" t="n"/>
    </row>
    <row r="67">
      <c r="A67" s="670" t="inlineStr">
        <is>
          <t>Jindal Steel</t>
        </is>
      </c>
      <c r="B67" s="1073">
        <f>$C$114</f>
        <v/>
      </c>
      <c r="C67" s="828">
        <f>$C$104</f>
        <v/>
      </c>
      <c r="D67" s="1002">
        <f>IFERROR(B67/C67*10,"")</f>
        <v/>
      </c>
      <c r="E67" s="596" t="n"/>
      <c r="F67" s="596" t="n"/>
      <c r="G67" s="394" t="n"/>
      <c r="H67" s="394" t="n"/>
      <c r="I67" s="394" t="n"/>
      <c r="J67" s="394" t="n"/>
      <c r="K67" s="394" t="n"/>
      <c r="L67" s="394" t="n"/>
      <c r="M67" s="394" t="n"/>
      <c r="N67" s="394" t="n"/>
    </row>
    <row r="68">
      <c r="A68" s="670" t="inlineStr">
        <is>
          <t>Others</t>
        </is>
      </c>
      <c r="B68" s="1079">
        <f>$C$96-SUM(B64:B67)</f>
        <v/>
      </c>
      <c r="C68" s="895">
        <f>$C$94-SUM(C64:C67)</f>
        <v/>
      </c>
      <c r="D68" s="1002">
        <f>IFERROR(B68/C68*10,"")</f>
        <v/>
      </c>
      <c r="E68" s="596" t="n"/>
      <c r="F68" s="596" t="n"/>
      <c r="G68" s="394" t="n"/>
      <c r="H68" s="394" t="n"/>
      <c r="I68" s="394" t="n"/>
      <c r="J68" s="394" t="n"/>
      <c r="K68" s="394" t="n"/>
      <c r="L68" s="394" t="n"/>
      <c r="M68" s="394" t="n"/>
      <c r="N68" s="394" t="n"/>
    </row>
    <row r="69">
      <c r="A69" s="683" t="n"/>
      <c r="B69" s="596" t="n"/>
      <c r="C69" s="596" t="n"/>
      <c r="D69" s="596" t="n"/>
      <c r="E69" s="596" t="n"/>
      <c r="F69" s="596" t="n"/>
      <c r="G69" s="394" t="n"/>
      <c r="H69" s="394" t="n"/>
      <c r="I69" s="394" t="n"/>
      <c r="J69" s="394" t="n"/>
      <c r="K69" s="394" t="n"/>
      <c r="L69" s="394" t="n"/>
      <c r="M69" s="394" t="n"/>
      <c r="N69" s="394" t="n"/>
    </row>
    <row r="70">
      <c r="A70" s="683" t="n"/>
      <c r="B70" s="596" t="n"/>
      <c r="C70" s="596" t="n"/>
      <c r="D70" s="596" t="n"/>
      <c r="E70" s="596" t="n"/>
      <c r="F70" s="596" t="n"/>
      <c r="G70" s="394" t="n"/>
      <c r="H70" s="394" t="n"/>
      <c r="I70" s="394" t="n"/>
      <c r="J70" s="394" t="n"/>
      <c r="K70" s="394" t="n"/>
      <c r="L70" s="394" t="n"/>
      <c r="M70" s="394" t="n"/>
      <c r="N70" s="394" t="n"/>
    </row>
    <row r="71" ht="15.6" customHeight="1" s="632">
      <c r="A71" s="612" t="inlineStr">
        <is>
          <t>Revenue Drivers</t>
        </is>
      </c>
      <c r="E71" s="596" t="n"/>
      <c r="F71" s="596" t="n"/>
      <c r="G71" s="394" t="n"/>
      <c r="H71" s="394" t="n"/>
      <c r="I71" s="394" t="n"/>
      <c r="J71" s="394" t="n"/>
      <c r="K71" s="394" t="n"/>
      <c r="L71" s="394" t="n"/>
      <c r="M71" s="394" t="n"/>
      <c r="N71" s="394" t="n"/>
    </row>
    <row r="72">
      <c r="A72" s="669" t="inlineStr">
        <is>
          <t>Driver</t>
        </is>
      </c>
      <c r="B72" s="669" t="inlineStr">
        <is>
          <t>Contribution</t>
        </is>
      </c>
      <c r="C72" s="596" t="n"/>
      <c r="D72" s="707" t="inlineStr">
        <is>
          <t>Ref</t>
        </is>
      </c>
      <c r="E72" s="596" t="n"/>
      <c r="F72" s="596" t="n"/>
      <c r="G72" s="394" t="n"/>
      <c r="H72" s="394" t="n"/>
      <c r="I72" s="394" t="n"/>
      <c r="J72" s="394" t="n"/>
      <c r="K72" s="394" t="n"/>
      <c r="L72" s="394" t="n"/>
      <c r="M72" s="394" t="n"/>
      <c r="N72" s="394" t="n"/>
    </row>
    <row r="73">
      <c r="A73" s="670" t="inlineStr">
        <is>
          <t>Volume Growth</t>
        </is>
      </c>
      <c r="B73" s="954">
        <f>IFERROR(SUM($B$29:$H$29)/($J$96-$C$96),"")</f>
        <v/>
      </c>
      <c r="C73" s="596" t="n"/>
      <c r="D73" s="708" t="inlineStr">
        <is>
          <t>RF06</t>
        </is>
      </c>
      <c r="E73" s="596" t="n"/>
      <c r="F73" s="596" t="n"/>
      <c r="G73" s="394" t="n"/>
      <c r="H73" s="394" t="n"/>
      <c r="I73" s="394" t="n"/>
      <c r="J73" s="394" t="n"/>
      <c r="K73" s="394" t="n"/>
      <c r="L73" s="394" t="n"/>
      <c r="M73" s="394" t="n"/>
      <c r="N73" s="394" t="n"/>
    </row>
    <row r="74">
      <c r="A74" s="670" t="inlineStr">
        <is>
          <t>Price Growth</t>
        </is>
      </c>
      <c r="B74" s="954">
        <f>IFERROR(SUM($B$30:$H$30)/($J$96-$C$96),"")</f>
        <v/>
      </c>
      <c r="C74" s="596" t="n"/>
      <c r="D74" s="596" t="n"/>
      <c r="E74" s="596" t="n"/>
      <c r="F74" s="596" t="n"/>
      <c r="G74" s="394" t="n"/>
      <c r="H74" s="394" t="n"/>
      <c r="I74" s="394" t="n"/>
      <c r="J74" s="394" t="n"/>
      <c r="K74" s="394" t="n"/>
      <c r="L74" s="394" t="n"/>
      <c r="M74" s="394" t="n"/>
      <c r="N74" s="394" t="n"/>
    </row>
    <row r="75">
      <c r="A75" s="670" t="inlineStr">
        <is>
          <t>Product Mix</t>
        </is>
      </c>
      <c r="B75" s="954">
        <f>IFERROR(SUM($B$31:$H$31)/($J$96-$C$96),"")</f>
        <v/>
      </c>
      <c r="C75" s="596" t="n"/>
      <c r="D75" s="596" t="n"/>
      <c r="E75" s="596" t="n"/>
      <c r="F75" s="596" t="n"/>
      <c r="G75" s="394" t="n"/>
      <c r="H75" s="394" t="n"/>
      <c r="I75" s="394" t="n"/>
      <c r="J75" s="394" t="n"/>
      <c r="K75" s="394" t="n"/>
      <c r="L75" s="394" t="n"/>
      <c r="M75" s="394" t="n"/>
      <c r="N75" s="394" t="n"/>
    </row>
    <row r="76">
      <c r="A76" s="670" t="inlineStr">
        <is>
          <t>Export Mix</t>
        </is>
      </c>
      <c r="B76" s="954">
        <f>IFERROR(SUM($B$32:$H$32)/($J$96-$C$96),"")</f>
        <v/>
      </c>
      <c r="C76" s="596" t="n"/>
      <c r="D76" s="596" t="n"/>
      <c r="E76" s="596" t="n"/>
      <c r="F76" s="596" t="n"/>
      <c r="G76" s="394" t="n"/>
      <c r="H76" s="394" t="n"/>
      <c r="I76" s="394" t="n"/>
      <c r="J76" s="394" t="n"/>
      <c r="K76" s="394" t="n"/>
      <c r="L76" s="394" t="n"/>
      <c r="M76" s="394" t="n"/>
      <c r="N76" s="394" t="n"/>
    </row>
    <row r="77">
      <c r="A77" s="670" t="inlineStr">
        <is>
          <t>Currency</t>
        </is>
      </c>
      <c r="B77" s="954">
        <f>IFERROR(SUM($B$33:$H$33)/($J$96-$C$96),"")</f>
        <v/>
      </c>
      <c r="C77" s="596" t="n"/>
      <c r="D77" s="596" t="n"/>
      <c r="E77" s="596" t="n"/>
      <c r="F77" s="596" t="n"/>
      <c r="G77" s="394" t="n"/>
      <c r="H77" s="394" t="n"/>
      <c r="I77" s="394" t="n"/>
      <c r="J77" s="394" t="n"/>
      <c r="K77" s="394" t="n"/>
      <c r="L77" s="394" t="n"/>
      <c r="M77" s="394" t="n"/>
      <c r="N77" s="394" t="n"/>
    </row>
    <row r="78">
      <c r="A78" s="670" t="inlineStr">
        <is>
          <t>Others</t>
        </is>
      </c>
      <c r="B78" s="954">
        <f>1-SUM(B73:B77)</f>
        <v/>
      </c>
      <c r="C78" s="596" t="n"/>
      <c r="D78" s="596" t="n"/>
      <c r="E78" s="596" t="n"/>
      <c r="F78" s="596" t="n"/>
      <c r="G78" s="394" t="n"/>
      <c r="H78" s="394" t="n"/>
      <c r="I78" s="394" t="n"/>
      <c r="J78" s="394" t="n"/>
      <c r="K78" s="394" t="n"/>
      <c r="L78" s="394" t="n"/>
      <c r="M78" s="394" t="n"/>
      <c r="N78" s="394" t="n"/>
    </row>
    <row r="79">
      <c r="A79" s="394" t="n"/>
      <c r="B79" s="394" t="n"/>
      <c r="C79" s="394" t="n"/>
      <c r="D79" s="394" t="n"/>
      <c r="E79" s="394" t="n"/>
      <c r="F79" s="394" t="n"/>
      <c r="G79" s="394" t="n"/>
      <c r="H79" s="394" t="n"/>
      <c r="I79" s="394" t="n"/>
      <c r="J79" s="394" t="n"/>
      <c r="K79" s="394" t="n"/>
      <c r="L79" s="394" t="n"/>
      <c r="M79" s="394" t="n"/>
      <c r="N79" s="394" t="n"/>
    </row>
    <row r="80">
      <c r="A80" s="394" t="n"/>
      <c r="B80" s="394" t="n"/>
      <c r="C80" s="394" t="n"/>
      <c r="D80" s="394" t="n"/>
      <c r="E80" s="394" t="n"/>
      <c r="F80" s="394" t="n"/>
      <c r="G80" s="394" t="n"/>
      <c r="H80" s="394" t="n"/>
      <c r="I80" s="394" t="n"/>
      <c r="J80" s="394" t="n"/>
      <c r="K80" s="394" t="n"/>
      <c r="L80" s="394" t="n"/>
      <c r="M80" s="394" t="n"/>
      <c r="N80" s="394" t="n"/>
    </row>
    <row r="81" ht="15.6" customHeight="1" s="632">
      <c r="A81" s="612" t="inlineStr">
        <is>
          <t>Scenario Analysis</t>
        </is>
      </c>
      <c r="E81" s="394" t="n"/>
      <c r="F81" s="394" t="n"/>
      <c r="G81" s="394" t="n"/>
      <c r="H81" s="394" t="n"/>
      <c r="I81" s="394" t="n"/>
      <c r="J81" s="394" t="n"/>
      <c r="K81" s="394" t="n"/>
      <c r="L81" s="394" t="n"/>
      <c r="M81" s="394" t="n"/>
      <c r="N81" s="394" t="n"/>
    </row>
    <row r="82">
      <c r="A82" s="669" t="inlineStr">
        <is>
          <t>Year</t>
        </is>
      </c>
      <c r="B82" s="669" t="inlineStr">
        <is>
          <t>Base</t>
        </is>
      </c>
      <c r="C82" s="669" t="inlineStr">
        <is>
          <t>Bull</t>
        </is>
      </c>
      <c r="D82" s="669" t="inlineStr">
        <is>
          <t>Bear</t>
        </is>
      </c>
      <c r="E82" s="669" t="inlineStr">
        <is>
          <t>Stress</t>
        </is>
      </c>
      <c r="F82" s="394" t="n"/>
      <c r="G82" s="707" t="inlineStr">
        <is>
          <t>Ref</t>
        </is>
      </c>
      <c r="H82" s="394" t="n"/>
      <c r="I82" s="394" t="n"/>
      <c r="J82" s="394" t="n"/>
      <c r="K82" s="394" t="n"/>
      <c r="L82" s="394" t="n"/>
      <c r="M82" s="394" t="n"/>
      <c r="N82" s="394" t="n"/>
    </row>
    <row r="83">
      <c r="A83" s="670" t="inlineStr">
        <is>
          <t>FY27</t>
        </is>
      </c>
      <c r="B83" s="1073">
        <f>'Scenario Manager'!$D$130</f>
        <v/>
      </c>
      <c r="C83" s="1073">
        <f>'Scenario Manager'!$D$206</f>
        <v/>
      </c>
      <c r="D83" s="1073">
        <f>'Scenario Manager'!$D$282</f>
        <v/>
      </c>
      <c r="E83" s="1073">
        <f>'Scenario Manager'!$D$358</f>
        <v/>
      </c>
      <c r="F83" s="394" t="n"/>
      <c r="G83" s="394" t="n"/>
      <c r="H83" s="394" t="n"/>
      <c r="I83" s="394" t="n"/>
      <c r="J83" s="394" t="n"/>
      <c r="K83" s="394" t="n"/>
      <c r="L83" s="394" t="n"/>
      <c r="M83" s="394" t="n"/>
      <c r="N83" s="394" t="n"/>
    </row>
    <row r="84">
      <c r="A84" s="670" t="inlineStr">
        <is>
          <t>FY28</t>
        </is>
      </c>
      <c r="B84" s="1073">
        <f>'Scenario Manager'!$E$130</f>
        <v/>
      </c>
      <c r="C84" s="1073">
        <f>'Scenario Manager'!$E$206</f>
        <v/>
      </c>
      <c r="D84" s="1073">
        <f>'Scenario Manager'!$E$282</f>
        <v/>
      </c>
      <c r="E84" s="1073">
        <f>'Scenario Manager'!$E$358</f>
        <v/>
      </c>
      <c r="F84" s="394" t="n"/>
      <c r="G84" s="394" t="n"/>
      <c r="H84" s="394" t="n"/>
      <c r="I84" s="394" t="n"/>
      <c r="J84" s="394" t="n"/>
      <c r="K84" s="394" t="n"/>
      <c r="L84" s="394" t="n"/>
      <c r="M84" s="394" t="n"/>
      <c r="N84" s="394" t="n"/>
    </row>
    <row r="85">
      <c r="A85" s="670" t="inlineStr">
        <is>
          <t>FY29</t>
        </is>
      </c>
      <c r="B85" s="1073">
        <f>'Scenario Manager'!$F$130</f>
        <v/>
      </c>
      <c r="C85" s="1073">
        <f>'Scenario Manager'!$F$206</f>
        <v/>
      </c>
      <c r="D85" s="1073">
        <f>'Scenario Manager'!$F$282</f>
        <v/>
      </c>
      <c r="E85" s="1073">
        <f>'Scenario Manager'!$F$358</f>
        <v/>
      </c>
      <c r="F85" s="394" t="n"/>
      <c r="G85" s="394" t="n"/>
      <c r="H85" s="394" t="n"/>
      <c r="I85" s="394" t="n"/>
      <c r="J85" s="394" t="n"/>
      <c r="K85" s="394" t="n"/>
      <c r="L85" s="394" t="n"/>
      <c r="M85" s="394" t="n"/>
      <c r="N85" s="394" t="n"/>
    </row>
    <row r="86">
      <c r="A86" s="670" t="inlineStr">
        <is>
          <t>FY30</t>
        </is>
      </c>
      <c r="B86" s="1073">
        <f>'Scenario Manager'!$G$130</f>
        <v/>
      </c>
      <c r="C86" s="1073">
        <f>'Scenario Manager'!$G$206</f>
        <v/>
      </c>
      <c r="D86" s="1073">
        <f>'Scenario Manager'!$G$282</f>
        <v/>
      </c>
      <c r="E86" s="1073">
        <f>'Scenario Manager'!$G$358</f>
        <v/>
      </c>
      <c r="F86" s="394" t="n"/>
      <c r="G86" s="394" t="n"/>
      <c r="H86" s="394" t="n"/>
      <c r="I86" s="394" t="n"/>
      <c r="J86" s="394" t="n"/>
      <c r="K86" s="394" t="n"/>
      <c r="L86" s="394" t="n"/>
      <c r="M86" s="394" t="n"/>
      <c r="N86" s="394" t="n"/>
    </row>
    <row r="87">
      <c r="A87" s="670" t="inlineStr">
        <is>
          <t>FY31</t>
        </is>
      </c>
      <c r="B87" s="1073">
        <f>'Scenario Manager'!$H$130</f>
        <v/>
      </c>
      <c r="C87" s="1073">
        <f>'Scenario Manager'!$H$206</f>
        <v/>
      </c>
      <c r="D87" s="1073">
        <f>'Scenario Manager'!$H$282</f>
        <v/>
      </c>
      <c r="E87" s="1073">
        <f>'Scenario Manager'!$H$358</f>
        <v/>
      </c>
      <c r="F87" s="394" t="n"/>
      <c r="G87" s="394" t="n"/>
      <c r="H87" s="394" t="n"/>
      <c r="I87" s="394" t="n"/>
      <c r="J87" s="394" t="n"/>
      <c r="K87" s="394" t="n"/>
      <c r="L87" s="394" t="n"/>
      <c r="M87" s="394" t="n"/>
      <c r="N87" s="394" t="n"/>
    </row>
    <row r="88">
      <c r="A88" s="670" t="inlineStr">
        <is>
          <t>FY32</t>
        </is>
      </c>
      <c r="B88" s="1073">
        <f>'Scenario Manager'!$I$130</f>
        <v/>
      </c>
      <c r="C88" s="1073">
        <f>'Scenario Manager'!$I$206</f>
        <v/>
      </c>
      <c r="D88" s="1073">
        <f>'Scenario Manager'!$I$282</f>
        <v/>
      </c>
      <c r="E88" s="1073">
        <f>'Scenario Manager'!$I$358</f>
        <v/>
      </c>
      <c r="F88" s="394" t="n"/>
      <c r="G88" s="394" t="n"/>
      <c r="H88" s="394" t="n"/>
      <c r="I88" s="394" t="n"/>
      <c r="J88" s="394" t="n"/>
      <c r="K88" s="394" t="n"/>
      <c r="L88" s="394" t="n"/>
      <c r="M88" s="394" t="n"/>
      <c r="N88" s="394" t="n"/>
    </row>
    <row r="89">
      <c r="A89" s="670" t="inlineStr">
        <is>
          <t>FY33</t>
        </is>
      </c>
      <c r="B89" s="1073">
        <f>'Scenario Manager'!$J$130</f>
        <v/>
      </c>
      <c r="C89" s="1073">
        <f>'Scenario Manager'!$J$206</f>
        <v/>
      </c>
      <c r="D89" s="1073">
        <f>'Scenario Manager'!$J$282</f>
        <v/>
      </c>
      <c r="E89" s="1073">
        <f>'Scenario Manager'!$J$358</f>
        <v/>
      </c>
      <c r="F89" s="394" t="n"/>
      <c r="G89" s="708" t="inlineStr">
        <is>
          <t>RF07</t>
        </is>
      </c>
      <c r="H89" s="394" t="n"/>
      <c r="I89" s="394" t="n"/>
      <c r="J89" s="394" t="n"/>
      <c r="K89" s="394" t="n"/>
      <c r="L89" s="394" t="n"/>
      <c r="M89" s="394" t="n"/>
      <c r="N89" s="394" t="n"/>
    </row>
    <row r="90">
      <c r="A90" s="394" t="n"/>
      <c r="B90" s="394" t="n"/>
      <c r="C90" s="394" t="n"/>
      <c r="D90" s="394" t="n"/>
      <c r="E90" s="394" t="n"/>
      <c r="F90" s="394" t="n"/>
      <c r="G90" s="394" t="n"/>
      <c r="H90" s="394" t="n"/>
      <c r="I90" s="394" t="n"/>
      <c r="J90" s="394" t="n"/>
      <c r="K90" s="394" t="n"/>
      <c r="L90" s="394" t="n"/>
      <c r="M90" s="394" t="n"/>
      <c r="N90" s="394" t="n"/>
    </row>
    <row r="91">
      <c r="A91" s="394" t="n"/>
      <c r="B91" s="394" t="n"/>
      <c r="C91" s="394" t="n"/>
      <c r="D91" s="394" t="n"/>
      <c r="E91" s="394" t="n"/>
      <c r="F91" s="394" t="n"/>
      <c r="G91" s="394" t="n"/>
      <c r="H91" s="394" t="n"/>
      <c r="I91" s="394" t="n"/>
      <c r="J91" s="394" t="n"/>
      <c r="K91" s="394" t="n"/>
      <c r="L91" s="394" t="n"/>
      <c r="M91" s="394" t="n"/>
      <c r="N91" s="394" t="n"/>
    </row>
    <row r="92" ht="15" customHeight="1" s="632" thickBot="1">
      <c r="A92" s="415" t="n"/>
    </row>
    <row r="93">
      <c r="A93" s="63" t="inlineStr">
        <is>
          <t>Line item</t>
        </is>
      </c>
      <c r="B93" s="65" t="inlineStr">
        <is>
          <t>Unit</t>
        </is>
      </c>
      <c r="C93" s="65" t="inlineStr">
        <is>
          <t>FY2026A</t>
        </is>
      </c>
      <c r="D93" s="65" t="inlineStr">
        <is>
          <t>FY2027E</t>
        </is>
      </c>
      <c r="E93" s="65" t="inlineStr">
        <is>
          <t>FY2028E</t>
        </is>
      </c>
      <c r="F93" s="65" t="inlineStr">
        <is>
          <t>FY2029E</t>
        </is>
      </c>
      <c r="G93" s="65" t="inlineStr">
        <is>
          <t>FY2030E</t>
        </is>
      </c>
      <c r="H93" s="65" t="inlineStr">
        <is>
          <t>FY2031E</t>
        </is>
      </c>
      <c r="I93" s="65" t="inlineStr">
        <is>
          <t>FY2032E</t>
        </is>
      </c>
      <c r="J93" s="65" t="inlineStr">
        <is>
          <t>FY2033E</t>
        </is>
      </c>
      <c r="K93" s="65" t="inlineStr">
        <is>
          <t>CAGR</t>
        </is>
      </c>
      <c r="L93" s="409" t="inlineStr">
        <is>
          <t>Source</t>
        </is>
      </c>
      <c r="M93" s="65" t="inlineStr">
        <is>
          <t>Conf.</t>
        </is>
      </c>
      <c r="N93" s="410" t="inlineStr">
        <is>
          <t>Notes / methodology</t>
        </is>
      </c>
      <c r="P93" s="707" t="inlineStr">
        <is>
          <t>Ref</t>
        </is>
      </c>
    </row>
    <row r="94">
      <c r="A94" s="69" t="inlineStr">
        <is>
          <t>Finished steel production</t>
        </is>
      </c>
      <c r="B94" s="78" t="inlineStr">
        <is>
          <t>Mt</t>
        </is>
      </c>
      <c r="C94" s="907" t="n">
        <v>160.94</v>
      </c>
      <c r="D94" s="907">
        <f>'Steel Supply Model'!D$101</f>
        <v/>
      </c>
      <c r="E94" s="907">
        <f>'Steel Supply Model'!E$101</f>
        <v/>
      </c>
      <c r="F94" s="907">
        <f>'Steel Supply Model'!F$101</f>
        <v/>
      </c>
      <c r="G94" s="907">
        <f>'Steel Supply Model'!G$101</f>
        <v/>
      </c>
      <c r="H94" s="907">
        <f>'Steel Supply Model'!H$101</f>
        <v/>
      </c>
      <c r="I94" s="907">
        <f>'Steel Supply Model'!I$101</f>
        <v/>
      </c>
      <c r="J94" s="907">
        <f>'Steel Supply Model'!J$101</f>
        <v/>
      </c>
      <c r="K94" s="83" t="n"/>
      <c r="L94" s="344" t="inlineStr">
        <is>
          <t>05 Supply</t>
        </is>
      </c>
      <c r="M94" s="352" t="inlineStr">
        <is>
          <t>High</t>
        </is>
      </c>
      <c r="N94" s="68" t="n"/>
      <c r="P94" s="708" t="inlineStr">
        <is>
          <t>RF08</t>
        </is>
      </c>
    </row>
    <row r="95">
      <c r="A95" s="69" t="inlineStr">
        <is>
          <t>Blended realisation - effective</t>
        </is>
      </c>
      <c r="B95" s="78" t="inlineStr">
        <is>
          <t>Rs/t</t>
        </is>
      </c>
      <c r="C95" s="1022" t="n">
        <v>59974</v>
      </c>
      <c r="D95" s="1022">
        <f>'Steel Price Forecast'!D$103</f>
        <v/>
      </c>
      <c r="E95" s="1022">
        <f>'Steel Price Forecast'!E$103</f>
        <v/>
      </c>
      <c r="F95" s="1022">
        <f>'Steel Price Forecast'!F$103</f>
        <v/>
      </c>
      <c r="G95" s="1022">
        <f>'Steel Price Forecast'!G$103</f>
        <v/>
      </c>
      <c r="H95" s="1022">
        <f>'Steel Price Forecast'!H$103</f>
        <v/>
      </c>
      <c r="I95" s="1022">
        <f>'Steel Price Forecast'!I$103</f>
        <v/>
      </c>
      <c r="J95" s="1022">
        <f>'Steel Price Forecast'!J$103</f>
        <v/>
      </c>
      <c r="K95" s="83" t="n"/>
      <c r="L95" s="344" t="inlineStr">
        <is>
          <t>09 Price</t>
        </is>
      </c>
      <c r="M95" s="352" t="inlineStr">
        <is>
          <t>Medium</t>
        </is>
      </c>
      <c r="N95" s="68" t="n"/>
      <c r="P95" s="708" t="inlineStr">
        <is>
          <t>RF09</t>
        </is>
      </c>
    </row>
    <row r="96" ht="48.6" customHeight="1" s="632" thickBot="1">
      <c r="A96" s="102" t="inlineStr">
        <is>
          <t>INDUSTRY REVENUE</t>
        </is>
      </c>
      <c r="B96" s="79" t="inlineStr">
        <is>
          <t>Rs cr</t>
        </is>
      </c>
      <c r="C96" s="1071" t="n">
        <v>965221.5560000001</v>
      </c>
      <c r="D96" s="1071">
        <f>D94*D95/10</f>
        <v/>
      </c>
      <c r="E96" s="1071">
        <f>E94*E95/10</f>
        <v/>
      </c>
      <c r="F96" s="1071">
        <f>F94*F95/10</f>
        <v/>
      </c>
      <c r="G96" s="1071">
        <f>G94*G95/10</f>
        <v/>
      </c>
      <c r="H96" s="1071">
        <f>H94*H95/10</f>
        <v/>
      </c>
      <c r="I96" s="1071">
        <f>I94*I95/10</f>
        <v/>
      </c>
      <c r="J96" s="1071">
        <f>J94*J95/10</f>
        <v/>
      </c>
      <c r="K96" s="910">
        <f>IFERROR(IF(AND(ISNUMBER(C96),ISNUMBER(J96),C96&gt;0),(J96/C96)^(1/7)-1,""),"")</f>
        <v/>
      </c>
      <c r="L96" s="346" t="inlineStr">
        <is>
          <t>Computed</t>
        </is>
      </c>
      <c r="M96" s="353" t="inlineStr">
        <is>
          <t>Medium</t>
        </is>
      </c>
      <c r="N96" s="347" t="inlineStr">
        <is>
          <t>Unit bridge: Rs/t x Mt / 10 = Rs crore, because 1 Rs crore = 1e7 Rs and 1 Mt = 1e6 tonnes. FY2026A of Rs 9,65,238 cr is the whole-of-India finished steel revenue pool, against Rs 4,79,191 cr for the four majors that anchor realisation - i.e. the calibration sample is 49.6% of the pool by revenue.</t>
        </is>
      </c>
      <c r="P96" s="708" t="inlineStr">
        <is>
          <t>RF10</t>
        </is>
      </c>
    </row>
    <row r="97"/>
    <row r="98"/>
    <row r="99" ht="15" customHeight="1" s="632" thickBot="1">
      <c r="A99" s="402" t="inlineStr">
        <is>
          <t>COMPANY VOLUME BUILD</t>
        </is>
      </c>
    </row>
    <row r="100">
      <c r="A100" s="63" t="inlineStr">
        <is>
          <t>Line item</t>
        </is>
      </c>
      <c r="B100" s="65" t="inlineStr">
        <is>
          <t>Unit</t>
        </is>
      </c>
      <c r="C100" s="65" t="inlineStr">
        <is>
          <t>FY2026A</t>
        </is>
      </c>
      <c r="D100" s="65" t="inlineStr">
        <is>
          <t>FY2027E</t>
        </is>
      </c>
      <c r="E100" s="65" t="inlineStr">
        <is>
          <t>FY2028E</t>
        </is>
      </c>
      <c r="F100" s="65" t="inlineStr">
        <is>
          <t>FY2029E</t>
        </is>
      </c>
      <c r="G100" s="65" t="inlineStr">
        <is>
          <t>FY2030E</t>
        </is>
      </c>
      <c r="H100" s="65" t="inlineStr">
        <is>
          <t>FY2031E</t>
        </is>
      </c>
      <c r="I100" s="65" t="inlineStr">
        <is>
          <t>FY2032E</t>
        </is>
      </c>
      <c r="J100" s="65" t="inlineStr">
        <is>
          <t>FY2033E</t>
        </is>
      </c>
      <c r="K100" s="65" t="inlineStr">
        <is>
          <t>CAGR</t>
        </is>
      </c>
      <c r="L100" s="409" t="inlineStr">
        <is>
          <t>Source</t>
        </is>
      </c>
      <c r="M100" s="65" t="inlineStr">
        <is>
          <t>Conf.</t>
        </is>
      </c>
      <c r="N100" s="410" t="inlineStr">
        <is>
          <t>Notes / methodology</t>
        </is>
      </c>
      <c r="P100" s="707" t="inlineStr">
        <is>
          <t>Ref</t>
        </is>
      </c>
    </row>
    <row r="101" ht="60" customHeight="1" s="632">
      <c r="A101" s="69" t="inlineStr">
        <is>
          <t>Tata Steel - volume</t>
        </is>
      </c>
      <c r="B101" s="78" t="inlineStr">
        <is>
          <t>Mt</t>
        </is>
      </c>
      <c r="C101" s="907" t="n">
        <v>22.53</v>
      </c>
      <c r="D101" s="907">
        <f>C101</f>
        <v/>
      </c>
      <c r="E101" s="907">
        <f>D101</f>
        <v/>
      </c>
      <c r="F101" s="907">
        <f>E101</f>
        <v/>
      </c>
      <c r="G101" s="907">
        <f>F101+4.8*'Capacity Utilisation'!G$67</f>
        <v/>
      </c>
      <c r="H101" s="907">
        <f>G101</f>
        <v/>
      </c>
      <c r="I101" s="907">
        <f>H101</f>
        <v/>
      </c>
      <c r="J101" s="907">
        <f>I101+5*'Capacity Utilisation'!J$67</f>
        <v/>
      </c>
      <c r="K101" s="904">
        <f>IFERROR(IF(AND(ISNUMBER(C101),ISNUMBER(J101),C101&gt;0),(J101/C101)^(1/7)-1,""),"")</f>
        <v/>
      </c>
      <c r="L101" s="344" t="inlineStr">
        <is>
          <t>S08</t>
        </is>
      </c>
      <c r="M101" s="352" t="inlineStr">
        <is>
          <t>Medium</t>
        </is>
      </c>
      <c r="N101" s="345" t="inlineStr">
        <is>
          <t>India segment used for volume and margin. Netherlands carries a disclosed material uncertainty related to going concern (Master DB, policy P18) - the single largest identifiable downside in the universe and NOT captured in this industry model, which forecasts India only.. Basis: India deliveries. Tracked additions: FY2030 +4.80 Mtpa, FY2033 +5.00 Mtpa</t>
        </is>
      </c>
      <c r="P101" s="708" t="inlineStr">
        <is>
          <t>RF11</t>
        </is>
      </c>
    </row>
    <row r="102" ht="48" customHeight="1" s="632">
      <c r="A102" s="69" t="inlineStr">
        <is>
          <t>JSW Steel - volume</t>
        </is>
      </c>
      <c r="B102" s="78" t="inlineStr">
        <is>
          <t>Mt</t>
        </is>
      </c>
      <c r="C102" s="907" t="n">
        <v>28.76</v>
      </c>
      <c r="D102" s="907">
        <f>C102+2.4*'Capacity Utilisation'!D$67</f>
        <v/>
      </c>
      <c r="E102" s="907">
        <f>D102</f>
        <v/>
      </c>
      <c r="F102" s="907">
        <f>E102</f>
        <v/>
      </c>
      <c r="G102" s="907">
        <f>F102+5*'Capacity Utilisation'!G$67</f>
        <v/>
      </c>
      <c r="H102" s="907">
        <f>G102+6*'Capacity Utilisation'!H$67</f>
        <v/>
      </c>
      <c r="I102" s="907">
        <f>H102</f>
        <v/>
      </c>
      <c r="J102" s="907">
        <f>I102</f>
        <v/>
      </c>
      <c r="K102" s="904">
        <f>IFERROR(IF(AND(ISNUMBER(C102),ISNUMBER(J102),C102&gt;0),(J102/C102)^(1/7)-1,""),"")</f>
        <v/>
      </c>
      <c r="L102" s="344" t="inlineStr">
        <is>
          <t>S09</t>
        </is>
      </c>
      <c r="M102" s="352" t="inlineStr">
        <is>
          <t>Medium</t>
        </is>
      </c>
      <c r="N102" s="345" t="inlineStr">
        <is>
          <t>FY2027 additions include BMM Ispat (0.90 Mtpa), an acquisition of existing capacity: it adds to JSW but NOT to national capacity. BPSL was deconsolidated from 27-Mar-2026, so FY2026 to FY2027 company volumes are not like-for-like.. Basis: India steel sales. Tracked additions: FY2027 +2.40 Mtpa, FY2030 +5.00 Mtpa, FY2031 +6.00 Mtpa</t>
        </is>
      </c>
      <c r="P102" s="708" t="inlineStr">
        <is>
          <t>RF12</t>
        </is>
      </c>
    </row>
    <row r="103" ht="48" customHeight="1" s="632">
      <c r="A103" s="69" t="inlineStr">
        <is>
          <t>SAIL - volume</t>
        </is>
      </c>
      <c r="B103" s="78" t="inlineStr">
        <is>
          <t>Mt</t>
        </is>
      </c>
      <c r="C103" s="907" t="n">
        <v>19.93</v>
      </c>
      <c r="D103" s="907">
        <f>C103</f>
        <v/>
      </c>
      <c r="E103" s="907">
        <f>D103</f>
        <v/>
      </c>
      <c r="F103" s="907">
        <f>E103+0.89*'Capacity Utilisation'!F$67</f>
        <v/>
      </c>
      <c r="G103" s="907">
        <f>F103+2.65*'Capacity Utilisation'!G$67</f>
        <v/>
      </c>
      <c r="H103" s="907">
        <f>G103+4.08*'Capacity Utilisation'!H$67</f>
        <v/>
      </c>
      <c r="I103" s="907">
        <f>H103</f>
        <v/>
      </c>
      <c r="J103" s="907">
        <f>I103+8*'Capacity Utilisation'!J$67</f>
        <v/>
      </c>
      <c r="K103" s="904">
        <f>IFERROR(IF(AND(ISNUMBER(C103),ISNUMBER(J103),C103&gt;0),(J103/C103)^(1/7)-1,""),"")</f>
        <v/>
      </c>
      <c r="L103" s="344" t="inlineStr">
        <is>
          <t>S10</t>
        </is>
      </c>
      <c r="M103" s="352" t="inlineStr">
        <is>
          <t>Medium</t>
        </is>
      </c>
      <c r="N103" s="345" t="inlineStr">
        <is>
          <t>EBITDA per tonne is struck on the STANDALONE EBITDA headline over standalone sales volume. Do not pair a consolidated enterprise value with this EBITDA - see Master DB Conflict C09.. Basis: Standalone sales volume. Tracked additions: FY2029 +0.89 Mtpa, FY2030 +2.65 Mtpa, FY2031 +4.08 Mtpa, FY2033 +8.00 Mtpa</t>
        </is>
      </c>
      <c r="P103" s="708" t="inlineStr">
        <is>
          <t>RF13</t>
        </is>
      </c>
    </row>
    <row r="104" ht="48" customHeight="1" s="632">
      <c r="A104" s="69" t="inlineStr">
        <is>
          <t>Jindal Steel - volume</t>
        </is>
      </c>
      <c r="B104" s="78" t="inlineStr">
        <is>
          <t>Mt</t>
        </is>
      </c>
      <c r="C104" s="907" t="n">
        <v>8.68</v>
      </c>
      <c r="D104" s="907">
        <f>C104</f>
        <v/>
      </c>
      <c r="E104" s="907">
        <f>D104</f>
        <v/>
      </c>
      <c r="F104" s="907">
        <f>E104</f>
        <v/>
      </c>
      <c r="G104" s="907">
        <f>F104</f>
        <v/>
      </c>
      <c r="H104" s="907">
        <f>G104</f>
        <v/>
      </c>
      <c r="I104" s="907">
        <f>H104</f>
        <v/>
      </c>
      <c r="J104" s="907">
        <f>I104</f>
        <v/>
      </c>
      <c r="K104" s="904">
        <f>IFERROR(IF(AND(ISNUMBER(C104),ISNUMBER(J104),C104&gt;0),(J104/C104)^(1/7)-1,""),"")</f>
        <v/>
      </c>
      <c r="L104" s="344" t="inlineStr">
        <is>
          <t>S11</t>
        </is>
      </c>
      <c r="M104" s="352" t="inlineStr">
        <is>
          <t>Medium</t>
        </is>
      </c>
      <c r="N104" s="345" t="inlineStr">
        <is>
          <t>Capacity rose from 9.6 to 15.6 Mtpa in FY2026, so FY2027 volume growth comes from utilising capacity already built rather than from new additions. Company guidance for FY2027 is 11.0-11.5 Mt of production against 9.25 Mt in FY2026.. Basis: Consolidated steel sales. No tracked additions - volume growth comes from utilising capacity already built.</t>
        </is>
      </c>
      <c r="P104" s="708" t="inlineStr">
        <is>
          <t>RF14</t>
        </is>
      </c>
    </row>
    <row r="105" ht="60.6" customHeight="1" s="632" thickBot="1">
      <c r="A105" s="69" t="inlineStr">
        <is>
          <t>Jindal Stainless - volume</t>
        </is>
      </c>
      <c r="B105" s="78" t="inlineStr">
        <is>
          <t>Mt</t>
        </is>
      </c>
      <c r="C105" s="907" t="n">
        <v>2.57</v>
      </c>
      <c r="D105" s="907">
        <f>C105</f>
        <v/>
      </c>
      <c r="E105" s="907">
        <f>D105</f>
        <v/>
      </c>
      <c r="F105" s="907">
        <f>E105</f>
        <v/>
      </c>
      <c r="G105" s="907">
        <f>F105</f>
        <v/>
      </c>
      <c r="H105" s="907">
        <f>G105</f>
        <v/>
      </c>
      <c r="I105" s="907">
        <f>H105</f>
        <v/>
      </c>
      <c r="J105" s="907">
        <f>I105</f>
        <v/>
      </c>
      <c r="K105" s="904">
        <f>IFERROR(IF(AND(ISNUMBER(C105),ISNUMBER(J105),C105&gt;0),(J105/C105)^(1/7)-1,""),"")</f>
        <v/>
      </c>
      <c r="L105" s="344" t="inlineStr">
        <is>
          <t>S12</t>
        </is>
      </c>
      <c r="M105" s="352" t="inlineStr">
        <is>
          <t>Medium</t>
        </is>
      </c>
      <c r="N105" s="345" t="inlineStr">
        <is>
          <t>STAINLESS. Realisation of roughly Rs 1,67,000/t and EBITDA per tonne of Rs 21,634 are not comparable with carbon steel and this company is EXCLUDED from the blended industry realisation anchor. Management guided FY2027 EBITDA per tonne to Rs 18,000-20,000, i.e. BELOW the FY2026 outcome.. Basis: Consolidated deliveries. No tracked additions - volume growth comes from utilising capacity already built.</t>
        </is>
      </c>
      <c r="P105" s="708" t="inlineStr">
        <is>
          <t>RF15</t>
        </is>
      </c>
    </row>
    <row r="106" ht="60" customHeight="1" s="632">
      <c r="A106" s="69" t="inlineStr">
        <is>
          <t>AM/NS India - volume</t>
        </is>
      </c>
      <c r="B106" s="78" t="inlineStr">
        <is>
          <t>Mt</t>
        </is>
      </c>
      <c r="C106" s="907" t="n">
        <v>7.975</v>
      </c>
      <c r="D106" s="907">
        <f>C106</f>
        <v/>
      </c>
      <c r="E106" s="907">
        <f>D106</f>
        <v/>
      </c>
      <c r="F106" s="907">
        <f>E106+6*'Capacity Utilisation'!F$67</f>
        <v/>
      </c>
      <c r="G106" s="907">
        <f>F106</f>
        <v/>
      </c>
      <c r="H106" s="907">
        <f>G106</f>
        <v/>
      </c>
      <c r="I106" s="907">
        <f>H106+8.2*'Capacity Utilisation'!I$67</f>
        <v/>
      </c>
      <c r="J106" s="907">
        <f>I106</f>
        <v/>
      </c>
      <c r="K106" s="904">
        <f>IFERROR(IF(AND(ISNUMBER(C106),ISNUMBER(J106),C106&gt;0),(J106/C106)^(1/7)-1,""),"")</f>
        <v/>
      </c>
      <c r="L106" s="344" t="inlineStr">
        <is>
          <t>S13/S14</t>
        </is>
      </c>
      <c r="M106" s="352" t="inlineStr">
        <is>
          <t>Medium</t>
        </is>
      </c>
      <c r="N106" s="345" t="inlineStr">
        <is>
          <t>Unlisted 60:40 joint venture. All figures are 100% basis, USD, calendar quarters, converted at the derived FY2026 average USD/INR of 88.4. The fiscal-year figures are themselves derived by summing calendar quarters - Master DB Conflict C16.. Basis: Derived FY2026 shipments (sum of calendar quarters). Tracked additions: FY2029 +6.00 Mtpa, FY2032 +8.20 Mtpa</t>
        </is>
      </c>
      <c r="P106" s="708" t="inlineStr">
        <is>
          <t>RF16</t>
        </is>
      </c>
    </row>
    <row r="107" ht="48.6" customHeight="1" s="632" thickBot="1">
      <c r="A107" s="72" t="inlineStr">
        <is>
          <t>RINL - volume</t>
        </is>
      </c>
      <c r="B107" s="79" t="inlineStr">
        <is>
          <t>Mt</t>
        </is>
      </c>
      <c r="C107" s="953" t="n">
        <v>4.4</v>
      </c>
      <c r="D107" s="953">
        <f>C107</f>
        <v/>
      </c>
      <c r="E107" s="953">
        <f>D107</f>
        <v/>
      </c>
      <c r="F107" s="953">
        <f>E107</f>
        <v/>
      </c>
      <c r="G107" s="953">
        <f>F107</f>
        <v/>
      </c>
      <c r="H107" s="953">
        <f>G107</f>
        <v/>
      </c>
      <c r="I107" s="953">
        <f>H107</f>
        <v/>
      </c>
      <c r="J107" s="953">
        <f>I107</f>
        <v/>
      </c>
      <c r="K107" s="910">
        <f>IFERROR(IF(AND(ISNUMBER(C107),ISNUMBER(J107),C107&gt;0),(J107/C107)^(1/7)-1,""),"")</f>
        <v/>
      </c>
      <c r="L107" s="346" t="inlineStr">
        <is>
          <t>S16</t>
        </is>
      </c>
      <c r="M107" s="353" t="inlineStr">
        <is>
          <t>Medium</t>
        </is>
      </c>
      <c r="N107" s="347" t="inlineStr">
        <is>
          <t>Unlisted and wholly Government-owned. No EBITDA, balance sheet or valuation data is publicly available, so RINL appears in the volume build only.. Basis: Standalone sales volume (issuer rounded). No tracked additions - volume growth comes from utilising capacity already built.</t>
        </is>
      </c>
      <c r="P107" s="708" t="inlineStr">
        <is>
          <t>RF17</t>
        </is>
      </c>
    </row>
    <row r="108"/>
    <row r="109" ht="15" customHeight="1" s="632" thickBot="1">
      <c r="A109" s="402" t="inlineStr">
        <is>
          <t>COMPANY REVENUE BUILD</t>
        </is>
      </c>
    </row>
    <row r="110">
      <c r="A110" s="63" t="inlineStr">
        <is>
          <t>Line item</t>
        </is>
      </c>
      <c r="B110" s="65" t="inlineStr">
        <is>
          <t>Unit</t>
        </is>
      </c>
      <c r="C110" s="65" t="inlineStr">
        <is>
          <t>FY2026A</t>
        </is>
      </c>
      <c r="D110" s="65" t="inlineStr">
        <is>
          <t>FY2027E</t>
        </is>
      </c>
      <c r="E110" s="65" t="inlineStr">
        <is>
          <t>FY2028E</t>
        </is>
      </c>
      <c r="F110" s="65" t="inlineStr">
        <is>
          <t>FY2029E</t>
        </is>
      </c>
      <c r="G110" s="65" t="inlineStr">
        <is>
          <t>FY2030E</t>
        </is>
      </c>
      <c r="H110" s="65" t="inlineStr">
        <is>
          <t>FY2031E</t>
        </is>
      </c>
      <c r="I110" s="65" t="inlineStr">
        <is>
          <t>FY2032E</t>
        </is>
      </c>
      <c r="J110" s="65" t="inlineStr">
        <is>
          <t>FY2033E</t>
        </is>
      </c>
      <c r="K110" s="65" t="inlineStr">
        <is>
          <t>CAGR</t>
        </is>
      </c>
      <c r="L110" s="409" t="inlineStr">
        <is>
          <t>Source</t>
        </is>
      </c>
      <c r="M110" s="65" t="inlineStr">
        <is>
          <t>Conf.</t>
        </is>
      </c>
      <c r="N110" s="410" t="inlineStr">
        <is>
          <t>Notes / methodology</t>
        </is>
      </c>
      <c r="P110" s="707" t="inlineStr">
        <is>
          <t>Ref</t>
        </is>
      </c>
    </row>
    <row r="111">
      <c r="A111" s="69" t="inlineStr">
        <is>
          <t>Tata Steel - revenue</t>
        </is>
      </c>
      <c r="B111" s="78" t="inlineStr">
        <is>
          <t>Rs cr</t>
        </is>
      </c>
      <c r="C111" s="1022" t="n">
        <v>140302</v>
      </c>
      <c r="D111" s="1022">
        <f>D101*D95*1.03834/10</f>
        <v/>
      </c>
      <c r="E111" s="1022">
        <f>E101*E95*1.03834/10</f>
        <v/>
      </c>
      <c r="F111" s="1022">
        <f>F101*F95*1.03834/10</f>
        <v/>
      </c>
      <c r="G111" s="1022">
        <f>G101*G95*1.03834/10</f>
        <v/>
      </c>
      <c r="H111" s="1022">
        <f>H101*H95*1.03834/10</f>
        <v/>
      </c>
      <c r="I111" s="1022">
        <f>I101*I95*1.03834/10</f>
        <v/>
      </c>
      <c r="J111" s="1022">
        <f>J101*J95*1.03834/10</f>
        <v/>
      </c>
      <c r="K111" s="904">
        <f>IFERROR(IF(AND(ISNUMBER(C111),ISNUMBER(J111),C111&gt;0),(J111/C111)^(1/7)-1,""),"")</f>
        <v/>
      </c>
      <c r="L111" s="344" t="inlineStr">
        <is>
          <t>S08</t>
        </is>
      </c>
      <c r="M111" s="352" t="inlineStr">
        <is>
          <t>Medium</t>
        </is>
      </c>
      <c r="N111" s="345" t="inlineStr">
        <is>
          <t>FY2026 realisation Rs 62,273/t = 1.04x the industry blend, held constant. Basis: India.</t>
        </is>
      </c>
      <c r="P111" s="708" t="inlineStr">
        <is>
          <t>RF18</t>
        </is>
      </c>
    </row>
    <row r="112" ht="24" customHeight="1" s="632">
      <c r="A112" s="69" t="inlineStr">
        <is>
          <t>JSW Steel - revenue</t>
        </is>
      </c>
      <c r="B112" s="78" t="inlineStr">
        <is>
          <t>Rs cr</t>
        </is>
      </c>
      <c r="C112" s="1022" t="n">
        <v>174854</v>
      </c>
      <c r="D112" s="1022">
        <f>D102*D95*1.013733/10</f>
        <v/>
      </c>
      <c r="E112" s="1022">
        <f>E102*E95*1.013733/10</f>
        <v/>
      </c>
      <c r="F112" s="1022">
        <f>F102*F95*1.013733/10</f>
        <v/>
      </c>
      <c r="G112" s="1022">
        <f>G102*G95*1.013733/10</f>
        <v/>
      </c>
      <c r="H112" s="1022">
        <f>H102*H95*1.013733/10</f>
        <v/>
      </c>
      <c r="I112" s="1022">
        <f>I102*I95*1.013733/10</f>
        <v/>
      </c>
      <c r="J112" s="1022">
        <f>J102*J95*1.013733/10</f>
        <v/>
      </c>
      <c r="K112" s="904">
        <f>IFERROR(IF(AND(ISNUMBER(C112),ISNUMBER(J112),C112&gt;0),(J112/C112)^(1/7)-1,""),"")</f>
        <v/>
      </c>
      <c r="L112" s="344" t="inlineStr">
        <is>
          <t>S09</t>
        </is>
      </c>
      <c r="M112" s="352" t="inlineStr">
        <is>
          <t>Medium</t>
        </is>
      </c>
      <c r="N112" s="345" t="inlineStr">
        <is>
          <t>FY2026 realisation Rs 60,797/t = 1.01x the industry blend, held constant. Basis: India operations.</t>
        </is>
      </c>
      <c r="P112" s="708" t="inlineStr">
        <is>
          <t>RF19</t>
        </is>
      </c>
    </row>
    <row r="113" ht="24" customHeight="1" s="632">
      <c r="A113" s="69" t="inlineStr">
        <is>
          <t>SAIL - revenue</t>
        </is>
      </c>
      <c r="B113" s="78" t="inlineStr">
        <is>
          <t>Rs cr</t>
        </is>
      </c>
      <c r="C113" s="1022" t="n">
        <v>110811</v>
      </c>
      <c r="D113" s="1022">
        <f>D103*D95*0.92707/10</f>
        <v/>
      </c>
      <c r="E113" s="1022">
        <f>E103*E95*0.92707/10</f>
        <v/>
      </c>
      <c r="F113" s="1022">
        <f>F103*F95*0.92707/10</f>
        <v/>
      </c>
      <c r="G113" s="1022">
        <f>G103*G95*0.92707/10</f>
        <v/>
      </c>
      <c r="H113" s="1022">
        <f>H103*H95*0.92707/10</f>
        <v/>
      </c>
      <c r="I113" s="1022">
        <f>I103*I95*0.92707/10</f>
        <v/>
      </c>
      <c r="J113" s="1022">
        <f>J103*J95*0.92707/10</f>
        <v/>
      </c>
      <c r="K113" s="904">
        <f>IFERROR(IF(AND(ISNUMBER(C113),ISNUMBER(J113),C113&gt;0),(J113/C113)^(1/7)-1,""),"")</f>
        <v/>
      </c>
      <c r="L113" s="344" t="inlineStr">
        <is>
          <t>S10</t>
        </is>
      </c>
      <c r="M113" s="352" t="inlineStr">
        <is>
          <t>Medium</t>
        </is>
      </c>
      <c r="N113" s="345" t="inlineStr">
        <is>
          <t>FY2026 realisation Rs 55,600/t = 0.93x the industry blend, held constant. Basis: Consolidated.</t>
        </is>
      </c>
      <c r="P113" s="708" t="inlineStr">
        <is>
          <t>RF20</t>
        </is>
      </c>
    </row>
    <row r="114" ht="24" customHeight="1" s="632">
      <c r="A114" s="69" t="inlineStr">
        <is>
          <t>Jindal Steel - revenue</t>
        </is>
      </c>
      <c r="B114" s="78" t="inlineStr">
        <is>
          <t>Rs cr</t>
        </is>
      </c>
      <c r="C114" s="1022" t="n">
        <v>53225</v>
      </c>
      <c r="D114" s="1022">
        <f>D104*D95*1.022428/10</f>
        <v/>
      </c>
      <c r="E114" s="1022">
        <f>E104*E95*1.022428/10</f>
        <v/>
      </c>
      <c r="F114" s="1022">
        <f>F104*F95*1.022428/10</f>
        <v/>
      </c>
      <c r="G114" s="1022">
        <f>G104*G95*1.022428/10</f>
        <v/>
      </c>
      <c r="H114" s="1022">
        <f>H104*H95*1.022428/10</f>
        <v/>
      </c>
      <c r="I114" s="1022">
        <f>I104*I95*1.022428/10</f>
        <v/>
      </c>
      <c r="J114" s="1022">
        <f>J104*J95*1.022428/10</f>
        <v/>
      </c>
      <c r="K114" s="904">
        <f>IFERROR(IF(AND(ISNUMBER(C114),ISNUMBER(J114),C114&gt;0),(J114/C114)^(1/7)-1,""),"")</f>
        <v/>
      </c>
      <c r="L114" s="344" t="inlineStr">
        <is>
          <t>S11</t>
        </is>
      </c>
      <c r="M114" s="352" t="inlineStr">
        <is>
          <t>Medium</t>
        </is>
      </c>
      <c r="N114" s="345" t="inlineStr">
        <is>
          <t>FY2026 realisation Rs 61,319/t = 1.02x the industry blend, held constant. Basis: Consolidated.</t>
        </is>
      </c>
      <c r="P114" s="708" t="inlineStr">
        <is>
          <t>RF21</t>
        </is>
      </c>
    </row>
    <row r="115" ht="24" customHeight="1" s="632">
      <c r="A115" s="69" t="inlineStr">
        <is>
          <t>Jindal Stainless - revenue</t>
        </is>
      </c>
      <c r="B115" s="78" t="inlineStr">
        <is>
          <t>Rs cr</t>
        </is>
      </c>
      <c r="C115" s="1022" t="n">
        <v>42955</v>
      </c>
      <c r="D115" s="1022">
        <f>D105*D95*2.786876/10</f>
        <v/>
      </c>
      <c r="E115" s="1022">
        <f>E105*E95*2.786876/10</f>
        <v/>
      </c>
      <c r="F115" s="1022">
        <f>F105*F95*2.786876/10</f>
        <v/>
      </c>
      <c r="G115" s="1022">
        <f>G105*G95*2.786876/10</f>
        <v/>
      </c>
      <c r="H115" s="1022">
        <f>H105*H95*2.786876/10</f>
        <v/>
      </c>
      <c r="I115" s="1022">
        <f>I105*I95*2.786876/10</f>
        <v/>
      </c>
      <c r="J115" s="1022">
        <f>J105*J95*2.786876/10</f>
        <v/>
      </c>
      <c r="K115" s="904">
        <f>IFERROR(IF(AND(ISNUMBER(C115),ISNUMBER(J115),C115&gt;0),(J115/C115)^(1/7)-1,""),"")</f>
        <v/>
      </c>
      <c r="L115" s="344" t="inlineStr">
        <is>
          <t>S12</t>
        </is>
      </c>
      <c r="M115" s="352" t="inlineStr">
        <is>
          <t>Medium</t>
        </is>
      </c>
      <c r="N115" s="345" t="inlineStr">
        <is>
          <t>FY2026 realisation Rs 167,140/t = 2.79x the industry blend, held constant. Basis: Consolidated.</t>
        </is>
      </c>
      <c r="P115" s="708" t="inlineStr">
        <is>
          <t>RF22</t>
        </is>
      </c>
    </row>
    <row r="116" ht="24" customHeight="1" s="632">
      <c r="A116" s="69" t="inlineStr">
        <is>
          <t>AM/NS India - revenue</t>
        </is>
      </c>
      <c r="B116" s="78" t="inlineStr">
        <is>
          <t>Rs cr</t>
        </is>
      </c>
      <c r="C116" s="1022" t="n">
        <v>548</v>
      </c>
      <c r="D116" s="1022">
        <f>D106*D95*0.011457/10</f>
        <v/>
      </c>
      <c r="E116" s="1022">
        <f>E106*E95*0.011457/10</f>
        <v/>
      </c>
      <c r="F116" s="1022">
        <f>F106*F95*0.011457/10</f>
        <v/>
      </c>
      <c r="G116" s="1022">
        <f>G106*G95*0.011457/10</f>
        <v/>
      </c>
      <c r="H116" s="1022">
        <f>H106*H95*0.011457/10</f>
        <v/>
      </c>
      <c r="I116" s="1022">
        <f>I106*I95*0.011457/10</f>
        <v/>
      </c>
      <c r="J116" s="1022">
        <f>J106*J95*0.011457/10</f>
        <v/>
      </c>
      <c r="K116" s="904">
        <f>IFERROR(IF(AND(ISNUMBER(C116),ISNUMBER(J116),C116&gt;0),(J116/C116)^(1/7)-1,""),"")</f>
        <v/>
      </c>
      <c r="L116" s="344" t="inlineStr">
        <is>
          <t>S13/S14</t>
        </is>
      </c>
      <c r="M116" s="352" t="inlineStr">
        <is>
          <t>Medium</t>
        </is>
      </c>
      <c r="N116" s="345" t="inlineStr">
        <is>
          <t>FY2026 realisation Rs 687/t = 0.01x the industry blend, held constant. Basis: 100% basis, USD converted at the derived FY2026 average USD/INR of 88.4.</t>
        </is>
      </c>
      <c r="P116" s="708" t="inlineStr">
        <is>
          <t>RF23</t>
        </is>
      </c>
    </row>
    <row r="117" ht="24.6" customHeight="1" s="632" thickBot="1">
      <c r="A117" s="72" t="inlineStr">
        <is>
          <t>RINL - revenue</t>
        </is>
      </c>
      <c r="B117" s="79" t="inlineStr">
        <is>
          <t>Rs cr</t>
        </is>
      </c>
      <c r="C117" s="1072" t="n">
        <v>22300</v>
      </c>
      <c r="D117" s="1072">
        <f>D107*D95*0.845063/10</f>
        <v/>
      </c>
      <c r="E117" s="1072">
        <f>E107*E95*0.845063/10</f>
        <v/>
      </c>
      <c r="F117" s="1072">
        <f>F107*F95*0.845063/10</f>
        <v/>
      </c>
      <c r="G117" s="1072">
        <f>G107*G95*0.845063/10</f>
        <v/>
      </c>
      <c r="H117" s="1072">
        <f>H107*H95*0.845063/10</f>
        <v/>
      </c>
      <c r="I117" s="1072">
        <f>I107*I95*0.845063/10</f>
        <v/>
      </c>
      <c r="J117" s="1072">
        <f>J107*J95*0.845063/10</f>
        <v/>
      </c>
      <c r="K117" s="910">
        <f>IFERROR(IF(AND(ISNUMBER(C117),ISNUMBER(J117),C117&gt;0),(J117/C117)^(1/7)-1,""),"")</f>
        <v/>
      </c>
      <c r="L117" s="346" t="inlineStr">
        <is>
          <t>S16</t>
        </is>
      </c>
      <c r="M117" s="353" t="inlineStr">
        <is>
          <t>Medium</t>
        </is>
      </c>
      <c r="N117" s="347" t="inlineStr">
        <is>
          <t>FY2026 realisation Rs 50,681/t = 0.85x the industry blend, held constant. Basis: Turnover, basis not specified by issuer.</t>
        </is>
      </c>
      <c r="P117" s="708" t="inlineStr">
        <is>
          <t>RF24</t>
        </is>
      </c>
    </row>
    <row r="118"/>
    <row r="119">
      <c r="A119" s="393" t="inlineStr">
        <is>
          <t>Company revenues are NOT additive to industry revenue: Jindal Stainless is stainless, AM/NS India is on a 100% JV basis, RINL turnover is on an unspecified basis, and the six together are only part of India's output. Use industry revenue for the market and company revenue for relative work.</t>
        </is>
      </c>
    </row>
  </sheetData>
  <mergeCells count="12">
    <mergeCell ref="A7:I7"/>
    <mergeCell ref="A50:E50"/>
    <mergeCell ref="A2:H2"/>
    <mergeCell ref="A62:D62"/>
    <mergeCell ref="A17:I17"/>
    <mergeCell ref="A37:E37"/>
    <mergeCell ref="A81:D81"/>
    <mergeCell ref="A71:D71"/>
    <mergeCell ref="A5:N5"/>
    <mergeCell ref="A26:I26"/>
    <mergeCell ref="A119:N119"/>
    <mergeCell ref="A1:N1"/>
  </mergeCells>
  <hyperlinks>
    <hyperlink ref="K12" location="'Audit Checks'!A425" tooltip="Open the reference register on 25 Audit Checks"/>
    <hyperlink ref="K22" location="'Audit Checks'!A425" tooltip="Open the reference register on 25 Audit Checks"/>
    <hyperlink ref="J31" location="'Audit Checks'!A425" tooltip="Open the reference register on 25 Audit Checks"/>
    <hyperlink ref="J34" location="'Audit Checks'!A425" tooltip="Open the reference register on 25 Audit Checks"/>
    <hyperlink ref="G39" location="'Audit Checks'!A425" tooltip="Open the reference register on 25 Audit Checks"/>
    <hyperlink ref="G40" location="'Audit Checks'!A425" tooltip="Open the reference register on 25 Audit Checks"/>
    <hyperlink ref="G41" location="'Audit Checks'!A425" tooltip="Open the reference register on 25 Audit Checks"/>
    <hyperlink ref="G42" location="'Audit Checks'!A425" tooltip="Open the reference register on 25 Audit Checks"/>
    <hyperlink ref="G43" location="'Audit Checks'!A425" tooltip="Open the reference register on 25 Audit Checks"/>
    <hyperlink ref="G44" location="'Audit Checks'!A425" tooltip="Open the reference register on 25 Audit Checks"/>
    <hyperlink ref="G45" location="'Audit Checks'!A425" tooltip="Open the reference register on 25 Audit Checks"/>
    <hyperlink ref="G46" location="'Audit Checks'!A425" tooltip="Open the reference register on 25 Audit Checks"/>
    <hyperlink ref="G59" location="'Audit Checks'!A425" tooltip="Open the reference register on 25 Audit Checks"/>
    <hyperlink ref="F64" location="'Audit Checks'!A425" tooltip="Open the reference register on 25 Audit Checks"/>
    <hyperlink ref="D73" location="'Audit Checks'!A425" tooltip="Open the reference register on 25 Audit Checks"/>
    <hyperlink ref="G89" location="'Audit Checks'!A425" tooltip="Open the reference register on 25 Audit Checks"/>
    <hyperlink ref="P94" location="'Audit Checks'!A425" tooltip="Open the reference register on 25 Audit Checks"/>
    <hyperlink ref="P95" location="'Audit Checks'!A425" tooltip="Open the reference register on 25 Audit Checks"/>
    <hyperlink ref="P96" location="'Audit Checks'!A425" tooltip="Open the reference register on 25 Audit Checks"/>
    <hyperlink ref="P101" location="'Audit Checks'!A425" tooltip="Open the reference register on 25 Audit Checks"/>
    <hyperlink ref="P102" location="'Audit Checks'!A425" tooltip="Open the reference register on 25 Audit Checks"/>
    <hyperlink ref="P103" location="'Audit Checks'!A425" tooltip="Open the reference register on 25 Audit Checks"/>
    <hyperlink ref="P104" location="'Audit Checks'!A425" tooltip="Open the reference register on 25 Audit Checks"/>
    <hyperlink ref="P105" location="'Audit Checks'!A425" tooltip="Open the reference register on 25 Audit Checks"/>
    <hyperlink ref="P106" location="'Audit Checks'!A425" tooltip="Open the reference register on 25 Audit Checks"/>
    <hyperlink ref="P107" location="'Audit Checks'!A425" tooltip="Open the reference register on 25 Audit Checks"/>
    <hyperlink ref="P111" location="'Audit Checks'!A425" tooltip="Open the reference register on 25 Audit Checks"/>
    <hyperlink ref="P112" location="'Audit Checks'!A425" tooltip="Open the reference register on 25 Audit Checks"/>
    <hyperlink ref="P113" location="'Audit Checks'!A425" tooltip="Open the reference register on 25 Audit Checks"/>
    <hyperlink ref="P114" location="'Audit Checks'!A425" tooltip="Open the reference register on 25 Audit Checks"/>
    <hyperlink ref="P115" location="'Audit Checks'!A425" tooltip="Open the reference register on 25 Audit Checks"/>
    <hyperlink ref="P116" location="'Audit Checks'!A425" tooltip="Open the reference register on 25 Audit Checks"/>
    <hyperlink ref="P117" location="'Audit Checks'!A425" tooltip="Open the reference register on 25 Audit Checks"/>
  </hyperlink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codeName="Sheet18">
    <tabColor rgb="FF002060"/>
    <outlinePr summaryBelow="1" summaryRight="1"/>
    <pageSetUpPr/>
  </sheetPr>
  <dimension ref="A1:P126"/>
  <sheetViews>
    <sheetView showGridLines="0" workbookViewId="0">
      <selection activeCell="A7" sqref="A7:I14"/>
    </sheetView>
  </sheetViews>
  <sheetFormatPr baseColWidth="8" defaultRowHeight="14.4"/>
  <cols>
    <col width="52" customWidth="1" style="690" min="1" max="1"/>
    <col width="15.77734375" customWidth="1" style="129" min="2" max="2"/>
    <col width="15.88671875" customWidth="1" style="129" min="3" max="3"/>
    <col width="14.21875" customWidth="1" style="129" min="4" max="4"/>
    <col width="13" customWidth="1" style="129" min="5" max="9"/>
    <col width="7" customWidth="1" style="632" min="7" max="7"/>
    <col width="13" customWidth="1" style="690" min="10" max="10"/>
    <col width="12" customWidth="1" style="690" min="11" max="11"/>
    <col width="22" customWidth="1" style="690" min="12" max="12"/>
    <col width="12" customWidth="1" style="690" min="13" max="13"/>
    <col width="95" customWidth="1" style="690" min="14" max="14"/>
    <col width="8.88671875" customWidth="1" style="690" min="15" max="16384"/>
    <col width="7" customWidth="1" style="632" min="16" max="16"/>
  </cols>
  <sheetData>
    <row r="1" ht="25.8" customHeight="1" s="632">
      <c r="A1" s="365" t="inlineStr">
        <is>
          <t>EBITDA MODEL</t>
        </is>
      </c>
    </row>
    <row r="2">
      <c r="A2" s="494" t="inlineStr">
        <is>
          <t>Industry Financial Model  |  Indian Steel Industry  |  Horizon FY2027E-FY2033E  |  Base year FY2026A</t>
        </is>
      </c>
    </row>
    <row r="3">
      <c r="A3" s="415" t="n"/>
    </row>
    <row r="4">
      <c r="A4" s="411" t="inlineStr">
        <is>
          <t>OBJECTIVE</t>
        </is>
      </c>
    </row>
    <row r="5">
      <c r="A5" s="394" t="inlineStr">
        <is>
          <t>Forecast industry EBITDA by integrating revenue, raw material costs, conversion costs, operating expenses, and operating leverage.</t>
        </is>
      </c>
    </row>
    <row r="6">
      <c r="A6" s="394" t="n"/>
      <c r="B6" s="617" t="n"/>
      <c r="C6" s="617" t="n"/>
      <c r="D6" s="617" t="n"/>
      <c r="E6" s="617" t="n"/>
      <c r="F6" s="617" t="n"/>
      <c r="G6" s="617" t="n"/>
      <c r="H6" s="617" t="n"/>
      <c r="I6" s="617" t="n"/>
      <c r="J6" s="394" t="n"/>
      <c r="K6" s="394" t="n"/>
      <c r="L6" s="394" t="n"/>
      <c r="M6" s="394" t="n"/>
      <c r="N6" s="394" t="n"/>
    </row>
    <row r="7" ht="15.6" customHeight="1" s="632">
      <c r="A7" s="612" t="inlineStr">
        <is>
          <t>Executive Summary</t>
        </is>
      </c>
      <c r="J7" s="394" t="n"/>
      <c r="K7" s="394" t="n"/>
      <c r="L7" s="394" t="n"/>
      <c r="M7" s="394" t="n"/>
      <c r="N7" s="394" t="n"/>
    </row>
    <row r="8">
      <c r="A8" s="506" t="inlineStr">
        <is>
          <t>KPI</t>
        </is>
      </c>
      <c r="B8" s="499" t="inlineStr">
        <is>
          <t>FY26A</t>
        </is>
      </c>
      <c r="C8" s="499" t="inlineStr">
        <is>
          <t>FY27E</t>
        </is>
      </c>
      <c r="D8" s="499" t="inlineStr">
        <is>
          <t>FY28E</t>
        </is>
      </c>
      <c r="E8" s="499" t="inlineStr">
        <is>
          <t>FY29E</t>
        </is>
      </c>
      <c r="F8" s="499" t="inlineStr">
        <is>
          <t>FY30E</t>
        </is>
      </c>
      <c r="G8" s="499" t="inlineStr">
        <is>
          <t>FY31E</t>
        </is>
      </c>
      <c r="H8" s="499" t="inlineStr">
        <is>
          <t>FY32E</t>
        </is>
      </c>
      <c r="I8" s="499" t="inlineStr">
        <is>
          <t>FY33E</t>
        </is>
      </c>
      <c r="J8" s="394" t="n"/>
      <c r="K8" s="394" t="n"/>
      <c r="L8" s="394" t="n"/>
      <c r="M8" s="394" t="n"/>
      <c r="N8" s="394" t="n"/>
    </row>
    <row r="9">
      <c r="A9" s="670" t="inlineStr">
        <is>
          <t>Revenue (₹ Cr)</t>
        </is>
      </c>
      <c r="B9" s="1082">
        <f>'Revenue Forecast'!$C$96</f>
        <v/>
      </c>
      <c r="C9" s="1082">
        <f>'Revenue Forecast'!$D$96</f>
        <v/>
      </c>
      <c r="D9" s="1082">
        <f>'Revenue Forecast'!$E$96</f>
        <v/>
      </c>
      <c r="E9" s="1082">
        <f>'Revenue Forecast'!$F$96</f>
        <v/>
      </c>
      <c r="F9" s="1082">
        <f>'Revenue Forecast'!$G$96</f>
        <v/>
      </c>
      <c r="G9" s="1082">
        <f>'Revenue Forecast'!$H$96</f>
        <v/>
      </c>
      <c r="H9" s="1082">
        <f>'Revenue Forecast'!$I$96</f>
        <v/>
      </c>
      <c r="I9" s="1082">
        <f>'Revenue Forecast'!$J$96</f>
        <v/>
      </c>
      <c r="J9" s="394" t="n"/>
      <c r="K9" s="394" t="n"/>
      <c r="L9" s="394" t="n"/>
      <c r="M9" s="394" t="n"/>
      <c r="N9" s="394" t="n"/>
    </row>
    <row r="10">
      <c r="A10" s="670" t="inlineStr">
        <is>
          <t>EBITDA (₹ Cr)</t>
        </is>
      </c>
      <c r="B10" s="1082">
        <f>$C$103</f>
        <v/>
      </c>
      <c r="C10" s="1082">
        <f>$D$103</f>
        <v/>
      </c>
      <c r="D10" s="1082">
        <f>$E$103</f>
        <v/>
      </c>
      <c r="E10" s="1082">
        <f>$F$103</f>
        <v/>
      </c>
      <c r="F10" s="1082">
        <f>$G$103</f>
        <v/>
      </c>
      <c r="G10" s="1082">
        <f>$H$103</f>
        <v/>
      </c>
      <c r="H10" s="1082">
        <f>$I$103</f>
        <v/>
      </c>
      <c r="I10" s="1082">
        <f>$J$103</f>
        <v/>
      </c>
      <c r="J10" s="394" t="n"/>
      <c r="K10" s="394" t="n"/>
      <c r="L10" s="394" t="n"/>
      <c r="M10" s="394" t="n"/>
      <c r="N10" s="394" t="n"/>
    </row>
    <row r="11">
      <c r="A11" s="670" t="inlineStr">
        <is>
          <t>EBITDA Margin (%)</t>
        </is>
      </c>
      <c r="B11" s="845">
        <f>'Margin Analysis'!$C$91</f>
        <v/>
      </c>
      <c r="C11" s="845">
        <f>'Margin Analysis'!$D$91</f>
        <v/>
      </c>
      <c r="D11" s="845">
        <f>'Margin Analysis'!$E$91</f>
        <v/>
      </c>
      <c r="E11" s="845">
        <f>'Margin Analysis'!$F$91</f>
        <v/>
      </c>
      <c r="F11" s="845">
        <f>'Margin Analysis'!$G$91</f>
        <v/>
      </c>
      <c r="G11" s="845">
        <f>'Margin Analysis'!$H$91</f>
        <v/>
      </c>
      <c r="H11" s="845">
        <f>'Margin Analysis'!$I$91</f>
        <v/>
      </c>
      <c r="I11" s="845">
        <f>'Margin Analysis'!$J$91</f>
        <v/>
      </c>
      <c r="J11" s="394" t="n"/>
      <c r="K11" s="394" t="n"/>
      <c r="L11" s="394" t="n"/>
      <c r="M11" s="394" t="n"/>
      <c r="N11" s="394" t="n"/>
    </row>
    <row r="12">
      <c r="A12" s="670" t="inlineStr">
        <is>
          <t>EBITDA/Tonne (₹/t)</t>
        </is>
      </c>
      <c r="B12" s="1024">
        <f>$C$101</f>
        <v/>
      </c>
      <c r="C12" s="1024">
        <f>$D$101</f>
        <v/>
      </c>
      <c r="D12" s="1024">
        <f>$E$101</f>
        <v/>
      </c>
      <c r="E12" s="1024">
        <f>$F$101</f>
        <v/>
      </c>
      <c r="F12" s="1024">
        <f>$G$101</f>
        <v/>
      </c>
      <c r="G12" s="1024">
        <f>$H$101</f>
        <v/>
      </c>
      <c r="H12" s="1024">
        <f>$I$101</f>
        <v/>
      </c>
      <c r="I12" s="1024">
        <f>$J$101</f>
        <v/>
      </c>
      <c r="J12" s="394" t="n"/>
      <c r="K12" s="394" t="n"/>
      <c r="L12" s="394" t="n"/>
      <c r="M12" s="394" t="n"/>
      <c r="N12" s="394" t="n"/>
    </row>
    <row r="13">
      <c r="A13" s="670" t="inlineStr">
        <is>
          <t>Cash Cost (₹/t)</t>
        </is>
      </c>
      <c r="B13" s="1024">
        <f>$C$100</f>
        <v/>
      </c>
      <c r="C13" s="1024">
        <f>$D$100</f>
        <v/>
      </c>
      <c r="D13" s="1024">
        <f>$E$100</f>
        <v/>
      </c>
      <c r="E13" s="1024">
        <f>$F$100</f>
        <v/>
      </c>
      <c r="F13" s="1024">
        <f>$G$100</f>
        <v/>
      </c>
      <c r="G13" s="1024">
        <f>$H$100</f>
        <v/>
      </c>
      <c r="H13" s="1024">
        <f>$I$100</f>
        <v/>
      </c>
      <c r="I13" s="1024">
        <f>$J$100</f>
        <v/>
      </c>
      <c r="J13" s="394" t="n"/>
      <c r="K13" s="394" t="n"/>
      <c r="L13" s="394" t="n"/>
      <c r="M13" s="394" t="n"/>
      <c r="N13" s="394" t="n"/>
    </row>
    <row r="14">
      <c r="A14" s="670" t="inlineStr">
        <is>
          <t>Operating Cost (₹ Cr)</t>
        </is>
      </c>
      <c r="B14" s="1083">
        <f>'Revenue Forecast'!C96-C103</f>
        <v/>
      </c>
      <c r="C14" s="1083">
        <f>'Revenue Forecast'!D96-D103</f>
        <v/>
      </c>
      <c r="D14" s="1083">
        <f>'Revenue Forecast'!E96-E103</f>
        <v/>
      </c>
      <c r="E14" s="1083">
        <f>'Revenue Forecast'!F96-F103</f>
        <v/>
      </c>
      <c r="F14" s="1083">
        <f>'Revenue Forecast'!G96-G103</f>
        <v/>
      </c>
      <c r="G14" s="1083">
        <f>'Revenue Forecast'!H96-H103</f>
        <v/>
      </c>
      <c r="H14" s="1083">
        <f>'Revenue Forecast'!I96-I103</f>
        <v/>
      </c>
      <c r="I14" s="1083">
        <f>'Revenue Forecast'!J96-J103</f>
        <v/>
      </c>
      <c r="J14" s="394" t="n"/>
      <c r="K14" s="394" t="n"/>
      <c r="L14" s="394" t="n"/>
      <c r="M14" s="394" t="n"/>
      <c r="N14" s="394" t="n"/>
    </row>
    <row r="15">
      <c r="A15" s="394" t="n"/>
      <c r="B15" s="617" t="n"/>
      <c r="C15" s="617" t="n"/>
      <c r="D15" s="617" t="n"/>
      <c r="E15" s="617" t="n"/>
      <c r="F15" s="617" t="n"/>
      <c r="G15" s="617" t="n"/>
      <c r="H15" s="617" t="n"/>
      <c r="I15" s="617" t="n"/>
      <c r="J15" s="394" t="n"/>
      <c r="K15" s="394" t="n"/>
      <c r="L15" s="394" t="n"/>
      <c r="M15" s="394" t="n"/>
      <c r="N15" s="394" t="n"/>
    </row>
    <row r="16">
      <c r="A16" s="394" t="n"/>
      <c r="B16" s="617" t="n"/>
      <c r="C16" s="617" t="n"/>
      <c r="D16" s="617" t="n"/>
      <c r="E16" s="617" t="n"/>
      <c r="F16" s="617" t="n"/>
      <c r="G16" s="617" t="n"/>
      <c r="H16" s="617" t="n"/>
      <c r="I16" s="617" t="n"/>
      <c r="J16" s="394" t="n"/>
      <c r="K16" s="394" t="n"/>
      <c r="L16" s="394" t="n"/>
      <c r="M16" s="394" t="n"/>
      <c r="N16" s="394" t="n"/>
    </row>
    <row r="17" ht="15.6" customHeight="1" s="632">
      <c r="A17" s="612" t="inlineStr">
        <is>
          <t>EBITDA Build Up</t>
        </is>
      </c>
      <c r="J17" s="394" t="n"/>
      <c r="K17" s="394" t="n"/>
      <c r="L17" s="394" t="n"/>
      <c r="M17" s="394" t="n"/>
      <c r="N17" s="394" t="n"/>
    </row>
    <row r="18">
      <c r="A18" s="506" t="inlineStr">
        <is>
          <t>Year</t>
        </is>
      </c>
      <c r="B18" s="499" t="inlineStr">
        <is>
          <t>Revenue</t>
        </is>
      </c>
      <c r="C18" s="499" t="inlineStr">
        <is>
          <t>Raw Material Cost</t>
        </is>
      </c>
      <c r="D18" s="499" t="inlineStr">
        <is>
          <t>Conversion Cost</t>
        </is>
      </c>
      <c r="E18" s="499" t="inlineStr">
        <is>
          <t>Logistics</t>
        </is>
      </c>
      <c r="F18" s="499" t="inlineStr">
        <is>
          <t>SG&amp;A</t>
        </is>
      </c>
      <c r="G18" s="499" t="inlineStr">
        <is>
          <t>Other Opex</t>
        </is>
      </c>
      <c r="H18" s="499" t="inlineStr">
        <is>
          <t>Total Opex</t>
        </is>
      </c>
      <c r="I18" s="499" t="inlineStr">
        <is>
          <t>EBITDA</t>
        </is>
      </c>
      <c r="J18" s="394" t="n"/>
      <c r="K18" s="394" t="n"/>
      <c r="L18" s="394" t="n"/>
      <c r="M18" s="707" t="inlineStr">
        <is>
          <t>Ref</t>
        </is>
      </c>
      <c r="N18" s="394" t="n"/>
    </row>
    <row r="19">
      <c r="A19" s="670" t="inlineStr">
        <is>
          <t>FY26A</t>
        </is>
      </c>
      <c r="B19" s="1082">
        <f>'Revenue Forecast'!$C$96</f>
        <v/>
      </c>
      <c r="C19" s="1084">
        <f>'Cost Curve'!C80*'Model Assumptions'!D$20*'Steel Supply Model'!C101/10</f>
        <v/>
      </c>
      <c r="D19" s="1084">
        <f>('Cost Curve'!C80*(1-'Model Assumptions'!D$20)*'Steel Supply Model'!C101/10)*(1-$K$19-$K$20-$K$21)</f>
        <v/>
      </c>
      <c r="E19" s="1084">
        <f>$D$19/(1-$K$19-$K$20-$K$21)*$K$19</f>
        <v/>
      </c>
      <c r="F19" s="1084">
        <f>$D$19/(1-$K$19-$K$20-$K$21)*$K$20</f>
        <v/>
      </c>
      <c r="G19" s="1084">
        <f>$D$19/(1-$K$19-$K$20-$K$21)*$K$21</f>
        <v/>
      </c>
      <c r="H19" s="1084">
        <f>C19+D19+E19+F19+G19</f>
        <v/>
      </c>
      <c r="I19" s="1082">
        <f>$C$103</f>
        <v/>
      </c>
      <c r="J19" s="394" t="n"/>
      <c r="K19" s="1085" t="n">
        <v>0.22</v>
      </c>
      <c r="L19" s="394" t="n"/>
      <c r="M19" s="708" t="inlineStr">
        <is>
          <t>EM01</t>
        </is>
      </c>
      <c r="N19" s="394" t="n"/>
    </row>
    <row r="20">
      <c r="A20" s="670" t="inlineStr">
        <is>
          <t>FY27E</t>
        </is>
      </c>
      <c r="B20" s="1082">
        <f>'Revenue Forecast'!$D$96</f>
        <v/>
      </c>
      <c r="C20" s="1084">
        <f>'Cost Curve'!D80*'Model Assumptions'!E$20*'Steel Supply Model'!D101/10</f>
        <v/>
      </c>
      <c r="D20" s="1084">
        <f>('Cost Curve'!D80*(1-'Model Assumptions'!E$20)*'Steel Supply Model'!D101/10)*(1-$K$19-$K$20-$K$21)</f>
        <v/>
      </c>
      <c r="E20" s="1084">
        <f>$D$20/(1-$K$19-$K$20-$K$21)*$K$19</f>
        <v/>
      </c>
      <c r="F20" s="1084">
        <f>$D$20/(1-$K$19-$K$20-$K$21)*$K$20</f>
        <v/>
      </c>
      <c r="G20" s="1084">
        <f>$D$20/(1-$K$19-$K$20-$K$21)*$K$21</f>
        <v/>
      </c>
      <c r="H20" s="1084">
        <f>C20+D20+E20+F20+G20</f>
        <v/>
      </c>
      <c r="I20" s="1082">
        <f>$D$103</f>
        <v/>
      </c>
      <c r="J20" s="394" t="n"/>
      <c r="K20" s="1085" t="n">
        <v>0.15</v>
      </c>
      <c r="L20" s="394" t="n"/>
      <c r="M20" s="708" t="inlineStr">
        <is>
          <t>EM01</t>
        </is>
      </c>
      <c r="N20" s="394" t="n"/>
    </row>
    <row r="21">
      <c r="A21" s="670" t="inlineStr">
        <is>
          <t>FY28E</t>
        </is>
      </c>
      <c r="B21" s="1082">
        <f>'Revenue Forecast'!$E$96</f>
        <v/>
      </c>
      <c r="C21" s="1084">
        <f>'Cost Curve'!E80*'Model Assumptions'!F$20*'Steel Supply Model'!E101/10</f>
        <v/>
      </c>
      <c r="D21" s="1084">
        <f>('Cost Curve'!E80*(1-'Model Assumptions'!F$20)*'Steel Supply Model'!E101/10)*(1-$K$19-$K$20-$K$21)</f>
        <v/>
      </c>
      <c r="E21" s="1084">
        <f>$D$21/(1-$K$19-$K$20-$K$21)*$K$19</f>
        <v/>
      </c>
      <c r="F21" s="1084">
        <f>$D$21/(1-$K$19-$K$20-$K$21)*$K$20</f>
        <v/>
      </c>
      <c r="G21" s="1084">
        <f>$D$21/(1-$K$19-$K$20-$K$21)*$K$21</f>
        <v/>
      </c>
      <c r="H21" s="1084">
        <f>C21+D21+E21+F21+G21</f>
        <v/>
      </c>
      <c r="I21" s="1082">
        <f>$E$103</f>
        <v/>
      </c>
      <c r="J21" s="394" t="n"/>
      <c r="K21" s="1085" t="n">
        <v>0.13</v>
      </c>
      <c r="L21" s="394" t="n"/>
      <c r="M21" s="708" t="inlineStr">
        <is>
          <t>EM01</t>
        </is>
      </c>
      <c r="N21" s="394" t="n"/>
    </row>
    <row r="22">
      <c r="A22" s="670" t="inlineStr">
        <is>
          <t>FY29E</t>
        </is>
      </c>
      <c r="B22" s="1082">
        <f>'Revenue Forecast'!$F$96</f>
        <v/>
      </c>
      <c r="C22" s="1084">
        <f>'Cost Curve'!F80*'Model Assumptions'!G$20*'Steel Supply Model'!F101/10</f>
        <v/>
      </c>
      <c r="D22" s="1084">
        <f>('Cost Curve'!F80*(1-'Model Assumptions'!G$20)*'Steel Supply Model'!F101/10)*(1-$K$19-$K$20-$K$21)</f>
        <v/>
      </c>
      <c r="E22" s="1084">
        <f>$D$22/(1-$K$19-$K$20-$K$21)*$K$19</f>
        <v/>
      </c>
      <c r="F22" s="1084">
        <f>$D$22/(1-$K$19-$K$20-$K$21)*$K$20</f>
        <v/>
      </c>
      <c r="G22" s="1084">
        <f>$D$22/(1-$K$19-$K$20-$K$21)*$K$21</f>
        <v/>
      </c>
      <c r="H22" s="1084">
        <f>C22+D22+E22+F22+G22</f>
        <v/>
      </c>
      <c r="I22" s="1082">
        <f>$F$103</f>
        <v/>
      </c>
      <c r="J22" s="394" t="n"/>
      <c r="K22" s="394" t="n"/>
      <c r="L22" s="394" t="n"/>
      <c r="M22" s="708" t="inlineStr">
        <is>
          <t>EM01</t>
        </is>
      </c>
      <c r="N22" s="394" t="n"/>
    </row>
    <row r="23">
      <c r="A23" s="670" t="inlineStr">
        <is>
          <t>FY30E</t>
        </is>
      </c>
      <c r="B23" s="1082">
        <f>'Revenue Forecast'!$G$96</f>
        <v/>
      </c>
      <c r="C23" s="1084">
        <f>'Cost Curve'!G80*'Model Assumptions'!H$20*'Steel Supply Model'!G101/10</f>
        <v/>
      </c>
      <c r="D23" s="1084">
        <f>('Cost Curve'!G80*(1-'Model Assumptions'!H$20)*'Steel Supply Model'!G101/10)*(1-$K$19-$K$20-$K$21)</f>
        <v/>
      </c>
      <c r="E23" s="1084">
        <f>$D$23/(1-$K$19-$K$20-$K$21)*$K$19</f>
        <v/>
      </c>
      <c r="F23" s="1084">
        <f>$D$23/(1-$K$19-$K$20-$K$21)*$K$20</f>
        <v/>
      </c>
      <c r="G23" s="1084">
        <f>$D$23/(1-$K$19-$K$20-$K$21)*$K$21</f>
        <v/>
      </c>
      <c r="H23" s="1084">
        <f>C23+D23+E23+F23+G23</f>
        <v/>
      </c>
      <c r="I23" s="1082">
        <f>$G$103</f>
        <v/>
      </c>
      <c r="J23" s="394" t="n"/>
      <c r="K23" s="394" t="n"/>
      <c r="L23" s="394" t="n"/>
      <c r="M23" s="708" t="inlineStr">
        <is>
          <t>EM01</t>
        </is>
      </c>
      <c r="N23" s="394" t="n"/>
    </row>
    <row r="24">
      <c r="A24" s="670" t="inlineStr">
        <is>
          <t>FY31E</t>
        </is>
      </c>
      <c r="B24" s="1082">
        <f>'Revenue Forecast'!$H$96</f>
        <v/>
      </c>
      <c r="C24" s="1084">
        <f>'Cost Curve'!H80*'Model Assumptions'!I$20*'Steel Supply Model'!H101/10</f>
        <v/>
      </c>
      <c r="D24" s="1084">
        <f>('Cost Curve'!H80*(1-'Model Assumptions'!I$20)*'Steel Supply Model'!H101/10)*(1-$K$19-$K$20-$K$21)</f>
        <v/>
      </c>
      <c r="E24" s="1084">
        <f>$D$24/(1-$K$19-$K$20-$K$21)*$K$19</f>
        <v/>
      </c>
      <c r="F24" s="1084">
        <f>$D$24/(1-$K$19-$K$20-$K$21)*$K$20</f>
        <v/>
      </c>
      <c r="G24" s="1084">
        <f>$D$24/(1-$K$19-$K$20-$K$21)*$K$21</f>
        <v/>
      </c>
      <c r="H24" s="1084">
        <f>C24+D24+E24+F24+G24</f>
        <v/>
      </c>
      <c r="I24" s="1082">
        <f>$H$103</f>
        <v/>
      </c>
      <c r="J24" s="394" t="n"/>
      <c r="K24" s="394" t="n"/>
      <c r="L24" s="394" t="n"/>
      <c r="M24" s="708" t="inlineStr">
        <is>
          <t>EM01</t>
        </is>
      </c>
      <c r="N24" s="394" t="n"/>
    </row>
    <row r="25">
      <c r="A25" s="670" t="inlineStr">
        <is>
          <t>FY32E</t>
        </is>
      </c>
      <c r="B25" s="1082">
        <f>'Revenue Forecast'!$I$96</f>
        <v/>
      </c>
      <c r="C25" s="1084">
        <f>'Cost Curve'!I80*'Model Assumptions'!J$20*'Steel Supply Model'!I101/10</f>
        <v/>
      </c>
      <c r="D25" s="1084">
        <f>('Cost Curve'!I80*(1-'Model Assumptions'!J$20)*'Steel Supply Model'!I101/10)*(1-$K$19-$K$20-$K$21)</f>
        <v/>
      </c>
      <c r="E25" s="1084">
        <f>$D$25/(1-$K$19-$K$20-$K$21)*$K$19</f>
        <v/>
      </c>
      <c r="F25" s="1084">
        <f>$D$25/(1-$K$19-$K$20-$K$21)*$K$20</f>
        <v/>
      </c>
      <c r="G25" s="1084">
        <f>$D$25/(1-$K$19-$K$20-$K$21)*$K$21</f>
        <v/>
      </c>
      <c r="H25" s="1084">
        <f>C25+D25+E25+F25+G25</f>
        <v/>
      </c>
      <c r="I25" s="1082">
        <f>$I$103</f>
        <v/>
      </c>
      <c r="J25" s="394" t="n"/>
      <c r="K25" s="394" t="n"/>
      <c r="L25" s="394" t="n"/>
      <c r="M25" s="708" t="inlineStr">
        <is>
          <t>EM01</t>
        </is>
      </c>
      <c r="N25" s="394" t="n"/>
    </row>
    <row r="26">
      <c r="A26" s="670" t="inlineStr">
        <is>
          <t>FY33E</t>
        </is>
      </c>
      <c r="B26" s="1082">
        <f>'Revenue Forecast'!$J$96</f>
        <v/>
      </c>
      <c r="C26" s="1084">
        <f>'Cost Curve'!J80*'Model Assumptions'!K$20*'Steel Supply Model'!J101/10</f>
        <v/>
      </c>
      <c r="D26" s="1084">
        <f>('Cost Curve'!J80*(1-'Model Assumptions'!K$20)*'Steel Supply Model'!J101/10)*(1-$K$19-$K$20-$K$21)</f>
        <v/>
      </c>
      <c r="E26" s="1084">
        <f>$D$26/(1-$K$19-$K$20-$K$21)*$K$19</f>
        <v/>
      </c>
      <c r="F26" s="1084">
        <f>$D$26/(1-$K$19-$K$20-$K$21)*$K$20</f>
        <v/>
      </c>
      <c r="G26" s="1084">
        <f>$D$26/(1-$K$19-$K$20-$K$21)*$K$21</f>
        <v/>
      </c>
      <c r="H26" s="1084">
        <f>C26+D26+E26+F26+G26</f>
        <v/>
      </c>
      <c r="I26" s="1082">
        <f>$J$103</f>
        <v/>
      </c>
      <c r="J26" s="394" t="n"/>
      <c r="K26" s="394" t="n"/>
      <c r="L26" s="394" t="n"/>
      <c r="M26" s="708" t="inlineStr">
        <is>
          <t>EM01, EM02</t>
        </is>
      </c>
      <c r="N26" s="394" t="n"/>
    </row>
    <row r="27">
      <c r="A27" s="394" t="n"/>
      <c r="B27" s="617" t="n"/>
      <c r="C27" s="617" t="n"/>
      <c r="D27" s="617" t="n"/>
      <c r="E27" s="617" t="n"/>
      <c r="F27" s="617" t="n"/>
      <c r="G27" s="617" t="n"/>
      <c r="H27" s="617" t="n"/>
      <c r="I27" s="617" t="n"/>
      <c r="J27" s="394" t="n"/>
      <c r="K27" s="394" t="n"/>
      <c r="L27" s="394" t="n"/>
      <c r="M27" s="394" t="n"/>
      <c r="N27" s="394" t="n"/>
    </row>
    <row r="28">
      <c r="A28" s="394" t="n"/>
      <c r="B28" s="617" t="n"/>
      <c r="C28" s="617" t="n"/>
      <c r="D28" s="617" t="n"/>
      <c r="E28" s="617" t="n"/>
      <c r="F28" s="617" t="n"/>
      <c r="G28" s="617" t="n"/>
      <c r="H28" s="617" t="n"/>
      <c r="I28" s="617" t="n"/>
      <c r="J28" s="394" t="n"/>
      <c r="K28" s="394" t="n"/>
      <c r="L28" s="394" t="n"/>
      <c r="M28" s="394" t="n"/>
      <c r="N28" s="394" t="n"/>
    </row>
    <row r="29" ht="15.6" customHeight="1" s="632">
      <c r="A29" s="612" t="inlineStr">
        <is>
          <t>Cost Bridge</t>
        </is>
      </c>
      <c r="D29" s="656" t="n"/>
      <c r="E29" s="656" t="n"/>
      <c r="F29" s="656" t="n"/>
      <c r="G29" s="656" t="n"/>
      <c r="H29" s="656" t="n"/>
      <c r="I29" s="656" t="n"/>
      <c r="J29" s="394" t="n"/>
      <c r="K29" s="394" t="n"/>
      <c r="L29" s="394" t="n"/>
      <c r="M29" s="394" t="n"/>
      <c r="N29" s="394" t="n"/>
    </row>
    <row r="30">
      <c r="A30" s="506" t="inlineStr">
        <is>
          <t>Cost Component</t>
        </is>
      </c>
      <c r="B30" s="499" t="inlineStr">
        <is>
          <t>₹ Cr</t>
        </is>
      </c>
      <c r="C30" s="499" t="inlineStr">
        <is>
          <t>% of Total Opex</t>
        </is>
      </c>
      <c r="D30" s="617" t="n"/>
      <c r="E30" s="707" t="inlineStr">
        <is>
          <t>Ref</t>
        </is>
      </c>
      <c r="F30" s="617" t="n"/>
      <c r="G30" s="617" t="n"/>
      <c r="H30" s="617" t="n"/>
      <c r="I30" s="617" t="n"/>
      <c r="J30" s="394" t="n"/>
      <c r="K30" s="394" t="n"/>
      <c r="L30" s="394" t="n"/>
      <c r="M30" s="394" t="n"/>
      <c r="N30" s="394" t="n"/>
    </row>
    <row r="31">
      <c r="A31" s="670" t="inlineStr">
        <is>
          <t>Iron Ore</t>
        </is>
      </c>
      <c r="B31" s="1084">
        <f>'Cost Curve'!$J$38*'Cost Curve'!$C$80*'Model Assumptions'!$D$20*'Steel Supply Model'!$C$101/10</f>
        <v/>
      </c>
      <c r="C31" s="813">
        <f>IFERROR(B31/$B$42,"")</f>
        <v/>
      </c>
      <c r="D31" s="617" t="n"/>
      <c r="E31" s="708" t="inlineStr">
        <is>
          <t>EM03</t>
        </is>
      </c>
      <c r="F31" s="617" t="n"/>
      <c r="G31" s="617" t="n"/>
      <c r="H31" s="617" t="n"/>
      <c r="I31" s="617" t="n"/>
      <c r="J31" s="394" t="n"/>
      <c r="K31" s="394" t="n"/>
      <c r="L31" s="394" t="n"/>
      <c r="M31" s="394" t="n"/>
      <c r="N31" s="394" t="n"/>
    </row>
    <row r="32">
      <c r="A32" s="670" t="inlineStr">
        <is>
          <t>Coking Coal</t>
        </is>
      </c>
      <c r="B32" s="1084">
        <f>'Cost Curve'!$J$39*'Cost Curve'!$C$80*'Model Assumptions'!$D$20*'Steel Supply Model'!$C$101/10</f>
        <v/>
      </c>
      <c r="C32" s="813">
        <f>IFERROR(B32/$B$42,"")</f>
        <v/>
      </c>
      <c r="D32" s="617" t="n"/>
      <c r="E32" s="708" t="inlineStr">
        <is>
          <t>EM03</t>
        </is>
      </c>
      <c r="F32" s="617" t="n"/>
      <c r="G32" s="617" t="n"/>
      <c r="H32" s="617" t="n"/>
      <c r="I32" s="617" t="n"/>
      <c r="J32" s="394" t="n"/>
      <c r="K32" s="394" t="n"/>
      <c r="L32" s="394" t="n"/>
      <c r="M32" s="394" t="n"/>
      <c r="N32" s="394" t="n"/>
    </row>
    <row r="33">
      <c r="A33" s="670" t="inlineStr">
        <is>
          <t>PCI Coal</t>
        </is>
      </c>
      <c r="B33" s="1084">
        <f>'Cost Curve'!$J$40*'Cost Curve'!$C$80*'Model Assumptions'!$D$20*'Steel Supply Model'!$C$101/10</f>
        <v/>
      </c>
      <c r="C33" s="813">
        <f>IFERROR(B33/$B$42,"")</f>
        <v/>
      </c>
      <c r="D33" s="617" t="n"/>
      <c r="E33" s="708" t="inlineStr">
        <is>
          <t>EM03</t>
        </is>
      </c>
      <c r="F33" s="617" t="n"/>
      <c r="G33" s="617" t="n"/>
      <c r="H33" s="617" t="n"/>
      <c r="I33" s="617" t="n"/>
      <c r="J33" s="394" t="n"/>
      <c r="K33" s="394" t="n"/>
      <c r="L33" s="394" t="n"/>
      <c r="M33" s="394" t="n"/>
      <c r="N33" s="394" t="n"/>
    </row>
    <row r="34">
      <c r="A34" s="670" t="inlineStr">
        <is>
          <t>Scrap</t>
        </is>
      </c>
      <c r="B34" s="1084">
        <f>'Cost Curve'!$J$41*'Cost Curve'!$C$80*'Model Assumptions'!$D$20*'Steel Supply Model'!$C$101/10</f>
        <v/>
      </c>
      <c r="C34" s="813">
        <f>IFERROR(B34/$B$42,"")</f>
        <v/>
      </c>
      <c r="D34" s="617" t="n"/>
      <c r="E34" s="708" t="inlineStr">
        <is>
          <t>EM03</t>
        </is>
      </c>
      <c r="F34" s="617" t="n"/>
      <c r="G34" s="617" t="n"/>
      <c r="H34" s="617" t="n"/>
      <c r="I34" s="617" t="n"/>
      <c r="J34" s="394" t="n"/>
      <c r="K34" s="394" t="n"/>
      <c r="L34" s="394" t="n"/>
      <c r="M34" s="394" t="n"/>
      <c r="N34" s="394" t="n"/>
    </row>
    <row r="35">
      <c r="A35" s="670" t="inlineStr">
        <is>
          <t>Fluxes</t>
        </is>
      </c>
      <c r="B35" s="1084">
        <f>'Cost Curve'!$J$42*'Cost Curve'!$C$80*'Model Assumptions'!$D$20*'Steel Supply Model'!$C$101/10</f>
        <v/>
      </c>
      <c r="C35" s="813">
        <f>IFERROR(B35/$B$42,"")</f>
        <v/>
      </c>
      <c r="D35" s="617" t="n"/>
      <c r="E35" s="708" t="inlineStr">
        <is>
          <t>EM03</t>
        </is>
      </c>
      <c r="F35" s="617" t="n"/>
      <c r="G35" s="617" t="n"/>
      <c r="H35" s="617" t="n"/>
      <c r="I35" s="617" t="n"/>
      <c r="J35" s="394" t="n"/>
      <c r="K35" s="394" t="n"/>
      <c r="L35" s="394" t="n"/>
      <c r="M35" s="394" t="n"/>
      <c r="N35" s="394" t="n"/>
    </row>
    <row r="36">
      <c r="A36" s="670" t="inlineStr">
        <is>
          <t>Power &amp; Fuel</t>
        </is>
      </c>
      <c r="B36" s="1084">
        <f>'Cost Curve'!$K$43*'Cost Curve'!$C$80*(1-'Model Assumptions'!$D$20)*'Steel Supply Model'!$C$101/10</f>
        <v/>
      </c>
      <c r="C36" s="813">
        <f>IFERROR(B36/$B$42,"")</f>
        <v/>
      </c>
      <c r="D36" s="617" t="n"/>
      <c r="E36" s="708" t="inlineStr">
        <is>
          <t>EM03</t>
        </is>
      </c>
      <c r="F36" s="617" t="n"/>
      <c r="G36" s="617" t="n"/>
      <c r="H36" s="617" t="n"/>
      <c r="I36" s="617" t="n"/>
      <c r="J36" s="394" t="n"/>
      <c r="K36" s="394" t="n"/>
      <c r="L36" s="394" t="n"/>
      <c r="M36" s="394" t="n"/>
      <c r="N36" s="394" t="n"/>
    </row>
    <row r="37">
      <c r="A37" s="670" t="inlineStr">
        <is>
          <t>Labour</t>
        </is>
      </c>
      <c r="B37" s="1084">
        <f>'Cost Curve'!$K$44*'Cost Curve'!$C$80*(1-'Model Assumptions'!$D$20)*'Steel Supply Model'!$C$101/10</f>
        <v/>
      </c>
      <c r="C37" s="813">
        <f>IFERROR(B37/$B$42,"")</f>
        <v/>
      </c>
      <c r="D37" s="617" t="n"/>
      <c r="E37" s="708" t="inlineStr">
        <is>
          <t>EM03</t>
        </is>
      </c>
      <c r="F37" s="617" t="n"/>
      <c r="G37" s="617" t="n"/>
      <c r="H37" s="617" t="n"/>
      <c r="I37" s="617" t="n"/>
      <c r="J37" s="394" t="n"/>
      <c r="K37" s="394" t="n"/>
      <c r="L37" s="394" t="n"/>
      <c r="M37" s="394" t="n"/>
      <c r="N37" s="394" t="n"/>
    </row>
    <row r="38">
      <c r="A38" s="670" t="inlineStr">
        <is>
          <t>Maintenance</t>
        </is>
      </c>
      <c r="B38" s="1084">
        <f>'Cost Curve'!$K$45*'Cost Curve'!$C$80*(1-'Model Assumptions'!$D$20)*'Steel Supply Model'!$C$101/10</f>
        <v/>
      </c>
      <c r="C38" s="813">
        <f>IFERROR(B38/$B$42,"")</f>
        <v/>
      </c>
      <c r="D38" s="617" t="n"/>
      <c r="E38" s="708" t="inlineStr">
        <is>
          <t>EM03</t>
        </is>
      </c>
      <c r="F38" s="617" t="n"/>
      <c r="G38" s="617" t="n"/>
      <c r="H38" s="617" t="n"/>
      <c r="I38" s="617" t="n"/>
      <c r="J38" s="394" t="n"/>
      <c r="K38" s="394" t="n"/>
      <c r="L38" s="394" t="n"/>
      <c r="M38" s="394" t="n"/>
      <c r="N38" s="394" t="n"/>
    </row>
    <row r="39">
      <c r="A39" s="670" t="inlineStr">
        <is>
          <t>Logistics</t>
        </is>
      </c>
      <c r="B39" s="1084">
        <f>'Cost Curve'!$K$46*'Cost Curve'!$C$80*(1-'Model Assumptions'!$D$20)*'Steel Supply Model'!$C$101/10</f>
        <v/>
      </c>
      <c r="C39" s="813">
        <f>IFERROR(B39/$B$42,"")</f>
        <v/>
      </c>
      <c r="D39" s="617" t="n"/>
      <c r="E39" s="708" t="inlineStr">
        <is>
          <t>EM03</t>
        </is>
      </c>
      <c r="F39" s="617" t="n"/>
      <c r="G39" s="617" t="n"/>
      <c r="H39" s="617" t="n"/>
      <c r="I39" s="617" t="n"/>
      <c r="J39" s="394" t="n"/>
      <c r="K39" s="394" t="n"/>
      <c r="L39" s="394" t="n"/>
      <c r="M39" s="394" t="n"/>
      <c r="N39" s="394" t="n"/>
    </row>
    <row r="40">
      <c r="A40" s="670" t="inlineStr">
        <is>
          <t>SG&amp;A</t>
        </is>
      </c>
      <c r="B40" s="1084">
        <f>'Cost Curve'!$K$50*'Cost Curve'!$C$80*(1-'Model Assumptions'!$D$20)*'Steel Supply Model'!$C$101/10</f>
        <v/>
      </c>
      <c r="C40" s="813">
        <f>IFERROR(B40/$B$42,"")</f>
        <v/>
      </c>
      <c r="D40" s="617" t="n"/>
      <c r="E40" s="708" t="inlineStr">
        <is>
          <t>EM03</t>
        </is>
      </c>
      <c r="F40" s="617" t="n"/>
      <c r="G40" s="617" t="n"/>
      <c r="H40" s="617" t="n"/>
      <c r="I40" s="617" t="n"/>
      <c r="J40" s="394" t="n"/>
      <c r="K40" s="394" t="n"/>
      <c r="L40" s="394" t="n"/>
      <c r="M40" s="394" t="n"/>
      <c r="N40" s="394" t="n"/>
    </row>
    <row r="41">
      <c r="A41" s="670" t="inlineStr">
        <is>
          <t>Other Operating Cost</t>
        </is>
      </c>
      <c r="B41" s="1084">
        <f>'Cost Curve'!$K$47*'Cost Curve'!$C$80*(1-'Model Assumptions'!$D$20)*'Steel Supply Model'!$C$101/10</f>
        <v/>
      </c>
      <c r="C41" s="813">
        <f>IFERROR(B41/$B$42,"")</f>
        <v/>
      </c>
      <c r="D41" s="617" t="n"/>
      <c r="E41" s="708" t="inlineStr">
        <is>
          <t>EM03</t>
        </is>
      </c>
      <c r="F41" s="617" t="n"/>
      <c r="G41" s="617" t="n"/>
      <c r="H41" s="617" t="n"/>
      <c r="I41" s="617" t="n"/>
      <c r="J41" s="394" t="n"/>
      <c r="K41" s="394" t="n"/>
      <c r="L41" s="394" t="n"/>
      <c r="M41" s="394" t="n"/>
      <c r="N41" s="394" t="n"/>
    </row>
    <row r="42">
      <c r="A42" s="489" t="inlineStr">
        <is>
          <t>Total Opex</t>
        </is>
      </c>
      <c r="B42" s="1084">
        <f>SUM(B31:B41)</f>
        <v/>
      </c>
      <c r="C42" s="813">
        <f>IFERROR(B42/$B$42,"")</f>
        <v/>
      </c>
      <c r="D42" s="617" t="n"/>
      <c r="E42" s="708" t="inlineStr">
        <is>
          <t>EM03</t>
        </is>
      </c>
      <c r="F42" s="617" t="n"/>
      <c r="G42" s="617" t="n"/>
      <c r="H42" s="617" t="n"/>
      <c r="I42" s="617" t="n"/>
      <c r="J42" s="394" t="n"/>
      <c r="K42" s="394" t="n"/>
      <c r="L42" s="394" t="n"/>
      <c r="M42" s="394" t="n"/>
      <c r="N42" s="394" t="n"/>
    </row>
    <row r="43">
      <c r="A43" s="394" t="n"/>
      <c r="B43" s="617" t="n"/>
      <c r="C43" s="617" t="n"/>
      <c r="D43" s="617" t="n"/>
      <c r="E43" s="617" t="n"/>
      <c r="F43" s="617" t="n"/>
      <c r="G43" s="617" t="n"/>
      <c r="H43" s="617" t="n"/>
      <c r="I43" s="617" t="n"/>
      <c r="J43" s="394" t="n"/>
      <c r="K43" s="394" t="n"/>
      <c r="L43" s="394" t="n"/>
      <c r="M43" s="394" t="n"/>
      <c r="N43" s="394" t="n"/>
    </row>
    <row r="44">
      <c r="A44" s="394" t="n"/>
      <c r="B44" s="617" t="n"/>
      <c r="C44" s="617" t="n"/>
      <c r="D44" s="617" t="n"/>
      <c r="E44" s="617" t="n"/>
      <c r="F44" s="617" t="n"/>
      <c r="G44" s="617" t="n"/>
      <c r="H44" s="617" t="n"/>
      <c r="I44" s="617" t="n"/>
      <c r="J44" s="394" t="n"/>
      <c r="K44" s="394" t="n"/>
      <c r="L44" s="394" t="n"/>
      <c r="M44" s="394" t="n"/>
      <c r="N44" s="394" t="n"/>
    </row>
    <row r="45" ht="15.6" customHeight="1" s="632">
      <c r="A45" s="612" t="inlineStr">
        <is>
          <t>EBITDA Bridge</t>
        </is>
      </c>
      <c r="I45" s="617" t="n"/>
      <c r="J45" s="394" t="n"/>
      <c r="K45" s="394" t="n"/>
      <c r="L45" s="394" t="n"/>
      <c r="M45" s="394" t="n"/>
      <c r="N45" s="394" t="n"/>
    </row>
    <row r="46">
      <c r="A46" s="506" t="inlineStr">
        <is>
          <t>Driver</t>
        </is>
      </c>
      <c r="B46" s="506" t="inlineStr">
        <is>
          <t>FY27E</t>
        </is>
      </c>
      <c r="C46" s="506" t="inlineStr">
        <is>
          <t>FY28E</t>
        </is>
      </c>
      <c r="D46" s="506" t="inlineStr">
        <is>
          <t>FY29E</t>
        </is>
      </c>
      <c r="E46" s="506" t="inlineStr">
        <is>
          <t>FY30E</t>
        </is>
      </c>
      <c r="F46" s="506" t="inlineStr">
        <is>
          <t>FY31E</t>
        </is>
      </c>
      <c r="G46" s="506" t="inlineStr">
        <is>
          <t>FY32E</t>
        </is>
      </c>
      <c r="H46" s="506" t="inlineStr">
        <is>
          <t>FY33E</t>
        </is>
      </c>
      <c r="I46" s="617" t="n"/>
      <c r="J46" s="707" t="inlineStr">
        <is>
          <t>Ref</t>
        </is>
      </c>
      <c r="K46" s="394" t="n"/>
      <c r="L46" s="394" t="n"/>
      <c r="M46" s="394" t="n"/>
      <c r="N46" s="394" t="n"/>
    </row>
    <row r="47">
      <c r="A47" s="670" t="inlineStr">
        <is>
          <t>Previous EBITDA</t>
        </is>
      </c>
      <c r="B47" s="1079">
        <f>$C$103</f>
        <v/>
      </c>
      <c r="C47" s="1079">
        <f>$D$103</f>
        <v/>
      </c>
      <c r="D47" s="1079">
        <f>$E$103</f>
        <v/>
      </c>
      <c r="E47" s="1079">
        <f>$F$103</f>
        <v/>
      </c>
      <c r="F47" s="1079">
        <f>$G$103</f>
        <v/>
      </c>
      <c r="G47" s="1079">
        <f>$H$103</f>
        <v/>
      </c>
      <c r="H47" s="1079">
        <f>$I$103</f>
        <v/>
      </c>
      <c r="I47" s="617" t="n"/>
      <c r="J47" s="394" t="n"/>
      <c r="K47" s="394" t="n"/>
      <c r="L47" s="394" t="n"/>
      <c r="M47" s="394" t="n"/>
      <c r="N47" s="394" t="n"/>
    </row>
    <row r="48">
      <c r="A48" s="670" t="inlineStr">
        <is>
          <t>Volume Effect</t>
        </is>
      </c>
      <c r="B48" s="1079">
        <f>(D102-C102)*C101/10</f>
        <v/>
      </c>
      <c r="C48" s="1079">
        <f>(E102-D102)*D101/10</f>
        <v/>
      </c>
      <c r="D48" s="1079">
        <f>(F102-E102)*E101/10</f>
        <v/>
      </c>
      <c r="E48" s="1079">
        <f>(G102-F102)*F101/10</f>
        <v/>
      </c>
      <c r="F48" s="1079">
        <f>(H102-G102)*G101/10</f>
        <v/>
      </c>
      <c r="G48" s="1079">
        <f>(I102-H102)*H101/10</f>
        <v/>
      </c>
      <c r="H48" s="1079">
        <f>(J102-I102)*I101/10</f>
        <v/>
      </c>
      <c r="I48" s="617" t="n"/>
      <c r="J48" s="394" t="n"/>
      <c r="K48" s="394" t="n"/>
      <c r="L48" s="394" t="n"/>
      <c r="M48" s="394" t="n"/>
      <c r="N48" s="394" t="n"/>
    </row>
    <row r="49">
      <c r="A49" s="670" t="inlineStr">
        <is>
          <t>Price Effect</t>
        </is>
      </c>
      <c r="B49" s="1079">
        <f>D102*(D99-C99)/10</f>
        <v/>
      </c>
      <c r="C49" s="1079">
        <f>E102*(E99-D99)/10</f>
        <v/>
      </c>
      <c r="D49" s="1079">
        <f>F102*(F99-E99)/10</f>
        <v/>
      </c>
      <c r="E49" s="1079">
        <f>G102*(G99-F99)/10</f>
        <v/>
      </c>
      <c r="F49" s="1079">
        <f>H102*(H99-G99)/10</f>
        <v/>
      </c>
      <c r="G49" s="1079">
        <f>I102*(I99-H99)/10</f>
        <v/>
      </c>
      <c r="H49" s="1079">
        <f>J102*(J99-I99)/10</f>
        <v/>
      </c>
      <c r="I49" s="617" t="n"/>
      <c r="J49" s="394" t="n"/>
      <c r="K49" s="394" t="n"/>
      <c r="L49" s="394" t="n"/>
      <c r="M49" s="394" t="n"/>
      <c r="N49" s="394" t="n"/>
    </row>
    <row r="50">
      <c r="A50" s="670" t="inlineStr">
        <is>
          <t>Raw Material Effect</t>
        </is>
      </c>
      <c r="B50" s="1079">
        <f>-D102*('Cost Curve'!D80*'Model Assumptions'!E$20-'Cost Curve'!C80*'Model Assumptions'!D$20)/10</f>
        <v/>
      </c>
      <c r="C50" s="1079">
        <f>-E102*('Cost Curve'!E80*'Model Assumptions'!F$20-'Cost Curve'!D80*'Model Assumptions'!E$20)/10</f>
        <v/>
      </c>
      <c r="D50" s="1079">
        <f>-F102*('Cost Curve'!F80*'Model Assumptions'!G$20-'Cost Curve'!E80*'Model Assumptions'!F$20)/10</f>
        <v/>
      </c>
      <c r="E50" s="1079">
        <f>-G102*('Cost Curve'!G80*'Model Assumptions'!H$20-'Cost Curve'!F80*'Model Assumptions'!G$20)/10</f>
        <v/>
      </c>
      <c r="F50" s="1079">
        <f>-H102*('Cost Curve'!H80*'Model Assumptions'!I$20-'Cost Curve'!G80*'Model Assumptions'!H$20)/10</f>
        <v/>
      </c>
      <c r="G50" s="1079">
        <f>-I102*('Cost Curve'!I80*'Model Assumptions'!J$20-'Cost Curve'!H80*'Model Assumptions'!I$20)/10</f>
        <v/>
      </c>
      <c r="H50" s="1079">
        <f>-J102*('Cost Curve'!J80*'Model Assumptions'!K$20-'Cost Curve'!I80*'Model Assumptions'!J$20)/10</f>
        <v/>
      </c>
      <c r="I50" s="617" t="n"/>
      <c r="J50" s="394" t="n"/>
      <c r="K50" s="394" t="n"/>
      <c r="L50" s="394" t="n"/>
      <c r="M50" s="394" t="n"/>
      <c r="N50" s="394" t="n"/>
    </row>
    <row r="51">
      <c r="A51" s="670" t="inlineStr">
        <is>
          <t>Energy Effect</t>
        </is>
      </c>
      <c r="B51" s="1079">
        <f>B53/(1-'Cost Curve'!$K$43-'Cost Curve'!$K$46)*'Cost Curve'!$K$43</f>
        <v/>
      </c>
      <c r="C51" s="1079">
        <f>C53/(1-'Cost Curve'!$K$43-'Cost Curve'!$K$46)*'Cost Curve'!$K$43</f>
        <v/>
      </c>
      <c r="D51" s="1079">
        <f>D53/(1-'Cost Curve'!$K$43-'Cost Curve'!$K$46)*'Cost Curve'!$K$43</f>
        <v/>
      </c>
      <c r="E51" s="1079">
        <f>E53/(1-'Cost Curve'!$K$43-'Cost Curve'!$K$46)*'Cost Curve'!$K$43</f>
        <v/>
      </c>
      <c r="F51" s="1079">
        <f>F53/(1-'Cost Curve'!$K$43-'Cost Curve'!$K$46)*'Cost Curve'!$K$43</f>
        <v/>
      </c>
      <c r="G51" s="1079">
        <f>G53/(1-'Cost Curve'!$K$43-'Cost Curve'!$K$46)*'Cost Curve'!$K$43</f>
        <v/>
      </c>
      <c r="H51" s="1079">
        <f>H53/(1-'Cost Curve'!$K$43-'Cost Curve'!$K$46)*'Cost Curve'!$K$43</f>
        <v/>
      </c>
      <c r="I51" s="617" t="n"/>
      <c r="J51" s="708" t="inlineStr">
        <is>
          <t>EM04</t>
        </is>
      </c>
      <c r="K51" s="394" t="n"/>
      <c r="L51" s="394" t="n"/>
      <c r="M51" s="394" t="n"/>
      <c r="N51" s="394" t="n"/>
    </row>
    <row r="52">
      <c r="A52" s="670" t="inlineStr">
        <is>
          <t>Logistics Effect</t>
        </is>
      </c>
      <c r="B52" s="1079">
        <f>B53/(1-'Cost Curve'!$K$43-'Cost Curve'!$K$46)*'Cost Curve'!$K$46</f>
        <v/>
      </c>
      <c r="C52" s="1079">
        <f>C53/(1-'Cost Curve'!$K$43-'Cost Curve'!$K$46)*'Cost Curve'!$K$46</f>
        <v/>
      </c>
      <c r="D52" s="1079">
        <f>D53/(1-'Cost Curve'!$K$43-'Cost Curve'!$K$46)*'Cost Curve'!$K$46</f>
        <v/>
      </c>
      <c r="E52" s="1079">
        <f>E53/(1-'Cost Curve'!$K$43-'Cost Curve'!$K$46)*'Cost Curve'!$K$46</f>
        <v/>
      </c>
      <c r="F52" s="1079">
        <f>F53/(1-'Cost Curve'!$K$43-'Cost Curve'!$K$46)*'Cost Curve'!$K$46</f>
        <v/>
      </c>
      <c r="G52" s="1079">
        <f>G53/(1-'Cost Curve'!$K$43-'Cost Curve'!$K$46)*'Cost Curve'!$K$46</f>
        <v/>
      </c>
      <c r="H52" s="1079">
        <f>H53/(1-'Cost Curve'!$K$43-'Cost Curve'!$K$46)*'Cost Curve'!$K$46</f>
        <v/>
      </c>
      <c r="I52" s="617" t="n"/>
      <c r="J52" s="708" t="inlineStr">
        <is>
          <t>EM04</t>
        </is>
      </c>
      <c r="K52" s="394" t="n"/>
      <c r="L52" s="394" t="n"/>
      <c r="M52" s="394" t="n"/>
      <c r="N52" s="394" t="n"/>
    </row>
    <row r="53">
      <c r="A53" s="670" t="inlineStr">
        <is>
          <t>Operating Leverage</t>
        </is>
      </c>
      <c r="B53" s="1079">
        <f>-D102*('Cost Curve'!D80*(1-'Model Assumptions'!E$20)-'Cost Curve'!C80*(1-'Model Assumptions'!D$20))/10*(1-'Cost Curve'!$K$43-'Cost Curve'!$K$46)</f>
        <v/>
      </c>
      <c r="C53" s="1079">
        <f>-E102*('Cost Curve'!E80*(1-'Model Assumptions'!F$20)-'Cost Curve'!D80*(1-'Model Assumptions'!E$20))/10*(1-'Cost Curve'!$K$43-'Cost Curve'!$K$46)</f>
        <v/>
      </c>
      <c r="D53" s="1079">
        <f>-F102*('Cost Curve'!F80*(1-'Model Assumptions'!G$20)-'Cost Curve'!E80*(1-'Model Assumptions'!F$20))/10*(1-'Cost Curve'!$K$43-'Cost Curve'!$K$46)</f>
        <v/>
      </c>
      <c r="E53" s="1079">
        <f>-G102*('Cost Curve'!G80*(1-'Model Assumptions'!H$20)-'Cost Curve'!F80*(1-'Model Assumptions'!G$20))/10*(1-'Cost Curve'!$K$43-'Cost Curve'!$K$46)</f>
        <v/>
      </c>
      <c r="F53" s="1079">
        <f>-H102*('Cost Curve'!H80*(1-'Model Assumptions'!I$20)-'Cost Curve'!G80*(1-'Model Assumptions'!H$20))/10*(1-'Cost Curve'!$K$43-'Cost Curve'!$K$46)</f>
        <v/>
      </c>
      <c r="G53" s="1079">
        <f>-I102*('Cost Curve'!I80*(1-'Model Assumptions'!J$20)-'Cost Curve'!H80*(1-'Model Assumptions'!I$20))/10*(1-'Cost Curve'!$K$43-'Cost Curve'!$K$46)</f>
        <v/>
      </c>
      <c r="H53" s="1079">
        <f>-J102*('Cost Curve'!J80*(1-'Model Assumptions'!K$20)-'Cost Curve'!I80*(1-'Model Assumptions'!J$20))/10*(1-'Cost Curve'!$K$43-'Cost Curve'!$K$46)</f>
        <v/>
      </c>
      <c r="I53" s="617" t="n"/>
      <c r="J53" s="394" t="n"/>
      <c r="K53" s="394" t="n"/>
      <c r="L53" s="394" t="n"/>
      <c r="M53" s="394" t="n"/>
      <c r="N53" s="394" t="n"/>
    </row>
    <row r="54">
      <c r="A54" s="670" t="inlineStr">
        <is>
          <t>Mix Effect</t>
        </is>
      </c>
      <c r="B54" s="1077" t="n">
        <v>0</v>
      </c>
      <c r="C54" s="1077" t="n">
        <v>0</v>
      </c>
      <c r="D54" s="1077" t="n">
        <v>0</v>
      </c>
      <c r="E54" s="1077" t="n">
        <v>0</v>
      </c>
      <c r="F54" s="1077" t="n">
        <v>0</v>
      </c>
      <c r="G54" s="1077" t="n">
        <v>0</v>
      </c>
      <c r="H54" s="1077" t="n">
        <v>0</v>
      </c>
      <c r="I54" s="617" t="n"/>
      <c r="J54" s="394" t="n"/>
      <c r="K54" s="394" t="n"/>
      <c r="L54" s="394" t="n"/>
      <c r="M54" s="394" t="n"/>
      <c r="N54" s="394" t="n"/>
    </row>
    <row r="55">
      <c r="A55" s="670" t="inlineStr">
        <is>
          <t>Net EBITDA</t>
        </is>
      </c>
      <c r="B55" s="1073">
        <f>$D$103</f>
        <v/>
      </c>
      <c r="C55" s="1073">
        <f>$E$103</f>
        <v/>
      </c>
      <c r="D55" s="1073">
        <f>$F$103</f>
        <v/>
      </c>
      <c r="E55" s="1073">
        <f>$G$103</f>
        <v/>
      </c>
      <c r="F55" s="1073">
        <f>$H$103</f>
        <v/>
      </c>
      <c r="G55" s="1073">
        <f>$I$103</f>
        <v/>
      </c>
      <c r="H55" s="1073">
        <f>$J$103</f>
        <v/>
      </c>
      <c r="I55" s="617" t="n"/>
      <c r="J55" s="708" t="inlineStr">
        <is>
          <t>EM05</t>
        </is>
      </c>
      <c r="K55" s="394" t="n"/>
      <c r="L55" s="394" t="n"/>
      <c r="M55" s="394" t="n"/>
      <c r="N55" s="394" t="n"/>
    </row>
    <row r="56">
      <c r="A56" s="394" t="n"/>
      <c r="B56" s="617" t="n"/>
      <c r="C56" s="617" t="n"/>
      <c r="D56" s="617" t="n"/>
      <c r="E56" s="617" t="n"/>
      <c r="F56" s="617" t="n"/>
      <c r="G56" s="617" t="n"/>
      <c r="H56" s="617" t="n"/>
      <c r="I56" s="617" t="n"/>
      <c r="J56" s="394" t="n"/>
      <c r="K56" s="394" t="n"/>
      <c r="L56" s="394" t="n"/>
      <c r="M56" s="394" t="n"/>
      <c r="N56" s="394" t="n"/>
    </row>
    <row r="57">
      <c r="A57" s="394" t="n"/>
      <c r="B57" s="617" t="n"/>
      <c r="C57" s="617" t="n"/>
      <c r="D57" s="617" t="n"/>
      <c r="E57" s="617" t="n"/>
      <c r="F57" s="617" t="n"/>
      <c r="G57" s="617" t="n"/>
      <c r="H57" s="617" t="n"/>
      <c r="I57" s="617" t="n"/>
      <c r="J57" s="394" t="n"/>
      <c r="K57" s="394" t="n"/>
      <c r="L57" s="394" t="n"/>
      <c r="M57" s="394" t="n"/>
      <c r="N57" s="394" t="n"/>
    </row>
    <row r="58" ht="15.6" customHeight="1" s="632">
      <c r="A58" s="612" t="inlineStr">
        <is>
          <t>EBITDA/Tonne Analysis</t>
        </is>
      </c>
      <c r="I58" s="617" t="n"/>
      <c r="J58" s="394" t="n"/>
      <c r="K58" s="394" t="n"/>
      <c r="L58" s="394" t="n"/>
      <c r="M58" s="394" t="n"/>
      <c r="N58" s="394" t="n"/>
    </row>
    <row r="59">
      <c r="A59" s="506" t="inlineStr">
        <is>
          <t>Year</t>
        </is>
      </c>
      <c r="B59" s="506" t="inlineStr">
        <is>
          <t>EBITDA</t>
        </is>
      </c>
      <c r="C59" s="506" t="inlineStr">
        <is>
          <t>Sales Volume</t>
        </is>
      </c>
      <c r="D59" s="506" t="inlineStr">
        <is>
          <t>EBITDA/Tonne</t>
        </is>
      </c>
      <c r="E59" s="617" t="n"/>
      <c r="F59" s="617" t="n"/>
      <c r="G59" s="617" t="n"/>
      <c r="H59" s="617" t="n"/>
      <c r="I59" s="617" t="n"/>
      <c r="J59" s="394" t="n"/>
      <c r="K59" s="394" t="n"/>
      <c r="L59" s="394" t="n"/>
      <c r="M59" s="394" t="n"/>
      <c r="N59" s="394" t="n"/>
    </row>
    <row r="60">
      <c r="A60" s="670" t="inlineStr">
        <is>
          <t>FY26A</t>
        </is>
      </c>
      <c r="B60" s="1073">
        <f>$C$103</f>
        <v/>
      </c>
      <c r="C60" s="828">
        <f>$C$102</f>
        <v/>
      </c>
      <c r="D60" s="1002">
        <f>IFERROR(B60/C60*10,"")</f>
        <v/>
      </c>
      <c r="E60" s="617" t="n"/>
      <c r="F60" s="617" t="n"/>
      <c r="G60" s="617" t="n"/>
      <c r="H60" s="617" t="n"/>
      <c r="I60" s="617" t="n"/>
      <c r="J60" s="394" t="n"/>
      <c r="K60" s="394" t="n"/>
      <c r="L60" s="394" t="n"/>
      <c r="M60" s="394" t="n"/>
      <c r="N60" s="394" t="n"/>
    </row>
    <row r="61">
      <c r="A61" s="670" t="inlineStr">
        <is>
          <t>FY27E</t>
        </is>
      </c>
      <c r="B61" s="1073">
        <f>$D$103</f>
        <v/>
      </c>
      <c r="C61" s="828">
        <f>$D$102</f>
        <v/>
      </c>
      <c r="D61" s="1002">
        <f>IFERROR(B61/C61*10,"")</f>
        <v/>
      </c>
      <c r="E61" s="617" t="n"/>
      <c r="F61" s="617" t="n"/>
      <c r="G61" s="617" t="n"/>
      <c r="H61" s="617" t="n"/>
      <c r="I61" s="617" t="n"/>
      <c r="J61" s="394" t="n"/>
      <c r="K61" s="394" t="n"/>
      <c r="L61" s="394" t="n"/>
      <c r="M61" s="394" t="n"/>
      <c r="N61" s="394" t="n"/>
    </row>
    <row r="62">
      <c r="A62" s="670" t="inlineStr">
        <is>
          <t>FY28E</t>
        </is>
      </c>
      <c r="B62" s="1073">
        <f>$E$103</f>
        <v/>
      </c>
      <c r="C62" s="828">
        <f>$E$102</f>
        <v/>
      </c>
      <c r="D62" s="1002">
        <f>IFERROR(B62/C62*10,"")</f>
        <v/>
      </c>
      <c r="E62" s="617" t="n"/>
      <c r="F62" s="617" t="n"/>
      <c r="G62" s="617" t="n"/>
      <c r="H62" s="617" t="n"/>
      <c r="I62" s="617" t="n"/>
      <c r="J62" s="394" t="n"/>
      <c r="K62" s="394" t="n"/>
      <c r="L62" s="394" t="n"/>
      <c r="M62" s="394" t="n"/>
      <c r="N62" s="394" t="n"/>
    </row>
    <row r="63">
      <c r="A63" s="670" t="inlineStr">
        <is>
          <t>FY29E</t>
        </is>
      </c>
      <c r="B63" s="1073">
        <f>$F$103</f>
        <v/>
      </c>
      <c r="C63" s="828">
        <f>$F$102</f>
        <v/>
      </c>
      <c r="D63" s="1002">
        <f>IFERROR(B63/C63*10,"")</f>
        <v/>
      </c>
      <c r="E63" s="617" t="n"/>
      <c r="F63" s="617" t="n"/>
      <c r="G63" s="617" t="n"/>
      <c r="H63" s="617" t="n"/>
      <c r="I63" s="617" t="n"/>
      <c r="J63" s="394" t="n"/>
      <c r="K63" s="394" t="n"/>
      <c r="L63" s="394" t="n"/>
      <c r="M63" s="394" t="n"/>
      <c r="N63" s="394" t="n"/>
    </row>
    <row r="64">
      <c r="A64" s="670" t="inlineStr">
        <is>
          <t>FY30E</t>
        </is>
      </c>
      <c r="B64" s="1073">
        <f>$G$103</f>
        <v/>
      </c>
      <c r="C64" s="828">
        <f>$G$102</f>
        <v/>
      </c>
      <c r="D64" s="1002">
        <f>IFERROR(B64/C64*10,"")</f>
        <v/>
      </c>
      <c r="E64" s="617" t="n"/>
      <c r="F64" s="617" t="n"/>
      <c r="G64" s="617" t="n"/>
      <c r="H64" s="617" t="n"/>
      <c r="I64" s="617" t="n"/>
      <c r="J64" s="394" t="n"/>
      <c r="K64" s="394" t="n"/>
      <c r="L64" s="394" t="n"/>
      <c r="M64" s="394" t="n"/>
      <c r="N64" s="394" t="n"/>
    </row>
    <row r="65">
      <c r="A65" s="670" t="inlineStr">
        <is>
          <t>FY31E</t>
        </is>
      </c>
      <c r="B65" s="1073">
        <f>$H$103</f>
        <v/>
      </c>
      <c r="C65" s="828">
        <f>$H$102</f>
        <v/>
      </c>
      <c r="D65" s="1002">
        <f>IFERROR(B65/C65*10,"")</f>
        <v/>
      </c>
      <c r="E65" s="617" t="n"/>
      <c r="F65" s="617" t="n"/>
      <c r="G65" s="617" t="n"/>
      <c r="H65" s="617" t="n"/>
      <c r="I65" s="617" t="n"/>
      <c r="J65" s="394" t="n"/>
      <c r="K65" s="394" t="n"/>
      <c r="L65" s="394" t="n"/>
      <c r="M65" s="394" t="n"/>
      <c r="N65" s="394" t="n"/>
    </row>
    <row r="66">
      <c r="A66" s="670" t="inlineStr">
        <is>
          <t>FY32E</t>
        </is>
      </c>
      <c r="B66" s="1073">
        <f>$I$103</f>
        <v/>
      </c>
      <c r="C66" s="828">
        <f>$I$102</f>
        <v/>
      </c>
      <c r="D66" s="1002">
        <f>IFERROR(B66/C66*10,"")</f>
        <v/>
      </c>
      <c r="E66" s="617" t="n"/>
      <c r="F66" s="617" t="n"/>
      <c r="G66" s="617" t="n"/>
      <c r="H66" s="617" t="n"/>
      <c r="I66" s="617" t="n"/>
      <c r="J66" s="394" t="n"/>
      <c r="K66" s="394" t="n"/>
      <c r="L66" s="394" t="n"/>
      <c r="M66" s="394" t="n"/>
      <c r="N66" s="394" t="n"/>
    </row>
    <row r="67">
      <c r="A67" s="670" t="inlineStr">
        <is>
          <t>FY33E</t>
        </is>
      </c>
      <c r="B67" s="1073">
        <f>$J$103</f>
        <v/>
      </c>
      <c r="C67" s="828">
        <f>$J$102</f>
        <v/>
      </c>
      <c r="D67" s="1002">
        <f>IFERROR(B67/C67*10,"")</f>
        <v/>
      </c>
      <c r="E67" s="617" t="n"/>
      <c r="F67" s="617" t="n"/>
      <c r="G67" s="617" t="n"/>
      <c r="H67" s="617" t="n"/>
      <c r="I67" s="617" t="n"/>
      <c r="J67" s="394" t="n"/>
      <c r="K67" s="394" t="n"/>
      <c r="L67" s="394" t="n"/>
      <c r="M67" s="394" t="n"/>
      <c r="N67" s="394" t="n"/>
    </row>
    <row r="68">
      <c r="A68" s="394" t="n"/>
      <c r="B68" s="617" t="n"/>
      <c r="C68" s="617" t="n"/>
      <c r="D68" s="617" t="n"/>
      <c r="E68" s="617" t="n"/>
      <c r="F68" s="617" t="n"/>
      <c r="G68" s="617" t="n"/>
      <c r="H68" s="617" t="n"/>
      <c r="I68" s="617" t="n"/>
      <c r="J68" s="394" t="n"/>
      <c r="K68" s="394" t="n"/>
      <c r="L68" s="394" t="n"/>
      <c r="M68" s="394" t="n"/>
      <c r="N68" s="394" t="n"/>
    </row>
    <row r="69">
      <c r="A69" s="394" t="n"/>
      <c r="B69" s="617" t="n"/>
      <c r="C69" s="617" t="n"/>
      <c r="D69" s="617" t="n"/>
      <c r="E69" s="617" t="n"/>
      <c r="F69" s="617" t="n"/>
      <c r="G69" s="617" t="n"/>
      <c r="H69" s="617" t="n"/>
      <c r="I69" s="617" t="n"/>
      <c r="J69" s="394" t="n"/>
      <c r="K69" s="394" t="n"/>
      <c r="L69" s="394" t="n"/>
      <c r="M69" s="394" t="n"/>
      <c r="N69" s="394" t="n"/>
    </row>
    <row r="70" ht="15.6" customHeight="1" s="632">
      <c r="A70" s="612" t="inlineStr">
        <is>
          <t>Company Benchmark</t>
        </is>
      </c>
      <c r="I70" s="617" t="n"/>
      <c r="J70" s="394" t="n"/>
      <c r="K70" s="394" t="n"/>
      <c r="L70" s="394" t="n"/>
      <c r="M70" s="394" t="n"/>
      <c r="N70" s="394" t="n"/>
    </row>
    <row r="71">
      <c r="A71" s="506" t="inlineStr">
        <is>
          <t>Company</t>
        </is>
      </c>
      <c r="B71" s="506" t="inlineStr">
        <is>
          <t>Revenue</t>
        </is>
      </c>
      <c r="C71" s="506" t="inlineStr">
        <is>
          <t>EBITDA</t>
        </is>
      </c>
      <c r="D71" s="506" t="inlineStr">
        <is>
          <t>EBITDA Margin</t>
        </is>
      </c>
      <c r="E71" s="506" t="inlineStr">
        <is>
          <t>EBITDA/t</t>
        </is>
      </c>
      <c r="F71" s="617" t="n"/>
      <c r="G71" s="707" t="inlineStr">
        <is>
          <t>Ref</t>
        </is>
      </c>
      <c r="H71" s="617" t="n"/>
      <c r="I71" s="617" t="n"/>
      <c r="J71" s="394" t="n"/>
      <c r="K71" s="394" t="n"/>
      <c r="L71" s="394" t="n"/>
      <c r="M71" s="394" t="n"/>
      <c r="N71" s="394" t="n"/>
    </row>
    <row r="72">
      <c r="A72" s="670" t="inlineStr">
        <is>
          <t>Tata Steel</t>
        </is>
      </c>
      <c r="B72" s="1073">
        <f>'Revenue Forecast'!$C$111</f>
        <v/>
      </c>
      <c r="C72" s="1073">
        <f>$C$118</f>
        <v/>
      </c>
      <c r="D72" s="954">
        <f>IFERROR(C72/B72,"")</f>
        <v/>
      </c>
      <c r="E72" s="997">
        <f>$C$108</f>
        <v/>
      </c>
      <c r="F72" s="617" t="n"/>
      <c r="G72" s="708" t="inlineStr">
        <is>
          <t>EM06</t>
        </is>
      </c>
      <c r="H72" s="617" t="n"/>
      <c r="I72" s="617" t="n"/>
      <c r="J72" s="394" t="n"/>
      <c r="K72" s="394" t="n"/>
      <c r="L72" s="394" t="n"/>
      <c r="M72" s="394" t="n"/>
      <c r="N72" s="394" t="n"/>
    </row>
    <row r="73">
      <c r="A73" s="670" t="inlineStr">
        <is>
          <t>JSW Steel</t>
        </is>
      </c>
      <c r="B73" s="1073">
        <f>'Revenue Forecast'!$C$112</f>
        <v/>
      </c>
      <c r="C73" s="1073">
        <f>$C$119</f>
        <v/>
      </c>
      <c r="D73" s="954">
        <f>IFERROR(C73/B73,"")</f>
        <v/>
      </c>
      <c r="E73" s="997">
        <f>$C$109</f>
        <v/>
      </c>
      <c r="F73" s="617" t="n"/>
      <c r="G73" s="617" t="n"/>
      <c r="H73" s="617" t="n"/>
      <c r="I73" s="617" t="n"/>
      <c r="J73" s="394" t="n"/>
      <c r="K73" s="394" t="n"/>
      <c r="L73" s="394" t="n"/>
      <c r="M73" s="394" t="n"/>
      <c r="N73" s="394" t="n"/>
    </row>
    <row r="74">
      <c r="A74" s="670" t="inlineStr">
        <is>
          <t>SAIL</t>
        </is>
      </c>
      <c r="B74" s="1073">
        <f>'Revenue Forecast'!$C$113</f>
        <v/>
      </c>
      <c r="C74" s="1073">
        <f>$C$120</f>
        <v/>
      </c>
      <c r="D74" s="954">
        <f>IFERROR(C74/B74,"")</f>
        <v/>
      </c>
      <c r="E74" s="997">
        <f>$C$110</f>
        <v/>
      </c>
      <c r="F74" s="617" t="n"/>
      <c r="G74" s="617" t="n"/>
      <c r="H74" s="617" t="n"/>
      <c r="I74" s="617" t="n"/>
      <c r="J74" s="394" t="n"/>
      <c r="K74" s="394" t="n"/>
      <c r="L74" s="394" t="n"/>
      <c r="M74" s="394" t="n"/>
      <c r="N74" s="394" t="n"/>
    </row>
    <row r="75">
      <c r="A75" s="670" t="inlineStr">
        <is>
          <t>Jindal Steel</t>
        </is>
      </c>
      <c r="B75" s="1073">
        <f>'Revenue Forecast'!$C$114</f>
        <v/>
      </c>
      <c r="C75" s="1073">
        <f>$C$121</f>
        <v/>
      </c>
      <c r="D75" s="954">
        <f>IFERROR(C75/B75,"")</f>
        <v/>
      </c>
      <c r="E75" s="997">
        <f>$C$111</f>
        <v/>
      </c>
      <c r="F75" s="617" t="n"/>
      <c r="G75" s="617" t="n"/>
      <c r="H75" s="617" t="n"/>
      <c r="I75" s="617" t="n"/>
      <c r="J75" s="394" t="n"/>
      <c r="K75" s="394" t="n"/>
      <c r="L75" s="394" t="n"/>
      <c r="M75" s="394" t="n"/>
      <c r="N75" s="394" t="n"/>
    </row>
    <row r="76">
      <c r="A76" s="670" t="inlineStr">
        <is>
          <t>Others</t>
        </is>
      </c>
      <c r="B76" s="1079">
        <f>'Revenue Forecast'!$C$96-SUM(B72:B75)</f>
        <v/>
      </c>
      <c r="C76" s="1079">
        <f>$C$103-SUM(C72:C75)</f>
        <v/>
      </c>
      <c r="D76" s="954">
        <f>IFERROR(C76/B76,"")</f>
        <v/>
      </c>
      <c r="E76" s="1002">
        <f>IFERROR(C76/('Steel Supply Model'!$C$101-SUM('Revenue Forecast'!$C$101:$C$104))*10,"")</f>
        <v/>
      </c>
      <c r="F76" s="617" t="n"/>
      <c r="G76" s="617" t="n"/>
      <c r="H76" s="617" t="n"/>
      <c r="I76" s="617" t="n"/>
      <c r="J76" s="394" t="n"/>
      <c r="K76" s="394" t="n"/>
      <c r="L76" s="394" t="n"/>
      <c r="M76" s="394" t="n"/>
      <c r="N76" s="394" t="n"/>
    </row>
    <row r="77">
      <c r="A77" s="394" t="n"/>
      <c r="B77" s="617" t="n"/>
      <c r="C77" s="617" t="n"/>
      <c r="D77" s="617" t="n"/>
      <c r="E77" s="617" t="n"/>
      <c r="F77" s="617" t="n"/>
      <c r="G77" s="617" t="n"/>
      <c r="H77" s="617" t="n"/>
      <c r="I77" s="617" t="n"/>
      <c r="J77" s="394" t="n"/>
      <c r="K77" s="394" t="n"/>
      <c r="L77" s="394" t="n"/>
      <c r="M77" s="394" t="n"/>
      <c r="N77" s="394" t="n"/>
    </row>
    <row r="78">
      <c r="A78" s="394" t="n"/>
      <c r="B78" s="617" t="n"/>
      <c r="C78" s="617" t="n"/>
      <c r="D78" s="617" t="n"/>
      <c r="E78" s="617" t="n"/>
      <c r="F78" s="617" t="n"/>
      <c r="G78" s="617" t="n"/>
      <c r="H78" s="617" t="n"/>
      <c r="I78" s="617" t="n"/>
      <c r="J78" s="394" t="n"/>
      <c r="K78" s="394" t="n"/>
      <c r="L78" s="394" t="n"/>
      <c r="M78" s="394" t="n"/>
      <c r="N78" s="394" t="n"/>
    </row>
    <row r="79" ht="15.6" customHeight="1" s="632">
      <c r="A79" s="612" t="inlineStr">
        <is>
          <t>Margin Walk</t>
        </is>
      </c>
      <c r="I79" s="617" t="n"/>
      <c r="J79" s="394" t="n"/>
      <c r="K79" s="394" t="n"/>
      <c r="L79" s="394" t="n"/>
      <c r="M79" s="394" t="n"/>
      <c r="N79" s="394" t="n"/>
    </row>
    <row r="80">
      <c r="A80" s="506" t="inlineStr">
        <is>
          <t>Metric</t>
        </is>
      </c>
      <c r="B80" s="506" t="inlineStr">
        <is>
          <t>FY27E</t>
        </is>
      </c>
      <c r="C80" s="506" t="inlineStr">
        <is>
          <t>FY28E</t>
        </is>
      </c>
      <c r="D80" s="506" t="inlineStr">
        <is>
          <t>FY29E</t>
        </is>
      </c>
      <c r="E80" s="506" t="inlineStr">
        <is>
          <t>FY30E</t>
        </is>
      </c>
      <c r="F80" s="506" t="inlineStr">
        <is>
          <t>FY31E</t>
        </is>
      </c>
      <c r="G80" s="506" t="inlineStr">
        <is>
          <t>FY32E</t>
        </is>
      </c>
      <c r="H80" s="506" t="inlineStr">
        <is>
          <t>FY33E</t>
        </is>
      </c>
      <c r="I80" s="617" t="n"/>
      <c r="J80" s="707" t="inlineStr">
        <is>
          <t>Ref</t>
        </is>
      </c>
      <c r="K80" s="394" t="n"/>
      <c r="L80" s="394" t="n"/>
      <c r="M80" s="394" t="n"/>
      <c r="N80" s="394" t="n"/>
    </row>
    <row r="81">
      <c r="A81" s="670" t="inlineStr">
        <is>
          <t>Gross Margin</t>
        </is>
      </c>
      <c r="B81" s="954">
        <f>('Revenue Forecast'!D96-'Cost Curve'!D80*'Model Assumptions'!E$20*'Steel Supply Model'!D101/10)/'Revenue Forecast'!D96</f>
        <v/>
      </c>
      <c r="C81" s="954">
        <f>('Revenue Forecast'!E96-'Cost Curve'!E80*'Model Assumptions'!F$20*'Steel Supply Model'!E101/10)/'Revenue Forecast'!E96</f>
        <v/>
      </c>
      <c r="D81" s="954">
        <f>('Revenue Forecast'!F96-'Cost Curve'!F80*'Model Assumptions'!G$20*'Steel Supply Model'!F101/10)/'Revenue Forecast'!F96</f>
        <v/>
      </c>
      <c r="E81" s="954">
        <f>('Revenue Forecast'!G96-'Cost Curve'!G80*'Model Assumptions'!H$20*'Steel Supply Model'!G101/10)/'Revenue Forecast'!G96</f>
        <v/>
      </c>
      <c r="F81" s="954">
        <f>('Revenue Forecast'!H96-'Cost Curve'!H80*'Model Assumptions'!I$20*'Steel Supply Model'!H101/10)/'Revenue Forecast'!H96</f>
        <v/>
      </c>
      <c r="G81" s="954">
        <f>('Revenue Forecast'!I96-'Cost Curve'!I80*'Model Assumptions'!J$20*'Steel Supply Model'!I101/10)/'Revenue Forecast'!I96</f>
        <v/>
      </c>
      <c r="H81" s="954">
        <f>('Revenue Forecast'!J96-'Cost Curve'!J80*'Model Assumptions'!K$20*'Steel Supply Model'!J101/10)/'Revenue Forecast'!J96</f>
        <v/>
      </c>
      <c r="I81" s="617" t="n"/>
      <c r="J81" s="394" t="n"/>
      <c r="K81" s="394" t="n"/>
      <c r="L81" s="394" t="n"/>
      <c r="M81" s="394" t="n"/>
      <c r="N81" s="394" t="n"/>
    </row>
    <row r="82">
      <c r="A82" s="670" t="inlineStr">
        <is>
          <t>EBITDA Margin</t>
        </is>
      </c>
      <c r="B82" s="875">
        <f>'Margin Analysis'!$D$91</f>
        <v/>
      </c>
      <c r="C82" s="875">
        <f>'Margin Analysis'!$E$91</f>
        <v/>
      </c>
      <c r="D82" s="875">
        <f>'Margin Analysis'!$F$91</f>
        <v/>
      </c>
      <c r="E82" s="875">
        <f>'Margin Analysis'!$G$91</f>
        <v/>
      </c>
      <c r="F82" s="875">
        <f>'Margin Analysis'!$H$91</f>
        <v/>
      </c>
      <c r="G82" s="875">
        <f>'Margin Analysis'!$I$91</f>
        <v/>
      </c>
      <c r="H82" s="875">
        <f>'Margin Analysis'!$J$91</f>
        <v/>
      </c>
      <c r="I82" s="617" t="n"/>
      <c r="J82" s="708" t="inlineStr">
        <is>
          <t>EM07</t>
        </is>
      </c>
      <c r="K82" s="394" t="n"/>
      <c r="L82" s="394" t="n"/>
      <c r="M82" s="394" t="n"/>
      <c r="N82" s="394" t="n"/>
    </row>
    <row r="83">
      <c r="A83" s="670" t="inlineStr">
        <is>
          <t>Operating Margin</t>
        </is>
      </c>
      <c r="B83" s="954">
        <f>'Cash Flow Model'!D100/'Cash Flow Model'!D97</f>
        <v/>
      </c>
      <c r="C83" s="954">
        <f>'Cash Flow Model'!E100/'Cash Flow Model'!E97</f>
        <v/>
      </c>
      <c r="D83" s="954">
        <f>'Cash Flow Model'!F100/'Cash Flow Model'!F97</f>
        <v/>
      </c>
      <c r="E83" s="954">
        <f>'Cash Flow Model'!G100/'Cash Flow Model'!G97</f>
        <v/>
      </c>
      <c r="F83" s="954">
        <f>'Cash Flow Model'!H100/'Cash Flow Model'!H97</f>
        <v/>
      </c>
      <c r="G83" s="954">
        <f>'Cash Flow Model'!I100/'Cash Flow Model'!I97</f>
        <v/>
      </c>
      <c r="H83" s="954">
        <f>'Cash Flow Model'!J100/'Cash Flow Model'!J97</f>
        <v/>
      </c>
      <c r="I83" s="617" t="n"/>
      <c r="J83" s="394" t="n"/>
      <c r="K83" s="394" t="n"/>
      <c r="L83" s="394" t="n"/>
      <c r="M83" s="394" t="n"/>
      <c r="N83" s="394" t="n"/>
    </row>
    <row r="84">
      <c r="A84" s="670" t="inlineStr">
        <is>
          <t>Cash Margin</t>
        </is>
      </c>
      <c r="B84" s="954">
        <f>('Cash Flow Model'!D96-'Cash Flow Model'!D102)/'Cash Flow Model'!D97</f>
        <v/>
      </c>
      <c r="C84" s="954">
        <f>('Cash Flow Model'!E96-'Cash Flow Model'!E102)/'Cash Flow Model'!E97</f>
        <v/>
      </c>
      <c r="D84" s="954">
        <f>('Cash Flow Model'!F96-'Cash Flow Model'!F102)/'Cash Flow Model'!F97</f>
        <v/>
      </c>
      <c r="E84" s="954">
        <f>('Cash Flow Model'!G96-'Cash Flow Model'!G102)/'Cash Flow Model'!G97</f>
        <v/>
      </c>
      <c r="F84" s="954">
        <f>('Cash Flow Model'!H96-'Cash Flow Model'!H102)/'Cash Flow Model'!H97</f>
        <v/>
      </c>
      <c r="G84" s="954">
        <f>('Cash Flow Model'!I96-'Cash Flow Model'!I102)/'Cash Flow Model'!I97</f>
        <v/>
      </c>
      <c r="H84" s="954">
        <f>('Cash Flow Model'!J96-'Cash Flow Model'!J102)/'Cash Flow Model'!J97</f>
        <v/>
      </c>
      <c r="I84" s="617" t="n"/>
      <c r="J84" s="394" t="n"/>
      <c r="K84" s="394" t="n"/>
      <c r="L84" s="394" t="n"/>
      <c r="M84" s="394" t="n"/>
      <c r="N84" s="394" t="n"/>
    </row>
    <row r="85">
      <c r="A85" s="394" t="n"/>
      <c r="B85" s="617" t="n"/>
      <c r="C85" s="617" t="n"/>
      <c r="D85" s="617" t="n"/>
      <c r="E85" s="617" t="n"/>
      <c r="F85" s="617" t="n"/>
      <c r="G85" s="617" t="n"/>
      <c r="H85" s="617" t="n"/>
      <c r="I85" s="617" t="n"/>
      <c r="J85" s="394" t="n"/>
      <c r="K85" s="394" t="n"/>
      <c r="L85" s="394" t="n"/>
      <c r="M85" s="394" t="n"/>
      <c r="N85" s="394" t="n"/>
    </row>
    <row r="86">
      <c r="A86" s="394" t="n"/>
      <c r="B86" s="617" t="n"/>
      <c r="C86" s="617" t="n"/>
      <c r="D86" s="617" t="n"/>
      <c r="E86" s="617" t="n"/>
      <c r="F86" s="617" t="n"/>
      <c r="G86" s="617" t="n"/>
      <c r="H86" s="617" t="n"/>
      <c r="I86" s="617" t="n"/>
      <c r="J86" s="394" t="n"/>
      <c r="K86" s="394" t="n"/>
      <c r="L86" s="394" t="n"/>
      <c r="M86" s="394" t="n"/>
      <c r="N86" s="394" t="n"/>
    </row>
    <row r="87" ht="15.6" customHeight="1" s="632">
      <c r="A87" s="612" t="inlineStr">
        <is>
          <t>Scenario Analysis</t>
        </is>
      </c>
      <c r="I87" s="617" t="n"/>
      <c r="J87" s="394" t="n"/>
      <c r="K87" s="394" t="n"/>
      <c r="L87" s="394" t="n"/>
      <c r="M87" s="394" t="n"/>
      <c r="N87" s="394" t="n"/>
    </row>
    <row r="88">
      <c r="A88" s="506" t="inlineStr">
        <is>
          <t>Year</t>
        </is>
      </c>
      <c r="B88" s="506" t="inlineStr">
        <is>
          <t>Base</t>
        </is>
      </c>
      <c r="C88" s="506" t="inlineStr">
        <is>
          <t>Bull</t>
        </is>
      </c>
      <c r="D88" s="506" t="inlineStr">
        <is>
          <t>Bear</t>
        </is>
      </c>
      <c r="E88" s="506" t="inlineStr">
        <is>
          <t>Stress</t>
        </is>
      </c>
      <c r="F88" s="617" t="n"/>
      <c r="G88" s="707" t="inlineStr">
        <is>
          <t>Ref</t>
        </is>
      </c>
      <c r="H88" s="617" t="n"/>
      <c r="I88" s="617" t="n"/>
      <c r="J88" s="394" t="n"/>
      <c r="K88" s="394" t="n"/>
      <c r="L88" s="394" t="n"/>
      <c r="M88" s="394" t="n"/>
      <c r="N88" s="394" t="n"/>
    </row>
    <row r="89">
      <c r="A89" s="670" t="inlineStr">
        <is>
          <t>FY27</t>
        </is>
      </c>
      <c r="B89" s="1073">
        <f>'Scenario Manager'!$D$131</f>
        <v/>
      </c>
      <c r="C89" s="1073">
        <f>'Scenario Manager'!$D$207</f>
        <v/>
      </c>
      <c r="D89" s="1073">
        <f>'Scenario Manager'!$D$283</f>
        <v/>
      </c>
      <c r="E89" s="1073">
        <f>'Scenario Manager'!$D$359</f>
        <v/>
      </c>
      <c r="F89" s="617" t="n"/>
      <c r="G89" s="617" t="n"/>
      <c r="H89" s="617" t="n"/>
      <c r="I89" s="617" t="n"/>
      <c r="J89" s="394" t="n"/>
      <c r="K89" s="394" t="n"/>
      <c r="L89" s="394" t="n"/>
      <c r="M89" s="394" t="n"/>
      <c r="N89" s="394" t="n"/>
    </row>
    <row r="90">
      <c r="A90" s="670" t="inlineStr">
        <is>
          <t>FY28</t>
        </is>
      </c>
      <c r="B90" s="1073">
        <f>'Scenario Manager'!$E$131</f>
        <v/>
      </c>
      <c r="C90" s="1073">
        <f>'Scenario Manager'!$E$207</f>
        <v/>
      </c>
      <c r="D90" s="1073">
        <f>'Scenario Manager'!$E$283</f>
        <v/>
      </c>
      <c r="E90" s="1073">
        <f>'Scenario Manager'!$E$359</f>
        <v/>
      </c>
      <c r="F90" s="617" t="n"/>
      <c r="G90" s="617" t="n"/>
      <c r="H90" s="617" t="n"/>
      <c r="I90" s="617" t="n"/>
      <c r="J90" s="394" t="n"/>
      <c r="K90" s="394" t="n"/>
      <c r="L90" s="394" t="n"/>
      <c r="M90" s="394" t="n"/>
      <c r="N90" s="394" t="n"/>
    </row>
    <row r="91">
      <c r="A91" s="670" t="inlineStr">
        <is>
          <t>FY29</t>
        </is>
      </c>
      <c r="B91" s="1073">
        <f>'Scenario Manager'!$F$131</f>
        <v/>
      </c>
      <c r="C91" s="1073">
        <f>'Scenario Manager'!$F$207</f>
        <v/>
      </c>
      <c r="D91" s="1073">
        <f>'Scenario Manager'!$F$283</f>
        <v/>
      </c>
      <c r="E91" s="1073">
        <f>'Scenario Manager'!$F$359</f>
        <v/>
      </c>
      <c r="F91" s="617" t="n"/>
      <c r="G91" s="617" t="n"/>
      <c r="H91" s="617" t="n"/>
      <c r="I91" s="617" t="n"/>
      <c r="J91" s="394" t="n"/>
      <c r="K91" s="394" t="n"/>
      <c r="L91" s="394" t="n"/>
      <c r="M91" s="394" t="n"/>
      <c r="N91" s="394" t="n"/>
    </row>
    <row r="92">
      <c r="A92" s="670" t="inlineStr">
        <is>
          <t>FY30</t>
        </is>
      </c>
      <c r="B92" s="1073">
        <f>'Scenario Manager'!$G$131</f>
        <v/>
      </c>
      <c r="C92" s="1073">
        <f>'Scenario Manager'!$G$207</f>
        <v/>
      </c>
      <c r="D92" s="1073">
        <f>'Scenario Manager'!$G$283</f>
        <v/>
      </c>
      <c r="E92" s="1073">
        <f>'Scenario Manager'!$G$359</f>
        <v/>
      </c>
      <c r="F92" s="617" t="n"/>
      <c r="G92" s="617" t="n"/>
      <c r="H92" s="617" t="n"/>
      <c r="I92" s="617" t="n"/>
      <c r="J92" s="394" t="n"/>
      <c r="K92" s="394" t="n"/>
      <c r="L92" s="394" t="n"/>
      <c r="M92" s="394" t="n"/>
      <c r="N92" s="394" t="n"/>
    </row>
    <row r="93">
      <c r="A93" s="670" t="inlineStr">
        <is>
          <t>FY31</t>
        </is>
      </c>
      <c r="B93" s="1073">
        <f>'Scenario Manager'!$H$131</f>
        <v/>
      </c>
      <c r="C93" s="1073">
        <f>'Scenario Manager'!$H$207</f>
        <v/>
      </c>
      <c r="D93" s="1073">
        <f>'Scenario Manager'!$H$283</f>
        <v/>
      </c>
      <c r="E93" s="1073">
        <f>'Scenario Manager'!$H$359</f>
        <v/>
      </c>
      <c r="F93" s="617" t="n"/>
      <c r="G93" s="617" t="n"/>
      <c r="H93" s="617" t="n"/>
      <c r="I93" s="617" t="n"/>
      <c r="J93" s="394" t="n"/>
      <c r="K93" s="394" t="n"/>
      <c r="L93" s="394" t="n"/>
      <c r="M93" s="394" t="n"/>
      <c r="N93" s="394" t="n"/>
    </row>
    <row r="94">
      <c r="A94" s="670" t="inlineStr">
        <is>
          <t>FY32</t>
        </is>
      </c>
      <c r="B94" s="1073">
        <f>'Scenario Manager'!$I$131</f>
        <v/>
      </c>
      <c r="C94" s="1073">
        <f>'Scenario Manager'!$I$207</f>
        <v/>
      </c>
      <c r="D94" s="1073">
        <f>'Scenario Manager'!$I$283</f>
        <v/>
      </c>
      <c r="E94" s="1073">
        <f>'Scenario Manager'!$I$359</f>
        <v/>
      </c>
      <c r="F94" s="617" t="n"/>
      <c r="G94" s="617" t="n"/>
      <c r="H94" s="617" t="n"/>
      <c r="I94" s="617" t="n"/>
      <c r="J94" s="394" t="n"/>
      <c r="K94" s="394" t="n"/>
      <c r="L94" s="394" t="n"/>
      <c r="M94" s="394" t="n"/>
      <c r="N94" s="394" t="n"/>
    </row>
    <row r="95">
      <c r="A95" s="670" t="inlineStr">
        <is>
          <t>FY33</t>
        </is>
      </c>
      <c r="B95" s="1073">
        <f>'Scenario Manager'!$J$131</f>
        <v/>
      </c>
      <c r="C95" s="1073">
        <f>'Scenario Manager'!$J$207</f>
        <v/>
      </c>
      <c r="D95" s="1073">
        <f>'Scenario Manager'!$J$283</f>
        <v/>
      </c>
      <c r="E95" s="1073">
        <f>'Scenario Manager'!$J$359</f>
        <v/>
      </c>
      <c r="F95" s="617" t="n"/>
      <c r="G95" s="708" t="inlineStr">
        <is>
          <t>EM08</t>
        </is>
      </c>
      <c r="H95" s="617" t="n"/>
      <c r="I95" s="617" t="n"/>
      <c r="J95" s="394" t="n"/>
      <c r="K95" s="394" t="n"/>
      <c r="L95" s="394" t="n"/>
      <c r="M95" s="394" t="n"/>
      <c r="N95" s="394" t="n"/>
    </row>
    <row r="96">
      <c r="A96" s="394" t="n"/>
      <c r="B96" s="617" t="n"/>
      <c r="C96" s="617" t="n"/>
      <c r="D96" s="617" t="n"/>
      <c r="E96" s="617" t="n"/>
      <c r="F96" s="617" t="n"/>
      <c r="G96" s="617" t="n"/>
      <c r="H96" s="617" t="n"/>
      <c r="I96" s="617" t="n"/>
      <c r="J96" s="394" t="n"/>
      <c r="K96" s="394" t="n"/>
      <c r="L96" s="394" t="n"/>
      <c r="M96" s="394" t="n"/>
      <c r="N96" s="394" t="n"/>
    </row>
    <row r="97" ht="15" customHeight="1" s="632" thickBot="1">
      <c r="A97" s="415" t="n"/>
    </row>
    <row r="98" ht="30" customHeight="1" s="632">
      <c r="A98" s="63" t="inlineStr">
        <is>
          <t>Line item</t>
        </is>
      </c>
      <c r="B98" s="65" t="inlineStr">
        <is>
          <t>Unit</t>
        </is>
      </c>
      <c r="C98" s="80" t="inlineStr">
        <is>
          <t>FY2026A</t>
        </is>
      </c>
      <c r="D98" s="80" t="inlineStr">
        <is>
          <t>FY2027E</t>
        </is>
      </c>
      <c r="E98" s="80" t="inlineStr">
        <is>
          <t>FY2028E</t>
        </is>
      </c>
      <c r="F98" s="80" t="inlineStr">
        <is>
          <t>FY2029E</t>
        </is>
      </c>
      <c r="G98" s="80" t="inlineStr">
        <is>
          <t>FY2030E</t>
        </is>
      </c>
      <c r="H98" s="80" t="inlineStr">
        <is>
          <t>FY2031E</t>
        </is>
      </c>
      <c r="I98" s="80" t="inlineStr">
        <is>
          <t>FY2032E</t>
        </is>
      </c>
      <c r="J98" s="80" t="inlineStr">
        <is>
          <t>FY2033E</t>
        </is>
      </c>
      <c r="K98" s="80" t="inlineStr">
        <is>
          <t>CAGR</t>
        </is>
      </c>
      <c r="L98" s="409" t="inlineStr">
        <is>
          <t>Source</t>
        </is>
      </c>
      <c r="M98" s="65" t="inlineStr">
        <is>
          <t>Conf.</t>
        </is>
      </c>
      <c r="N98" s="410" t="inlineStr">
        <is>
          <t>Notes / methodology</t>
        </is>
      </c>
      <c r="P98" s="707" t="inlineStr">
        <is>
          <t>Ref</t>
        </is>
      </c>
    </row>
    <row r="99">
      <c r="A99" s="69" t="inlineStr">
        <is>
          <t>Blended realisation - effective</t>
        </is>
      </c>
      <c r="B99" s="78" t="inlineStr">
        <is>
          <t>Rs/t</t>
        </is>
      </c>
      <c r="C99" s="1086" t="n">
        <v>59974</v>
      </c>
      <c r="D99" s="1086">
        <f>'Steel Price Forecast'!D$103</f>
        <v/>
      </c>
      <c r="E99" s="1086">
        <f>'Steel Price Forecast'!E$103</f>
        <v/>
      </c>
      <c r="F99" s="1086">
        <f>'Steel Price Forecast'!F$103</f>
        <v/>
      </c>
      <c r="G99" s="1086">
        <f>'Steel Price Forecast'!G$103</f>
        <v/>
      </c>
      <c r="H99" s="1086">
        <f>'Steel Price Forecast'!H$103</f>
        <v/>
      </c>
      <c r="I99" s="1086">
        <f>'Steel Price Forecast'!I$103</f>
        <v/>
      </c>
      <c r="J99" s="1086">
        <f>'Steel Price Forecast'!J$103</f>
        <v/>
      </c>
      <c r="K99" s="81" t="n"/>
      <c r="L99" s="344" t="inlineStr">
        <is>
          <t>09 Price</t>
        </is>
      </c>
      <c r="M99" s="352" t="inlineStr">
        <is>
          <t>Medium</t>
        </is>
      </c>
      <c r="N99" s="68" t="n"/>
      <c r="P99" s="708" t="inlineStr">
        <is>
          <t>EM09</t>
        </is>
      </c>
    </row>
    <row r="100">
      <c r="A100" s="69" t="inlineStr">
        <is>
          <t>Industry cash cost per tonne</t>
        </is>
      </c>
      <c r="B100" s="78" t="inlineStr">
        <is>
          <t>Rs/t</t>
        </is>
      </c>
      <c r="C100" s="1086" t="n">
        <v>49241</v>
      </c>
      <c r="D100" s="1086">
        <f>'Cost Curve'!D$80</f>
        <v/>
      </c>
      <c r="E100" s="1086">
        <f>'Cost Curve'!E$80</f>
        <v/>
      </c>
      <c r="F100" s="1086">
        <f>'Cost Curve'!F$80</f>
        <v/>
      </c>
      <c r="G100" s="1086">
        <f>'Cost Curve'!G$80</f>
        <v/>
      </c>
      <c r="H100" s="1086">
        <f>'Cost Curve'!H$80</f>
        <v/>
      </c>
      <c r="I100" s="1086">
        <f>'Cost Curve'!I$80</f>
        <v/>
      </c>
      <c r="J100" s="1086">
        <f>'Cost Curve'!J$80</f>
        <v/>
      </c>
      <c r="K100" s="81" t="n"/>
      <c r="L100" s="344" t="inlineStr">
        <is>
          <t>11 Cost Curve</t>
        </is>
      </c>
      <c r="M100" s="352" t="inlineStr">
        <is>
          <t>Medium</t>
        </is>
      </c>
      <c r="N100" s="68" t="n"/>
      <c r="P100" s="708" t="inlineStr">
        <is>
          <t>EM10</t>
        </is>
      </c>
    </row>
    <row r="101" ht="24" customHeight="1" s="632">
      <c r="A101" s="76" t="inlineStr">
        <is>
          <t>INDUSTRY EBITDA PER TONNE</t>
        </is>
      </c>
      <c r="B101" s="78" t="inlineStr">
        <is>
          <t>Rs/t</t>
        </is>
      </c>
      <c r="C101" s="1087" t="n">
        <v>10733</v>
      </c>
      <c r="D101" s="1088">
        <f>D99-D100</f>
        <v/>
      </c>
      <c r="E101" s="1088">
        <f>E99-E100</f>
        <v/>
      </c>
      <c r="F101" s="1088">
        <f>F99-F100</f>
        <v/>
      </c>
      <c r="G101" s="1088">
        <f>G99-G100</f>
        <v/>
      </c>
      <c r="H101" s="1088">
        <f>H99-H100</f>
        <v/>
      </c>
      <c r="I101" s="1088">
        <f>I99-I100</f>
        <v/>
      </c>
      <c r="J101" s="1088">
        <f>J99-J100</f>
        <v/>
      </c>
      <c r="K101" s="839">
        <f>IFERROR(IF(AND(ISNUMBER(C101),ISNUMBER(J101),C101&gt;0),(J101/C101)^(1/7)-1,""),"")</f>
        <v/>
      </c>
      <c r="L101" s="344" t="inlineStr">
        <is>
          <t>Computed</t>
        </is>
      </c>
      <c r="M101" s="352" t="inlineStr">
        <is>
          <t>Medium</t>
        </is>
      </c>
      <c r="N101" s="345" t="inlineStr">
        <is>
          <t>FY2026A of Rs 10,733/t is the volume-weighted actual across the four majors. Reconciliation: Rs 10,733/t x 79.90 Mt = Rs 85,759 cr against the Rs 86,318 cr sum of reported EBITDAs, a 0.6% rounding difference.</t>
        </is>
      </c>
      <c r="P101" s="708" t="inlineStr">
        <is>
          <t>EM11</t>
        </is>
      </c>
    </row>
    <row r="102">
      <c r="A102" s="69" t="inlineStr">
        <is>
          <t>Finished steel production</t>
        </is>
      </c>
      <c r="B102" s="78" t="inlineStr">
        <is>
          <t>Mt</t>
        </is>
      </c>
      <c r="C102" s="841" t="n">
        <v>160.94</v>
      </c>
      <c r="D102" s="841">
        <f>'Steel Supply Model'!D$101</f>
        <v/>
      </c>
      <c r="E102" s="841">
        <f>'Steel Supply Model'!E$101</f>
        <v/>
      </c>
      <c r="F102" s="841">
        <f>'Steel Supply Model'!F$101</f>
        <v/>
      </c>
      <c r="G102" s="841">
        <f>'Steel Supply Model'!G$101</f>
        <v/>
      </c>
      <c r="H102" s="841">
        <f>'Steel Supply Model'!H$101</f>
        <v/>
      </c>
      <c r="I102" s="841">
        <f>'Steel Supply Model'!I$101</f>
        <v/>
      </c>
      <c r="J102" s="841">
        <f>'Steel Supply Model'!J$101</f>
        <v/>
      </c>
      <c r="K102" s="81" t="n"/>
      <c r="L102" s="344" t="inlineStr">
        <is>
          <t>05 Supply</t>
        </is>
      </c>
      <c r="M102" s="352" t="inlineStr">
        <is>
          <t>High</t>
        </is>
      </c>
      <c r="N102" s="68" t="n"/>
      <c r="P102" s="708" t="inlineStr">
        <is>
          <t>EM12</t>
        </is>
      </c>
    </row>
    <row r="103" ht="15" customHeight="1" s="632" thickBot="1">
      <c r="A103" s="102" t="inlineStr">
        <is>
          <t>INDUSTRY EBITDA</t>
        </is>
      </c>
      <c r="B103" s="79" t="inlineStr">
        <is>
          <t>Rs cr</t>
        </is>
      </c>
      <c r="C103" s="1089" t="n">
        <v>172736.902</v>
      </c>
      <c r="D103" s="1089">
        <f>D102*D101/10</f>
        <v/>
      </c>
      <c r="E103" s="1089">
        <f>E102*E101/10</f>
        <v/>
      </c>
      <c r="F103" s="1089">
        <f>F102*F101/10</f>
        <v/>
      </c>
      <c r="G103" s="1089">
        <f>G102*G101/10</f>
        <v/>
      </c>
      <c r="H103" s="1089">
        <f>H102*H101/10</f>
        <v/>
      </c>
      <c r="I103" s="1089">
        <f>I102*I101/10</f>
        <v/>
      </c>
      <c r="J103" s="1089">
        <f>J102*J101/10</f>
        <v/>
      </c>
      <c r="K103" s="842">
        <f>IFERROR(IF(AND(ISNUMBER(C103),ISNUMBER(J103),C103&gt;0),(J103/C103)^(1/7)-1,""),"")</f>
        <v/>
      </c>
      <c r="L103" s="346" t="inlineStr">
        <is>
          <t>Computed</t>
        </is>
      </c>
      <c r="M103" s="353" t="inlineStr">
        <is>
          <t>Medium</t>
        </is>
      </c>
      <c r="N103" s="135" t="n"/>
      <c r="P103" s="708" t="inlineStr">
        <is>
          <t>EM13</t>
        </is>
      </c>
    </row>
    <row r="104">
      <c r="C104" s="672" t="n"/>
      <c r="D104" s="672" t="n"/>
      <c r="E104" s="672" t="n"/>
      <c r="F104" s="672" t="n"/>
      <c r="G104" s="672" t="n"/>
      <c r="H104" s="672" t="n"/>
      <c r="I104" s="672" t="n"/>
      <c r="J104" s="136" t="n"/>
      <c r="K104" s="677" t="n"/>
    </row>
    <row r="105"/>
    <row r="106" ht="15" customHeight="1" s="632" thickBot="1">
      <c r="A106" s="402" t="inlineStr">
        <is>
          <t>COMPANY EBITDA PER TONNE (FY2026 spread to industry held constant)</t>
        </is>
      </c>
    </row>
    <row r="107" ht="30" customHeight="1" s="632">
      <c r="A107" s="63" t="inlineStr">
        <is>
          <t>Line item</t>
        </is>
      </c>
      <c r="B107" s="65" t="inlineStr">
        <is>
          <t>Unit</t>
        </is>
      </c>
      <c r="C107" s="80" t="inlineStr">
        <is>
          <t>FY2026A</t>
        </is>
      </c>
      <c r="D107" s="80" t="inlineStr">
        <is>
          <t>FY2027E</t>
        </is>
      </c>
      <c r="E107" s="80" t="inlineStr">
        <is>
          <t>FY2028E</t>
        </is>
      </c>
      <c r="F107" s="80" t="inlineStr">
        <is>
          <t>FY2029E</t>
        </is>
      </c>
      <c r="G107" s="80" t="inlineStr">
        <is>
          <t>FY2030E</t>
        </is>
      </c>
      <c r="H107" s="80" t="inlineStr">
        <is>
          <t>FY2031E</t>
        </is>
      </c>
      <c r="I107" s="80" t="inlineStr">
        <is>
          <t>FY2032E</t>
        </is>
      </c>
      <c r="J107" s="80" t="inlineStr">
        <is>
          <t>FY2033E</t>
        </is>
      </c>
      <c r="K107" s="80" t="inlineStr">
        <is>
          <t>CAGR</t>
        </is>
      </c>
      <c r="L107" s="409" t="inlineStr">
        <is>
          <t>Source</t>
        </is>
      </c>
      <c r="M107" s="65" t="inlineStr">
        <is>
          <t>Conf.</t>
        </is>
      </c>
      <c r="N107" s="410" t="inlineStr">
        <is>
          <t>Notes / methodology</t>
        </is>
      </c>
      <c r="P107" s="707" t="inlineStr">
        <is>
          <t>Ref</t>
        </is>
      </c>
    </row>
    <row r="108">
      <c r="A108" s="69" t="inlineStr">
        <is>
          <t>Tata Steel - EBITDA per tonne</t>
        </is>
      </c>
      <c r="B108" s="78" t="inlineStr">
        <is>
          <t>Rs/t</t>
        </is>
      </c>
      <c r="C108" s="1086" t="n">
        <v>15213</v>
      </c>
      <c r="D108" s="1086">
        <f>D101+4480</f>
        <v/>
      </c>
      <c r="E108" s="1086">
        <f>E101+4480</f>
        <v/>
      </c>
      <c r="F108" s="1086">
        <f>F101+4480</f>
        <v/>
      </c>
      <c r="G108" s="1086">
        <f>G101+4480</f>
        <v/>
      </c>
      <c r="H108" s="1086">
        <f>H101+4480</f>
        <v/>
      </c>
      <c r="I108" s="1086">
        <f>I101+4480</f>
        <v/>
      </c>
      <c r="J108" s="1086">
        <f>J101+4480</f>
        <v/>
      </c>
      <c r="K108" s="839">
        <f>IFERROR(IF(AND(ISNUMBER(C108),ISNUMBER(J108),C108&gt;0),(J108/C108)^(1/7)-1,""),"")</f>
        <v/>
      </c>
      <c r="L108" s="344" t="inlineStr">
        <is>
          <t>S08</t>
        </is>
      </c>
      <c r="M108" s="352" t="inlineStr">
        <is>
          <t>Medium</t>
        </is>
      </c>
      <c r="N108" s="345" t="inlineStr">
        <is>
          <t>FY2026 actual Rs 15,213/t, a +4480 Rs/t spread to the industry weighted average, held constant. Basis: India reported.</t>
        </is>
      </c>
      <c r="P108" s="708" t="inlineStr">
        <is>
          <t>EM14</t>
        </is>
      </c>
    </row>
    <row r="109">
      <c r="A109" s="69" t="inlineStr">
        <is>
          <t>JSW Steel - EBITDA per tonne</t>
        </is>
      </c>
      <c r="B109" s="78" t="inlineStr">
        <is>
          <t>Rs/t</t>
        </is>
      </c>
      <c r="C109" s="1086" t="n">
        <v>10167</v>
      </c>
      <c r="D109" s="1086">
        <f>D101+(-566)</f>
        <v/>
      </c>
      <c r="E109" s="1086">
        <f>E101+(-566)</f>
        <v/>
      </c>
      <c r="F109" s="1086">
        <f>F101+(-566)</f>
        <v/>
      </c>
      <c r="G109" s="1086">
        <f>G101+(-566)</f>
        <v/>
      </c>
      <c r="H109" s="1086">
        <f>H101+(-566)</f>
        <v/>
      </c>
      <c r="I109" s="1086">
        <f>I101+(-566)</f>
        <v/>
      </c>
      <c r="J109" s="1086">
        <f>J101+(-566)</f>
        <v/>
      </c>
      <c r="K109" s="839">
        <f>IFERROR(IF(AND(ISNUMBER(C109),ISNUMBER(J109),C109&gt;0),(J109/C109)^(1/7)-1,""),"")</f>
        <v/>
      </c>
      <c r="L109" s="344" t="inlineStr">
        <is>
          <t>S09</t>
        </is>
      </c>
      <c r="M109" s="352" t="inlineStr">
        <is>
          <t>Medium</t>
        </is>
      </c>
      <c r="N109" s="345" t="inlineStr">
        <is>
          <t>FY2026 actual Rs 10,167/t, a -566 Rs/t spread to the industry weighted average, held constant. Basis: India reported.</t>
        </is>
      </c>
      <c r="P109" s="708" t="inlineStr">
        <is>
          <t>EM15</t>
        </is>
      </c>
    </row>
    <row r="110">
      <c r="A110" s="69" t="inlineStr">
        <is>
          <t>SAIL - EBITDA per tonne</t>
        </is>
      </c>
      <c r="B110" s="78" t="inlineStr">
        <is>
          <t>Rs/t</t>
        </is>
      </c>
      <c r="C110" s="1086" t="n">
        <v>6596</v>
      </c>
      <c r="D110" s="1086">
        <f>D101+(-4137)</f>
        <v/>
      </c>
      <c r="E110" s="1086">
        <f>E101+(-4137)</f>
        <v/>
      </c>
      <c r="F110" s="1086">
        <f>F101+(-4137)</f>
        <v/>
      </c>
      <c r="G110" s="1086">
        <f>G101+(-4137)</f>
        <v/>
      </c>
      <c r="H110" s="1086">
        <f>H101+(-4137)</f>
        <v/>
      </c>
      <c r="I110" s="1086">
        <f>I101+(-4137)</f>
        <v/>
      </c>
      <c r="J110" s="1086">
        <f>J101+(-4137)</f>
        <v/>
      </c>
      <c r="K110" s="839">
        <f>IFERROR(IF(AND(ISNUMBER(C110),ISNUMBER(J110),C110&gt;0),(J110/C110)^(1/7)-1,""),"")</f>
        <v/>
      </c>
      <c r="L110" s="344" t="inlineStr">
        <is>
          <t>S10</t>
        </is>
      </c>
      <c r="M110" s="352" t="inlineStr">
        <is>
          <t>Medium</t>
        </is>
      </c>
      <c r="N110" s="345" t="inlineStr">
        <is>
          <t>FY2026 actual Rs 6,596/t, a -4137 Rs/t spread to the industry weighted average, held constant. Basis: STANDALONE reported.</t>
        </is>
      </c>
      <c r="P110" s="708" t="inlineStr">
        <is>
          <t>EM16</t>
        </is>
      </c>
    </row>
    <row r="111" ht="24" customHeight="1" s="632">
      <c r="A111" s="69" t="inlineStr">
        <is>
          <t>Jindal Steel - EBITDA per tonne</t>
        </is>
      </c>
      <c r="B111" s="78" t="inlineStr">
        <is>
          <t>Rs/t</t>
        </is>
      </c>
      <c r="C111" s="1086" t="n">
        <v>10482</v>
      </c>
      <c r="D111" s="1086">
        <f>D101+(-251)</f>
        <v/>
      </c>
      <c r="E111" s="1086">
        <f>E101+(-251)</f>
        <v/>
      </c>
      <c r="F111" s="1086">
        <f>F101+(-251)</f>
        <v/>
      </c>
      <c r="G111" s="1086">
        <f>G101+(-251)</f>
        <v/>
      </c>
      <c r="H111" s="1086">
        <f>H101+(-251)</f>
        <v/>
      </c>
      <c r="I111" s="1086">
        <f>I101+(-251)</f>
        <v/>
      </c>
      <c r="J111" s="1086">
        <f>J101+(-251)</f>
        <v/>
      </c>
      <c r="K111" s="839">
        <f>IFERROR(IF(AND(ISNUMBER(C111),ISNUMBER(J111),C111&gt;0),(J111/C111)^(1/7)-1,""),"")</f>
        <v/>
      </c>
      <c r="L111" s="344" t="inlineStr">
        <is>
          <t>S11</t>
        </is>
      </c>
      <c r="M111" s="352" t="inlineStr">
        <is>
          <t>Medium</t>
        </is>
      </c>
      <c r="N111" s="345" t="inlineStr">
        <is>
          <t>FY2026 actual Rs 10,482/t, a -251 Rs/t spread to the industry weighted average, held constant. Basis: Consolidated reported (adj 9,099 plus 561 FX).</t>
        </is>
      </c>
      <c r="P111" s="708" t="inlineStr">
        <is>
          <t>EM17</t>
        </is>
      </c>
    </row>
    <row r="112">
      <c r="A112" s="69" t="inlineStr">
        <is>
          <t>Jindal Stainless - EBITDA per tonne</t>
        </is>
      </c>
      <c r="B112" s="78" t="inlineStr">
        <is>
          <t>Rs/t</t>
        </is>
      </c>
      <c r="C112" s="1086" t="n">
        <v>21634</v>
      </c>
      <c r="D112" s="1086">
        <f>D101+10901</f>
        <v/>
      </c>
      <c r="E112" s="1086">
        <f>E101+10901</f>
        <v/>
      </c>
      <c r="F112" s="1086">
        <f>F101+10901</f>
        <v/>
      </c>
      <c r="G112" s="1086">
        <f>G101+10901</f>
        <v/>
      </c>
      <c r="H112" s="1086">
        <f>H101+10901</f>
        <v/>
      </c>
      <c r="I112" s="1086">
        <f>I101+10901</f>
        <v/>
      </c>
      <c r="J112" s="1086">
        <f>J101+10901</f>
        <v/>
      </c>
      <c r="K112" s="839">
        <f>IFERROR(IF(AND(ISNUMBER(C112),ISNUMBER(J112),C112&gt;0),(J112/C112)^(1/7)-1,""),"")</f>
        <v/>
      </c>
      <c r="L112" s="344" t="inlineStr">
        <is>
          <t>S12</t>
        </is>
      </c>
      <c r="M112" s="352" t="inlineStr">
        <is>
          <t>Medium</t>
        </is>
      </c>
      <c r="N112" s="345" t="inlineStr">
        <is>
          <t>FY2026 actual Rs 21,634/t, a +10901 Rs/t spread to the industry weighted average, held constant. Basis: Consolidated reported.</t>
        </is>
      </c>
      <c r="P112" s="708" t="inlineStr">
        <is>
          <t>EM18</t>
        </is>
      </c>
    </row>
    <row r="113">
      <c r="A113" s="69" t="inlineStr">
        <is>
          <t>AM/NS India - EBITDA per tonne</t>
        </is>
      </c>
      <c r="B113" s="78" t="inlineStr">
        <is>
          <t>Rs/t</t>
        </is>
      </c>
      <c r="C113" s="1086" t="n">
        <v>86</v>
      </c>
      <c r="D113" s="1086">
        <f>D101+(-10647)</f>
        <v/>
      </c>
      <c r="E113" s="1086">
        <f>E101+(-10647)</f>
        <v/>
      </c>
      <c r="F113" s="1086">
        <f>F101+(-10647)</f>
        <v/>
      </c>
      <c r="G113" s="1086">
        <f>G101+(-10647)</f>
        <v/>
      </c>
      <c r="H113" s="1086">
        <f>H101+(-10647)</f>
        <v/>
      </c>
      <c r="I113" s="1086">
        <f>I101+(-10647)</f>
        <v/>
      </c>
      <c r="J113" s="1086">
        <f>J101+(-10647)</f>
        <v/>
      </c>
      <c r="K113" s="839">
        <f>IFERROR(IF(AND(ISNUMBER(C113),ISNUMBER(J113),C113&gt;0),(J113/C113)^(1/7)-1,""),"")</f>
        <v/>
      </c>
      <c r="L113" s="344" t="inlineStr">
        <is>
          <t>S13/S14</t>
        </is>
      </c>
      <c r="M113" s="352" t="inlineStr">
        <is>
          <t>Medium</t>
        </is>
      </c>
      <c r="N113" s="345" t="inlineStr">
        <is>
          <t>FY2026 actual Rs 86/t, a -10647 Rs/t spread to the industry weighted average, held constant. Basis: 100% basis, USD converted.</t>
        </is>
      </c>
      <c r="P113" s="708" t="inlineStr">
        <is>
          <t>EM19</t>
        </is>
      </c>
    </row>
    <row r="114" ht="24.6" customHeight="1" s="632" thickBot="1">
      <c r="A114" s="72" t="inlineStr">
        <is>
          <t>RINL - EBITDA per tonne</t>
        </is>
      </c>
      <c r="B114" s="79" t="inlineStr">
        <is>
          <t>Rs/t</t>
        </is>
      </c>
      <c r="C114" s="675" t="n"/>
      <c r="D114" s="676" t="inlineStr">
        <is>
          <t>Data Not Publicly Available</t>
        </is>
      </c>
      <c r="E114" s="676" t="inlineStr">
        <is>
          <t>Data Not Publicly Available</t>
        </is>
      </c>
      <c r="F114" s="676" t="inlineStr">
        <is>
          <t>Data Not Publicly Available</t>
        </is>
      </c>
      <c r="G114" s="676" t="inlineStr">
        <is>
          <t>Data Not Publicly Available</t>
        </is>
      </c>
      <c r="H114" s="676" t="inlineStr">
        <is>
          <t>Data Not Publicly Available</t>
        </is>
      </c>
      <c r="I114" s="676" t="inlineStr">
        <is>
          <t>Data Not Publicly Available</t>
        </is>
      </c>
      <c r="J114" s="676" t="inlineStr">
        <is>
          <t>Data Not Publicly Available</t>
        </is>
      </c>
      <c r="K114" s="675" t="n"/>
      <c r="L114" s="346" t="inlineStr">
        <is>
          <t>S16</t>
        </is>
      </c>
      <c r="M114" s="353" t="inlineStr">
        <is>
          <t>n/a</t>
        </is>
      </c>
      <c r="N114" s="347" t="inlineStr">
        <is>
          <t>Unlisted and wholly Government-owned. No EBITDA, balance sheet or valuation data is publicly available, so RINL appears in the volume build only.</t>
        </is>
      </c>
      <c r="P114" s="708" t="inlineStr">
        <is>
          <t>EM20</t>
        </is>
      </c>
    </row>
    <row r="115"/>
    <row r="116" ht="15" customHeight="1" s="632" thickBot="1">
      <c r="A116" s="402" t="inlineStr">
        <is>
          <t>COMPANY EBITDA</t>
        </is>
      </c>
    </row>
    <row r="117" ht="30" customHeight="1" s="632">
      <c r="A117" s="63" t="inlineStr">
        <is>
          <t>Line item</t>
        </is>
      </c>
      <c r="B117" s="65" t="inlineStr">
        <is>
          <t>Unit</t>
        </is>
      </c>
      <c r="C117" s="65" t="inlineStr">
        <is>
          <t>FY2026A</t>
        </is>
      </c>
      <c r="D117" s="65" t="inlineStr">
        <is>
          <t>FY2027E</t>
        </is>
      </c>
      <c r="E117" s="65" t="inlineStr">
        <is>
          <t>FY2028E</t>
        </is>
      </c>
      <c r="F117" s="65" t="inlineStr">
        <is>
          <t>FY2029E</t>
        </is>
      </c>
      <c r="G117" s="65" t="inlineStr">
        <is>
          <t>FY2030E</t>
        </is>
      </c>
      <c r="H117" s="65" t="inlineStr">
        <is>
          <t>FY2031E</t>
        </is>
      </c>
      <c r="I117" s="65" t="inlineStr">
        <is>
          <t>FY2032E</t>
        </is>
      </c>
      <c r="J117" s="65" t="inlineStr">
        <is>
          <t>FY2033E</t>
        </is>
      </c>
      <c r="K117" s="65" t="inlineStr">
        <is>
          <t>CAGR</t>
        </is>
      </c>
      <c r="L117" s="409" t="inlineStr">
        <is>
          <t>Source</t>
        </is>
      </c>
      <c r="M117" s="65" t="inlineStr">
        <is>
          <t>Conf.</t>
        </is>
      </c>
      <c r="N117" s="410" t="inlineStr">
        <is>
          <t>Notes / methodology</t>
        </is>
      </c>
      <c r="P117" s="707" t="inlineStr">
        <is>
          <t>Ref</t>
        </is>
      </c>
    </row>
    <row r="118">
      <c r="A118" s="69" t="inlineStr">
        <is>
          <t>Tata Steel - EBITDA</t>
        </is>
      </c>
      <c r="B118" s="78" t="inlineStr">
        <is>
          <t>Rs cr</t>
        </is>
      </c>
      <c r="C118" s="1022">
        <f>C108*'Revenue Forecast'!C101/10</f>
        <v/>
      </c>
      <c r="D118" s="1022">
        <f>D108*'Revenue Forecast'!D101/10</f>
        <v/>
      </c>
      <c r="E118" s="1022">
        <f>E108*'Revenue Forecast'!E101/10</f>
        <v/>
      </c>
      <c r="F118" s="1022">
        <f>F108*'Revenue Forecast'!F101/10</f>
        <v/>
      </c>
      <c r="G118" s="1022">
        <f>G108*'Revenue Forecast'!G101/10</f>
        <v/>
      </c>
      <c r="H118" s="1022">
        <f>H108*'Revenue Forecast'!H101/10</f>
        <v/>
      </c>
      <c r="I118" s="1022">
        <f>I108*'Revenue Forecast'!I101/10</f>
        <v/>
      </c>
      <c r="J118" s="1022">
        <f>J108*'Revenue Forecast'!J101/10</f>
        <v/>
      </c>
      <c r="K118" s="904">
        <f>IFERROR(IF(AND(ISNUMBER(C118),ISNUMBER(J118),C118&gt;0),(J118/C118)^(1/7)-1,""),"")</f>
        <v/>
      </c>
      <c r="L118" s="344" t="inlineStr">
        <is>
          <t>S08</t>
        </is>
      </c>
      <c r="M118" s="352" t="inlineStr">
        <is>
          <t>Medium</t>
        </is>
      </c>
      <c r="N118" s="345" t="inlineStr">
        <is>
          <t>Volume from 12 Revenue x EBITDA/t above.</t>
        </is>
      </c>
      <c r="P118" s="708" t="inlineStr">
        <is>
          <t>EM21</t>
        </is>
      </c>
    </row>
    <row r="119">
      <c r="A119" s="69" t="inlineStr">
        <is>
          <t>JSW Steel - EBITDA</t>
        </is>
      </c>
      <c r="B119" s="78" t="inlineStr">
        <is>
          <t>Rs cr</t>
        </is>
      </c>
      <c r="C119" s="1022">
        <f>C109*'Revenue Forecast'!C102/10</f>
        <v/>
      </c>
      <c r="D119" s="1022">
        <f>D109*'Revenue Forecast'!D102/10</f>
        <v/>
      </c>
      <c r="E119" s="1022">
        <f>E109*'Revenue Forecast'!E102/10</f>
        <v/>
      </c>
      <c r="F119" s="1022">
        <f>F109*'Revenue Forecast'!F102/10</f>
        <v/>
      </c>
      <c r="G119" s="1022">
        <f>G109*'Revenue Forecast'!G102/10</f>
        <v/>
      </c>
      <c r="H119" s="1022">
        <f>H109*'Revenue Forecast'!H102/10</f>
        <v/>
      </c>
      <c r="I119" s="1022">
        <f>I109*'Revenue Forecast'!I102/10</f>
        <v/>
      </c>
      <c r="J119" s="1022">
        <f>J109*'Revenue Forecast'!J102/10</f>
        <v/>
      </c>
      <c r="K119" s="904">
        <f>IFERROR(IF(AND(ISNUMBER(C119),ISNUMBER(J119),C119&gt;0),(J119/C119)^(1/7)-1,""),"")</f>
        <v/>
      </c>
      <c r="L119" s="344" t="inlineStr">
        <is>
          <t>S09</t>
        </is>
      </c>
      <c r="M119" s="352" t="inlineStr">
        <is>
          <t>Medium</t>
        </is>
      </c>
      <c r="N119" s="345" t="inlineStr">
        <is>
          <t>Volume from 12 Revenue x EBITDA/t above.</t>
        </is>
      </c>
      <c r="P119" s="708" t="inlineStr">
        <is>
          <t>EM22</t>
        </is>
      </c>
    </row>
    <row r="120">
      <c r="A120" s="69" t="inlineStr">
        <is>
          <t>SAIL - EBITDA</t>
        </is>
      </c>
      <c r="B120" s="78" t="inlineStr">
        <is>
          <t>Rs cr</t>
        </is>
      </c>
      <c r="C120" s="1022">
        <f>C110*'Revenue Forecast'!C103/10</f>
        <v/>
      </c>
      <c r="D120" s="1022">
        <f>D110*'Revenue Forecast'!D103/10</f>
        <v/>
      </c>
      <c r="E120" s="1022">
        <f>E110*'Revenue Forecast'!E103/10</f>
        <v/>
      </c>
      <c r="F120" s="1022">
        <f>F110*'Revenue Forecast'!F103/10</f>
        <v/>
      </c>
      <c r="G120" s="1022">
        <f>G110*'Revenue Forecast'!G103/10</f>
        <v/>
      </c>
      <c r="H120" s="1022">
        <f>H110*'Revenue Forecast'!H103/10</f>
        <v/>
      </c>
      <c r="I120" s="1022">
        <f>I110*'Revenue Forecast'!I103/10</f>
        <v/>
      </c>
      <c r="J120" s="1022">
        <f>J110*'Revenue Forecast'!J103/10</f>
        <v/>
      </c>
      <c r="K120" s="904">
        <f>IFERROR(IF(AND(ISNUMBER(C120),ISNUMBER(J120),C120&gt;0),(J120/C120)^(1/7)-1,""),"")</f>
        <v/>
      </c>
      <c r="L120" s="344" t="inlineStr">
        <is>
          <t>S10</t>
        </is>
      </c>
      <c r="M120" s="352" t="inlineStr">
        <is>
          <t>Medium</t>
        </is>
      </c>
      <c r="N120" s="345" t="inlineStr">
        <is>
          <t>Volume from 12 Revenue x EBITDA/t above.</t>
        </is>
      </c>
      <c r="P120" s="708" t="inlineStr">
        <is>
          <t>EM23</t>
        </is>
      </c>
    </row>
    <row r="121">
      <c r="A121" s="69" t="inlineStr">
        <is>
          <t>Jindal Steel - EBITDA</t>
        </is>
      </c>
      <c r="B121" s="78" t="inlineStr">
        <is>
          <t>Rs cr</t>
        </is>
      </c>
      <c r="C121" s="1022">
        <f>C111*'Revenue Forecast'!C104/10</f>
        <v/>
      </c>
      <c r="D121" s="1022">
        <f>D111*'Revenue Forecast'!D104/10</f>
        <v/>
      </c>
      <c r="E121" s="1022">
        <f>E111*'Revenue Forecast'!E104/10</f>
        <v/>
      </c>
      <c r="F121" s="1022">
        <f>F111*'Revenue Forecast'!F104/10</f>
        <v/>
      </c>
      <c r="G121" s="1022">
        <f>G111*'Revenue Forecast'!G104/10</f>
        <v/>
      </c>
      <c r="H121" s="1022">
        <f>H111*'Revenue Forecast'!H104/10</f>
        <v/>
      </c>
      <c r="I121" s="1022">
        <f>I111*'Revenue Forecast'!I104/10</f>
        <v/>
      </c>
      <c r="J121" s="1022">
        <f>J111*'Revenue Forecast'!J104/10</f>
        <v/>
      </c>
      <c r="K121" s="904">
        <f>IFERROR(IF(AND(ISNUMBER(C121),ISNUMBER(J121),C121&gt;0),(J121/C121)^(1/7)-1,""),"")</f>
        <v/>
      </c>
      <c r="L121" s="344" t="inlineStr">
        <is>
          <t>S11</t>
        </is>
      </c>
      <c r="M121" s="352" t="inlineStr">
        <is>
          <t>Medium</t>
        </is>
      </c>
      <c r="N121" s="345" t="inlineStr">
        <is>
          <t>Volume from 12 Revenue x EBITDA/t above.</t>
        </is>
      </c>
      <c r="P121" s="708" t="inlineStr">
        <is>
          <t>EM24</t>
        </is>
      </c>
    </row>
    <row r="122">
      <c r="A122" s="69" t="inlineStr">
        <is>
          <t>Jindal Stainless - EBITDA</t>
        </is>
      </c>
      <c r="B122" s="78" t="inlineStr">
        <is>
          <t>Rs cr</t>
        </is>
      </c>
      <c r="C122" s="1022">
        <f>C112*'Revenue Forecast'!C105/10</f>
        <v/>
      </c>
      <c r="D122" s="1022">
        <f>D112*'Revenue Forecast'!D105/10</f>
        <v/>
      </c>
      <c r="E122" s="1022">
        <f>E112*'Revenue Forecast'!E105/10</f>
        <v/>
      </c>
      <c r="F122" s="1022">
        <f>F112*'Revenue Forecast'!F105/10</f>
        <v/>
      </c>
      <c r="G122" s="1022">
        <f>G112*'Revenue Forecast'!G105/10</f>
        <v/>
      </c>
      <c r="H122" s="1022">
        <f>H112*'Revenue Forecast'!H105/10</f>
        <v/>
      </c>
      <c r="I122" s="1022">
        <f>I112*'Revenue Forecast'!I105/10</f>
        <v/>
      </c>
      <c r="J122" s="1022">
        <f>J112*'Revenue Forecast'!J105/10</f>
        <v/>
      </c>
      <c r="K122" s="904">
        <f>IFERROR(IF(AND(ISNUMBER(C122),ISNUMBER(J122),C122&gt;0),(J122/C122)^(1/7)-1,""),"")</f>
        <v/>
      </c>
      <c r="L122" s="344" t="inlineStr">
        <is>
          <t>S12</t>
        </is>
      </c>
      <c r="M122" s="352" t="inlineStr">
        <is>
          <t>Medium</t>
        </is>
      </c>
      <c r="N122" s="345" t="inlineStr">
        <is>
          <t>Volume from 12 Revenue x EBITDA/t above.</t>
        </is>
      </c>
      <c r="P122" s="708" t="inlineStr">
        <is>
          <t>EM25</t>
        </is>
      </c>
    </row>
    <row r="123">
      <c r="A123" s="69" t="inlineStr">
        <is>
          <t>AM/NS India - EBITDA</t>
        </is>
      </c>
      <c r="B123" s="78" t="inlineStr">
        <is>
          <t>Rs cr</t>
        </is>
      </c>
      <c r="C123" s="1022">
        <f>C113*'Revenue Forecast'!C106/10</f>
        <v/>
      </c>
      <c r="D123" s="1022">
        <f>D113*'Revenue Forecast'!D106/10</f>
        <v/>
      </c>
      <c r="E123" s="1022">
        <f>E113*'Revenue Forecast'!E106/10</f>
        <v/>
      </c>
      <c r="F123" s="1022">
        <f>F113*'Revenue Forecast'!F106/10</f>
        <v/>
      </c>
      <c r="G123" s="1022">
        <f>G113*'Revenue Forecast'!G106/10</f>
        <v/>
      </c>
      <c r="H123" s="1022">
        <f>H113*'Revenue Forecast'!H106/10</f>
        <v/>
      </c>
      <c r="I123" s="1022">
        <f>I113*'Revenue Forecast'!I106/10</f>
        <v/>
      </c>
      <c r="J123" s="1022">
        <f>J113*'Revenue Forecast'!J106/10</f>
        <v/>
      </c>
      <c r="K123" s="904">
        <f>IFERROR(IF(AND(ISNUMBER(C123),ISNUMBER(J123),C123&gt;0),(J123/C123)^(1/7)-1,""),"")</f>
        <v/>
      </c>
      <c r="L123" s="344" t="inlineStr">
        <is>
          <t>S13/S14</t>
        </is>
      </c>
      <c r="M123" s="352" t="inlineStr">
        <is>
          <t>Medium</t>
        </is>
      </c>
      <c r="N123" s="345" t="inlineStr">
        <is>
          <t>Volume from 12 Revenue x EBITDA/t above.</t>
        </is>
      </c>
      <c r="P123" s="708" t="inlineStr">
        <is>
          <t>EM26</t>
        </is>
      </c>
    </row>
    <row r="124" ht="24.6" customHeight="1" s="632" thickBot="1">
      <c r="A124" s="72" t="inlineStr">
        <is>
          <t>RINL - EBITDA</t>
        </is>
      </c>
      <c r="B124" s="79" t="inlineStr">
        <is>
          <t>Rs cr</t>
        </is>
      </c>
      <c r="C124" s="137" t="inlineStr">
        <is>
          <t>Data Not Publicly Available</t>
        </is>
      </c>
      <c r="D124" s="137" t="inlineStr">
        <is>
          <t>Data Not Publicly Available</t>
        </is>
      </c>
      <c r="E124" s="137" t="inlineStr">
        <is>
          <t>Data Not Publicly Available</t>
        </is>
      </c>
      <c r="F124" s="137" t="inlineStr">
        <is>
          <t>Data Not Publicly Available</t>
        </is>
      </c>
      <c r="G124" s="137" t="inlineStr">
        <is>
          <t>Data Not Publicly Available</t>
        </is>
      </c>
      <c r="H124" s="137" t="inlineStr">
        <is>
          <t>Data Not Publicly Available</t>
        </is>
      </c>
      <c r="I124" s="137" t="inlineStr">
        <is>
          <t>Data Not Publicly Available</t>
        </is>
      </c>
      <c r="J124" s="137" t="inlineStr">
        <is>
          <t>Data Not Publicly Available</t>
        </is>
      </c>
      <c r="K124" s="97" t="n"/>
      <c r="L124" s="346" t="inlineStr">
        <is>
          <t>S16</t>
        </is>
      </c>
      <c r="M124" s="353" t="inlineStr">
        <is>
          <t>n/a</t>
        </is>
      </c>
      <c r="N124" s="347" t="inlineStr">
        <is>
          <t>Unlisted and wholly Government-owned. No EBITDA, balance sheet or valuation data is publicly available, so RINL appears in the volume build only.</t>
        </is>
      </c>
      <c r="P124" s="708" t="inlineStr">
        <is>
          <t>EM27</t>
        </is>
      </c>
    </row>
    <row r="125"/>
    <row r="126">
      <c r="A126" s="393" t="inlineStr">
        <is>
          <t>SAIL's EBITDA is on a STANDALONE basis while its revenue is consolidated - database Conflict C09. Never pair a consolidated enterprise value with SAIL's EBITDA headline without adjusting.</t>
        </is>
      </c>
    </row>
  </sheetData>
  <mergeCells count="12">
    <mergeCell ref="A70:H70"/>
    <mergeCell ref="A7:I7"/>
    <mergeCell ref="A126:N126"/>
    <mergeCell ref="A87:H87"/>
    <mergeCell ref="A2:E2"/>
    <mergeCell ref="A17:I17"/>
    <mergeCell ref="A45:H45"/>
    <mergeCell ref="A5:N5"/>
    <mergeCell ref="A79:H79"/>
    <mergeCell ref="A58:H58"/>
    <mergeCell ref="A29:C29"/>
    <mergeCell ref="A1:N1"/>
  </mergeCells>
  <hyperlinks>
    <hyperlink ref="M19" location="'Audit Checks'!A456" tooltip="Open the reference register on 25 Audit Checks"/>
    <hyperlink ref="M20" location="'Audit Checks'!A456" tooltip="Open the reference register on 25 Audit Checks"/>
    <hyperlink ref="M21" location="'Audit Checks'!A456" tooltip="Open the reference register on 25 Audit Checks"/>
    <hyperlink ref="M22" location="'Audit Checks'!A456" tooltip="Open the reference register on 25 Audit Checks"/>
    <hyperlink ref="M23" location="'Audit Checks'!A456" tooltip="Open the reference register on 25 Audit Checks"/>
    <hyperlink ref="M24" location="'Audit Checks'!A456" tooltip="Open the reference register on 25 Audit Checks"/>
    <hyperlink ref="M25" location="'Audit Checks'!A456" tooltip="Open the reference register on 25 Audit Checks"/>
    <hyperlink ref="M26" location="'Audit Checks'!A456" tooltip="Open the reference register on 25 Audit Checks"/>
    <hyperlink ref="E31" location="'Audit Checks'!A456" tooltip="Open the reference register on 25 Audit Checks"/>
    <hyperlink ref="E32" location="'Audit Checks'!A456" tooltip="Open the reference register on 25 Audit Checks"/>
    <hyperlink ref="E33" location="'Audit Checks'!A456" tooltip="Open the reference register on 25 Audit Checks"/>
    <hyperlink ref="E34" location="'Audit Checks'!A456" tooltip="Open the reference register on 25 Audit Checks"/>
    <hyperlink ref="E35" location="'Audit Checks'!A456" tooltip="Open the reference register on 25 Audit Checks"/>
    <hyperlink ref="E36" location="'Audit Checks'!A456" tooltip="Open the reference register on 25 Audit Checks"/>
    <hyperlink ref="E37" location="'Audit Checks'!A456" tooltip="Open the reference register on 25 Audit Checks"/>
    <hyperlink ref="E38" location="'Audit Checks'!A456" tooltip="Open the reference register on 25 Audit Checks"/>
    <hyperlink ref="E39" location="'Audit Checks'!A456" tooltip="Open the reference register on 25 Audit Checks"/>
    <hyperlink ref="E40" location="'Audit Checks'!A456" tooltip="Open the reference register on 25 Audit Checks"/>
    <hyperlink ref="E41" location="'Audit Checks'!A456" tooltip="Open the reference register on 25 Audit Checks"/>
    <hyperlink ref="E42" location="'Audit Checks'!A456" tooltip="Open the reference register on 25 Audit Checks"/>
    <hyperlink ref="J51" location="'Audit Checks'!A456" tooltip="Open the reference register on 25 Audit Checks"/>
    <hyperlink ref="J52" location="'Audit Checks'!A456" tooltip="Open the reference register on 25 Audit Checks"/>
    <hyperlink ref="J55" location="'Audit Checks'!A456" tooltip="Open the reference register on 25 Audit Checks"/>
    <hyperlink ref="G72" location="'Audit Checks'!A456" tooltip="Open the reference register on 25 Audit Checks"/>
    <hyperlink ref="J82" location="'Audit Checks'!A456" tooltip="Open the reference register on 25 Audit Checks"/>
    <hyperlink ref="G95" location="'Audit Checks'!A456" tooltip="Open the reference register on 25 Audit Checks"/>
    <hyperlink ref="P99" location="'Audit Checks'!A456" tooltip="Open the reference register on 25 Audit Checks"/>
    <hyperlink ref="P100" location="'Audit Checks'!A456" tooltip="Open the reference register on 25 Audit Checks"/>
    <hyperlink ref="P101" location="'Audit Checks'!A456" tooltip="Open the reference register on 25 Audit Checks"/>
    <hyperlink ref="P102" location="'Audit Checks'!A456" tooltip="Open the reference register on 25 Audit Checks"/>
    <hyperlink ref="P103" location="'Audit Checks'!A456" tooltip="Open the reference register on 25 Audit Checks"/>
    <hyperlink ref="P108" location="'Audit Checks'!A456" tooltip="Open the reference register on 25 Audit Checks"/>
    <hyperlink ref="P109" location="'Audit Checks'!A456" tooltip="Open the reference register on 25 Audit Checks"/>
    <hyperlink ref="P110" location="'Audit Checks'!A456" tooltip="Open the reference register on 25 Audit Checks"/>
    <hyperlink ref="P111" location="'Audit Checks'!A456" tooltip="Open the reference register on 25 Audit Checks"/>
    <hyperlink ref="P112" location="'Audit Checks'!A456" tooltip="Open the reference register on 25 Audit Checks"/>
    <hyperlink ref="P113" location="'Audit Checks'!A456" tooltip="Open the reference register on 25 Audit Checks"/>
    <hyperlink ref="P114" location="'Audit Checks'!A456" tooltip="Open the reference register on 25 Audit Checks"/>
    <hyperlink ref="P118" location="'Audit Checks'!A456" tooltip="Open the reference register on 25 Audit Checks"/>
    <hyperlink ref="P119" location="'Audit Checks'!A456" tooltip="Open the reference register on 25 Audit Checks"/>
    <hyperlink ref="P120" location="'Audit Checks'!A456" tooltip="Open the reference register on 25 Audit Checks"/>
    <hyperlink ref="P121" location="'Audit Checks'!A456" tooltip="Open the reference register on 25 Audit Checks"/>
    <hyperlink ref="P122" location="'Audit Checks'!A456" tooltip="Open the reference register on 25 Audit Checks"/>
    <hyperlink ref="P123" location="'Audit Checks'!A456" tooltip="Open the reference register on 25 Audit Checks"/>
    <hyperlink ref="P124" location="'Audit Checks'!A456" tooltip="Open the reference register on 25 Audit Checks"/>
  </hyperlinks>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codeName="Sheet19">
    <tabColor rgb="FF002060"/>
    <outlinePr summaryBelow="1" summaryRight="1"/>
    <pageSetUpPr/>
  </sheetPr>
  <dimension ref="A1:P102"/>
  <sheetViews>
    <sheetView showGridLines="0" workbookViewId="0">
      <selection activeCell="A3" sqref="A3"/>
    </sheetView>
  </sheetViews>
  <sheetFormatPr baseColWidth="8" defaultRowHeight="14.4"/>
  <cols>
    <col width="34" customWidth="1" style="632" min="1" max="1"/>
    <col width="11.109375" customWidth="1" style="632" min="2" max="2"/>
    <col width="10.88671875" customWidth="1" style="632" min="3" max="11"/>
    <col width="7" customWidth="1" style="632" min="5" max="5"/>
    <col width="7" customWidth="1" style="632" min="7" max="7"/>
    <col width="7" customWidth="1" style="632" min="10" max="10"/>
    <col width="9.109375" customWidth="1" style="632" min="12" max="12"/>
    <col width="6.5546875" bestFit="1" customWidth="1" style="632" min="13" max="13"/>
    <col width="49.77734375" customWidth="1" style="632" min="14" max="14"/>
    <col width="7" customWidth="1" style="632" min="16" max="16"/>
  </cols>
  <sheetData>
    <row r="1" ht="25.8" customHeight="1" s="632">
      <c r="A1" s="372" t="inlineStr">
        <is>
          <t>MARGIN ANALYSIS</t>
        </is>
      </c>
    </row>
    <row r="2">
      <c r="A2" s="355" t="inlineStr">
        <is>
          <t>Industry Financial Model  |  Indian Steel Industry  |  Horizon FY2027E-FY2033E  |  Base year FY2026A</t>
        </is>
      </c>
    </row>
    <row r="3">
      <c r="A3" s="371" t="n"/>
    </row>
    <row r="4">
      <c r="A4" s="356" t="inlineStr">
        <is>
          <t>OBJECTIVE</t>
        </is>
      </c>
    </row>
    <row r="5">
      <c r="A5" s="576" t="inlineStr">
        <is>
          <t>Analyze historical and forecast profitability by examining margins, cost drivers, operating leverage, and sensitivity to key variables.</t>
        </is>
      </c>
    </row>
    <row r="6">
      <c r="A6" s="576" t="n"/>
      <c r="B6" s="576" t="n"/>
      <c r="C6" s="576" t="n"/>
      <c r="D6" s="576" t="n"/>
      <c r="E6" s="576" t="n"/>
      <c r="F6" s="576" t="n"/>
      <c r="G6" s="576" t="n"/>
      <c r="H6" s="576" t="n"/>
      <c r="I6" s="576" t="n"/>
      <c r="J6" s="576" t="n"/>
      <c r="K6" s="576" t="n"/>
      <c r="L6" s="576" t="n"/>
      <c r="M6" s="576" t="n"/>
      <c r="N6" s="576" t="n"/>
    </row>
    <row r="7" ht="15.6" customHeight="1" s="632">
      <c r="A7" s="612" t="inlineStr">
        <is>
          <t>Executive Summary</t>
        </is>
      </c>
      <c r="J7" s="576" t="n"/>
      <c r="K7" s="576" t="n"/>
      <c r="L7" s="576" t="n"/>
      <c r="M7" s="576" t="n"/>
      <c r="N7" s="576" t="n"/>
    </row>
    <row r="8">
      <c r="A8" s="506" t="inlineStr">
        <is>
          <t>KPI</t>
        </is>
      </c>
      <c r="B8" s="499" t="inlineStr">
        <is>
          <t>FY26A</t>
        </is>
      </c>
      <c r="C8" s="499" t="inlineStr">
        <is>
          <t>FY27E</t>
        </is>
      </c>
      <c r="D8" s="499" t="inlineStr">
        <is>
          <t>FY28E</t>
        </is>
      </c>
      <c r="E8" s="499" t="inlineStr">
        <is>
          <t>FY29E</t>
        </is>
      </c>
      <c r="F8" s="499" t="inlineStr">
        <is>
          <t>FY30E</t>
        </is>
      </c>
      <c r="G8" s="499" t="inlineStr">
        <is>
          <t>FY31E</t>
        </is>
      </c>
      <c r="H8" s="499" t="inlineStr">
        <is>
          <t>FY32E</t>
        </is>
      </c>
      <c r="I8" s="499" t="inlineStr">
        <is>
          <t>FY33E</t>
        </is>
      </c>
      <c r="J8" s="576" t="n"/>
      <c r="K8" s="576" t="n"/>
      <c r="L8" s="576" t="n"/>
      <c r="M8" s="576" t="n"/>
      <c r="N8" s="576" t="n"/>
    </row>
    <row r="9">
      <c r="A9" s="670" t="inlineStr">
        <is>
          <t>Gross Margin (%)</t>
        </is>
      </c>
      <c r="B9" s="1090">
        <f>('Revenue Forecast'!C96-'Cost Curve'!C80*'Model Assumptions'!D$20*'Steel Supply Model'!C101/10)/'Revenue Forecast'!C96</f>
        <v/>
      </c>
      <c r="C9" s="1090">
        <f>('Revenue Forecast'!D96-'Cost Curve'!D80*'Model Assumptions'!E$20*'Steel Supply Model'!D101/10)/'Revenue Forecast'!D96</f>
        <v/>
      </c>
      <c r="D9" s="1090">
        <f>('Revenue Forecast'!E96-'Cost Curve'!E80*'Model Assumptions'!F$20*'Steel Supply Model'!E101/10)/'Revenue Forecast'!E96</f>
        <v/>
      </c>
      <c r="E9" s="1090">
        <f>('Revenue Forecast'!F96-'Cost Curve'!F80*'Model Assumptions'!G$20*'Steel Supply Model'!F101/10)/'Revenue Forecast'!F96</f>
        <v/>
      </c>
      <c r="F9" s="1090">
        <f>('Revenue Forecast'!G96-'Cost Curve'!G80*'Model Assumptions'!H$20*'Steel Supply Model'!G101/10)/'Revenue Forecast'!G96</f>
        <v/>
      </c>
      <c r="G9" s="1090">
        <f>('Revenue Forecast'!H96-'Cost Curve'!H80*'Model Assumptions'!I$20*'Steel Supply Model'!H101/10)/'Revenue Forecast'!H96</f>
        <v/>
      </c>
      <c r="H9" s="1090">
        <f>('Revenue Forecast'!I96-'Cost Curve'!I80*'Model Assumptions'!J$20*'Steel Supply Model'!I101/10)/'Revenue Forecast'!I96</f>
        <v/>
      </c>
      <c r="I9" s="1090">
        <f>('Revenue Forecast'!J96-'Cost Curve'!J80*'Model Assumptions'!K$20*'Steel Supply Model'!J101/10)/'Revenue Forecast'!J96</f>
        <v/>
      </c>
      <c r="J9" s="576" t="n"/>
      <c r="K9" s="576" t="n"/>
      <c r="L9" s="576" t="n"/>
      <c r="M9" s="576" t="n"/>
      <c r="N9" s="576" t="n"/>
    </row>
    <row r="10">
      <c r="A10" s="670" t="inlineStr">
        <is>
          <t>EBITDA Margin (%)</t>
        </is>
      </c>
      <c r="B10" s="1091">
        <f>$C$91</f>
        <v/>
      </c>
      <c r="C10" s="1091">
        <f>$D$91</f>
        <v/>
      </c>
      <c r="D10" s="1091">
        <f>$E$91</f>
        <v/>
      </c>
      <c r="E10" s="1091">
        <f>$F$91</f>
        <v/>
      </c>
      <c r="F10" s="1091">
        <f>$G$91</f>
        <v/>
      </c>
      <c r="G10" s="1091">
        <f>$H$91</f>
        <v/>
      </c>
      <c r="H10" s="1091">
        <f>$I$91</f>
        <v/>
      </c>
      <c r="I10" s="1091">
        <f>$J$91</f>
        <v/>
      </c>
      <c r="J10" s="576" t="n"/>
      <c r="K10" s="576" t="n"/>
      <c r="L10" s="576" t="n"/>
      <c r="M10" s="576" t="n"/>
      <c r="N10" s="576" t="n"/>
    </row>
    <row r="11">
      <c r="A11" s="670" t="inlineStr">
        <is>
          <t>Operating Margin (%)</t>
        </is>
      </c>
      <c r="B11" s="1090">
        <f>'Cash Flow Model'!C100/'Cash Flow Model'!C97</f>
        <v/>
      </c>
      <c r="C11" s="1090">
        <f>'Cash Flow Model'!D100/'Cash Flow Model'!D97</f>
        <v/>
      </c>
      <c r="D11" s="1090">
        <f>'Cash Flow Model'!E100/'Cash Flow Model'!E97</f>
        <v/>
      </c>
      <c r="E11" s="1090">
        <f>'Cash Flow Model'!F100/'Cash Flow Model'!F97</f>
        <v/>
      </c>
      <c r="F11" s="1090">
        <f>'Cash Flow Model'!G100/'Cash Flow Model'!G97</f>
        <v/>
      </c>
      <c r="G11" s="1090">
        <f>'Cash Flow Model'!H100/'Cash Flow Model'!H97</f>
        <v/>
      </c>
      <c r="H11" s="1090">
        <f>'Cash Flow Model'!I100/'Cash Flow Model'!I97</f>
        <v/>
      </c>
      <c r="I11" s="1090">
        <f>'Cash Flow Model'!J100/'Cash Flow Model'!J97</f>
        <v/>
      </c>
      <c r="J11" s="576" t="n"/>
      <c r="K11" s="576" t="n"/>
      <c r="L11" s="576" t="n"/>
      <c r="M11" s="576" t="n"/>
      <c r="N11" s="576" t="n"/>
    </row>
    <row r="12">
      <c r="A12" s="670" t="inlineStr">
        <is>
          <t>Cash Margin (%)</t>
        </is>
      </c>
      <c r="B12" s="1090">
        <f>('Cash Flow Model'!C96-'Cash Flow Model'!C102)/'Cash Flow Model'!C97</f>
        <v/>
      </c>
      <c r="C12" s="1090">
        <f>('Cash Flow Model'!D96-'Cash Flow Model'!D102)/'Cash Flow Model'!D97</f>
        <v/>
      </c>
      <c r="D12" s="1090">
        <f>('Cash Flow Model'!E96-'Cash Flow Model'!E102)/'Cash Flow Model'!E97</f>
        <v/>
      </c>
      <c r="E12" s="1090">
        <f>('Cash Flow Model'!F96-'Cash Flow Model'!F102)/'Cash Flow Model'!F97</f>
        <v/>
      </c>
      <c r="F12" s="1090">
        <f>('Cash Flow Model'!G96-'Cash Flow Model'!G102)/'Cash Flow Model'!G97</f>
        <v/>
      </c>
      <c r="G12" s="1090">
        <f>('Cash Flow Model'!H96-'Cash Flow Model'!H102)/'Cash Flow Model'!H97</f>
        <v/>
      </c>
      <c r="H12" s="1090">
        <f>('Cash Flow Model'!I96-'Cash Flow Model'!I102)/'Cash Flow Model'!I97</f>
        <v/>
      </c>
      <c r="I12" s="1090">
        <f>('Cash Flow Model'!J96-'Cash Flow Model'!J102)/'Cash Flow Model'!J97</f>
        <v/>
      </c>
      <c r="J12" s="576" t="n"/>
      <c r="K12" s="576" t="n"/>
      <c r="L12" s="576" t="n"/>
      <c r="M12" s="576" t="n"/>
      <c r="N12" s="576" t="n"/>
    </row>
    <row r="13">
      <c r="A13" s="670" t="inlineStr">
        <is>
          <t>EBITDA/t (₹/t)</t>
        </is>
      </c>
      <c r="B13" s="1058">
        <f>$C$90</f>
        <v/>
      </c>
      <c r="C13" s="1058">
        <f>$D$90</f>
        <v/>
      </c>
      <c r="D13" s="1058">
        <f>$E$90</f>
        <v/>
      </c>
      <c r="E13" s="1058">
        <f>$F$90</f>
        <v/>
      </c>
      <c r="F13" s="1058">
        <f>$G$90</f>
        <v/>
      </c>
      <c r="G13" s="1058">
        <f>$H$90</f>
        <v/>
      </c>
      <c r="H13" s="1058">
        <f>$I$90</f>
        <v/>
      </c>
      <c r="I13" s="1058">
        <f>$J$90</f>
        <v/>
      </c>
      <c r="J13" s="576" t="n"/>
      <c r="K13" s="576" t="n"/>
      <c r="L13" s="576" t="n"/>
      <c r="M13" s="576" t="n"/>
      <c r="N13" s="576" t="n"/>
    </row>
    <row r="14">
      <c r="A14" s="670" t="inlineStr">
        <is>
          <t>Cost/Revenue (%)</t>
        </is>
      </c>
      <c r="B14" s="1092">
        <f>'Cost Curve'!C80/C88</f>
        <v/>
      </c>
      <c r="C14" s="1092">
        <f>'Cost Curve'!D80/D88</f>
        <v/>
      </c>
      <c r="D14" s="1092">
        <f>'Cost Curve'!E80/E88</f>
        <v/>
      </c>
      <c r="E14" s="1092">
        <f>'Cost Curve'!F80/F88</f>
        <v/>
      </c>
      <c r="F14" s="1092">
        <f>'Cost Curve'!G80/G88</f>
        <v/>
      </c>
      <c r="G14" s="1092">
        <f>'Cost Curve'!H80/H88</f>
        <v/>
      </c>
      <c r="H14" s="1092">
        <f>'Cost Curve'!I80/I88</f>
        <v/>
      </c>
      <c r="I14" s="1092">
        <f>'Cost Curve'!J80/J88</f>
        <v/>
      </c>
      <c r="J14" s="576" t="n"/>
      <c r="K14" s="576" t="n"/>
      <c r="L14" s="576" t="n"/>
      <c r="M14" s="576" t="n"/>
      <c r="N14" s="576" t="n"/>
    </row>
    <row r="15">
      <c r="A15" s="576" t="n"/>
      <c r="B15" s="576" t="n"/>
      <c r="C15" s="576" t="n"/>
      <c r="D15" s="576" t="n"/>
      <c r="E15" s="576" t="n"/>
      <c r="F15" s="576" t="n"/>
      <c r="G15" s="576" t="n"/>
      <c r="H15" s="576" t="n"/>
      <c r="I15" s="576" t="n"/>
      <c r="J15" s="576" t="n"/>
      <c r="K15" s="576" t="n"/>
      <c r="L15" s="576" t="n"/>
      <c r="M15" s="576" t="n"/>
      <c r="N15" s="576" t="n"/>
    </row>
    <row r="16">
      <c r="A16" s="576" t="n"/>
      <c r="B16" s="576" t="n"/>
      <c r="C16" s="576" t="n"/>
      <c r="D16" s="576" t="n"/>
      <c r="E16" s="576" t="n"/>
      <c r="F16" s="576" t="n"/>
      <c r="G16" s="576" t="n"/>
      <c r="H16" s="576" t="n"/>
      <c r="I16" s="576" t="n"/>
      <c r="J16" s="576" t="n"/>
      <c r="K16" s="576" t="n"/>
      <c r="L16" s="576" t="n"/>
      <c r="M16" s="576" t="n"/>
      <c r="N16" s="576" t="n"/>
    </row>
    <row r="17" ht="15.6" customHeight="1" s="632">
      <c r="A17" s="612" t="inlineStr">
        <is>
          <t>Margin Trend</t>
        </is>
      </c>
      <c r="J17" s="576" t="n"/>
      <c r="K17" s="576" t="n"/>
      <c r="L17" s="576" t="n"/>
      <c r="M17" s="576" t="n"/>
      <c r="N17" s="576" t="n"/>
    </row>
    <row r="18" ht="27.6" customHeight="1" s="632">
      <c r="A18" s="506" t="inlineStr">
        <is>
          <t>Year</t>
        </is>
      </c>
      <c r="B18" s="506" t="inlineStr">
        <is>
          <t>Revenue</t>
        </is>
      </c>
      <c r="C18" s="506" t="inlineStr">
        <is>
          <t>EBITDA</t>
        </is>
      </c>
      <c r="D18" s="506" t="inlineStr">
        <is>
          <t>EBITDA Margin</t>
        </is>
      </c>
      <c r="E18" s="506" t="inlineStr">
        <is>
          <t>Operating Margin</t>
        </is>
      </c>
      <c r="F18" s="506" t="inlineStr">
        <is>
          <t>Gross Margin</t>
        </is>
      </c>
      <c r="G18" s="576" t="n"/>
      <c r="H18" s="576" t="n"/>
      <c r="I18" s="576" t="n"/>
      <c r="J18" s="576" t="n"/>
      <c r="K18" s="576" t="n"/>
      <c r="L18" s="576" t="n"/>
      <c r="M18" s="576" t="n"/>
      <c r="N18" s="576" t="n"/>
    </row>
    <row r="19">
      <c r="A19" s="670" t="inlineStr">
        <is>
          <t>FY26A</t>
        </is>
      </c>
      <c r="B19" s="1073">
        <f>'Revenue Forecast'!$C$96</f>
        <v/>
      </c>
      <c r="C19" s="1073">
        <f>'EBITDA Model'!$C$103</f>
        <v/>
      </c>
      <c r="D19" s="875">
        <f>$C$91</f>
        <v/>
      </c>
      <c r="E19" s="954">
        <f>'Cash Flow Model'!C100/'Cash Flow Model'!C97</f>
        <v/>
      </c>
      <c r="F19" s="954">
        <f>('Revenue Forecast'!C96-'Cost Curve'!C80*'Model Assumptions'!D$20*'Steel Supply Model'!C101/10)/'Revenue Forecast'!C96</f>
        <v/>
      </c>
      <c r="G19" s="576" t="n"/>
      <c r="H19" s="576" t="n"/>
      <c r="I19" s="576" t="n"/>
      <c r="J19" s="576" t="n"/>
      <c r="K19" s="576" t="n"/>
      <c r="L19" s="576" t="n"/>
      <c r="M19" s="576" t="n"/>
      <c r="N19" s="576" t="n"/>
    </row>
    <row r="20">
      <c r="A20" s="670" t="inlineStr">
        <is>
          <t>FY27E</t>
        </is>
      </c>
      <c r="B20" s="1073">
        <f>'Revenue Forecast'!$D$96</f>
        <v/>
      </c>
      <c r="C20" s="1073">
        <f>'EBITDA Model'!$D$103</f>
        <v/>
      </c>
      <c r="D20" s="875">
        <f>$D$91</f>
        <v/>
      </c>
      <c r="E20" s="954">
        <f>'Cash Flow Model'!D100/'Cash Flow Model'!D97</f>
        <v/>
      </c>
      <c r="F20" s="954">
        <f>('Revenue Forecast'!D96-'Cost Curve'!D80*'Model Assumptions'!E$20*'Steel Supply Model'!D101/10)/'Revenue Forecast'!D96</f>
        <v/>
      </c>
      <c r="G20" s="576" t="n"/>
      <c r="H20" s="576" t="n"/>
      <c r="I20" s="576" t="n"/>
      <c r="J20" s="576" t="n"/>
      <c r="K20" s="576" t="n"/>
      <c r="L20" s="576" t="n"/>
      <c r="M20" s="576" t="n"/>
      <c r="N20" s="576" t="n"/>
    </row>
    <row r="21">
      <c r="A21" s="670" t="inlineStr">
        <is>
          <t>FY28E</t>
        </is>
      </c>
      <c r="B21" s="1073">
        <f>'Revenue Forecast'!$E$96</f>
        <v/>
      </c>
      <c r="C21" s="1073">
        <f>'EBITDA Model'!$E$103</f>
        <v/>
      </c>
      <c r="D21" s="875">
        <f>$E$91</f>
        <v/>
      </c>
      <c r="E21" s="954">
        <f>'Cash Flow Model'!E100/'Cash Flow Model'!E97</f>
        <v/>
      </c>
      <c r="F21" s="954">
        <f>('Revenue Forecast'!E96-'Cost Curve'!E80*'Model Assumptions'!F$20*'Steel Supply Model'!E101/10)/'Revenue Forecast'!E96</f>
        <v/>
      </c>
      <c r="G21" s="576" t="n"/>
      <c r="H21" s="576" t="n"/>
      <c r="I21" s="576" t="n"/>
      <c r="J21" s="576" t="n"/>
      <c r="K21" s="576" t="n"/>
      <c r="L21" s="576" t="n"/>
      <c r="M21" s="576" t="n"/>
      <c r="N21" s="576" t="n"/>
    </row>
    <row r="22">
      <c r="A22" s="670" t="inlineStr">
        <is>
          <t>FY29E</t>
        </is>
      </c>
      <c r="B22" s="1073">
        <f>'Revenue Forecast'!$F$96</f>
        <v/>
      </c>
      <c r="C22" s="1073">
        <f>'EBITDA Model'!$F$103</f>
        <v/>
      </c>
      <c r="D22" s="875">
        <f>$F$91</f>
        <v/>
      </c>
      <c r="E22" s="954">
        <f>'Cash Flow Model'!F100/'Cash Flow Model'!F97</f>
        <v/>
      </c>
      <c r="F22" s="954">
        <f>('Revenue Forecast'!F96-'Cost Curve'!F80*'Model Assumptions'!G$20*'Steel Supply Model'!F101/10)/'Revenue Forecast'!F96</f>
        <v/>
      </c>
      <c r="G22" s="576" t="n"/>
      <c r="H22" s="576" t="n"/>
      <c r="I22" s="576" t="n"/>
      <c r="J22" s="576" t="n"/>
      <c r="K22" s="576" t="n"/>
      <c r="L22" s="576" t="n"/>
      <c r="M22" s="576" t="n"/>
      <c r="N22" s="576" t="n"/>
    </row>
    <row r="23">
      <c r="A23" s="670" t="inlineStr">
        <is>
          <t>FY30E</t>
        </is>
      </c>
      <c r="B23" s="1073">
        <f>'Revenue Forecast'!$G$96</f>
        <v/>
      </c>
      <c r="C23" s="1073">
        <f>'EBITDA Model'!$G$103</f>
        <v/>
      </c>
      <c r="D23" s="875">
        <f>$G$91</f>
        <v/>
      </c>
      <c r="E23" s="954">
        <f>'Cash Flow Model'!G100/'Cash Flow Model'!G97</f>
        <v/>
      </c>
      <c r="F23" s="954">
        <f>('Revenue Forecast'!G96-'Cost Curve'!G80*'Model Assumptions'!H$20*'Steel Supply Model'!G101/10)/'Revenue Forecast'!G96</f>
        <v/>
      </c>
      <c r="G23" s="576" t="n"/>
      <c r="H23" s="576" t="n"/>
      <c r="I23" s="576" t="n"/>
      <c r="J23" s="576" t="n"/>
      <c r="K23" s="576" t="n"/>
      <c r="L23" s="576" t="n"/>
      <c r="M23" s="576" t="n"/>
      <c r="N23" s="576" t="n"/>
    </row>
    <row r="24">
      <c r="A24" s="670" t="inlineStr">
        <is>
          <t>FY31E</t>
        </is>
      </c>
      <c r="B24" s="1073">
        <f>'Revenue Forecast'!$H$96</f>
        <v/>
      </c>
      <c r="C24" s="1073">
        <f>'EBITDA Model'!$H$103</f>
        <v/>
      </c>
      <c r="D24" s="875">
        <f>$H$91</f>
        <v/>
      </c>
      <c r="E24" s="954">
        <f>'Cash Flow Model'!H100/'Cash Flow Model'!H97</f>
        <v/>
      </c>
      <c r="F24" s="954">
        <f>('Revenue Forecast'!H96-'Cost Curve'!H80*'Model Assumptions'!I$20*'Steel Supply Model'!H101/10)/'Revenue Forecast'!H96</f>
        <v/>
      </c>
      <c r="G24" s="576" t="n"/>
      <c r="H24" s="576" t="n"/>
      <c r="I24" s="576" t="n"/>
      <c r="J24" s="576" t="n"/>
      <c r="K24" s="576" t="n"/>
      <c r="L24" s="576" t="n"/>
      <c r="M24" s="576" t="n"/>
      <c r="N24" s="576" t="n"/>
    </row>
    <row r="25">
      <c r="A25" s="670" t="inlineStr">
        <is>
          <t>FY32E</t>
        </is>
      </c>
      <c r="B25" s="1073">
        <f>'Revenue Forecast'!$I$96</f>
        <v/>
      </c>
      <c r="C25" s="1073">
        <f>'EBITDA Model'!$I$103</f>
        <v/>
      </c>
      <c r="D25" s="875">
        <f>$I$91</f>
        <v/>
      </c>
      <c r="E25" s="954">
        <f>'Cash Flow Model'!I100/'Cash Flow Model'!I97</f>
        <v/>
      </c>
      <c r="F25" s="954">
        <f>('Revenue Forecast'!I96-'Cost Curve'!I80*'Model Assumptions'!J$20*'Steel Supply Model'!I101/10)/'Revenue Forecast'!I96</f>
        <v/>
      </c>
      <c r="G25" s="576" t="n"/>
      <c r="H25" s="576" t="n"/>
      <c r="I25" s="576" t="n"/>
      <c r="J25" s="576" t="n"/>
      <c r="K25" s="576" t="n"/>
      <c r="L25" s="576" t="n"/>
      <c r="M25" s="576" t="n"/>
      <c r="N25" s="576" t="n"/>
    </row>
    <row r="26">
      <c r="A26" s="670" t="inlineStr">
        <is>
          <t>FY33E</t>
        </is>
      </c>
      <c r="B26" s="1073">
        <f>'Revenue Forecast'!$J$96</f>
        <v/>
      </c>
      <c r="C26" s="1073">
        <f>'EBITDA Model'!$J$103</f>
        <v/>
      </c>
      <c r="D26" s="875">
        <f>$J$91</f>
        <v/>
      </c>
      <c r="E26" s="954">
        <f>'Cash Flow Model'!J100/'Cash Flow Model'!J97</f>
        <v/>
      </c>
      <c r="F26" s="954">
        <f>('Revenue Forecast'!J96-'Cost Curve'!J80*'Model Assumptions'!K$20*'Steel Supply Model'!J101/10)/'Revenue Forecast'!J96</f>
        <v/>
      </c>
      <c r="G26" s="576" t="n"/>
      <c r="H26" s="576" t="n"/>
      <c r="I26" s="576" t="n"/>
      <c r="J26" s="576" t="n"/>
      <c r="K26" s="576" t="n"/>
      <c r="L26" s="576" t="n"/>
      <c r="M26" s="576" t="n"/>
      <c r="N26" s="576" t="n"/>
    </row>
    <row r="27">
      <c r="A27" s="576" t="n"/>
      <c r="B27" s="576" t="n"/>
      <c r="C27" s="576" t="n"/>
      <c r="D27" s="576" t="n"/>
      <c r="E27" s="576" t="n"/>
      <c r="F27" s="576" t="n"/>
      <c r="G27" s="576" t="n"/>
      <c r="H27" s="576" t="n"/>
      <c r="I27" s="576" t="n"/>
      <c r="J27" s="576" t="n"/>
      <c r="K27" s="576" t="n"/>
      <c r="L27" s="576" t="n"/>
      <c r="M27" s="576" t="n"/>
      <c r="N27" s="576" t="n"/>
    </row>
    <row r="28">
      <c r="A28" s="576" t="n"/>
      <c r="B28" s="576" t="n"/>
      <c r="C28" s="576" t="n"/>
      <c r="D28" s="576" t="n"/>
      <c r="E28" s="576" t="n"/>
      <c r="F28" s="576" t="n"/>
      <c r="G28" s="576" t="n"/>
      <c r="H28" s="576" t="n"/>
      <c r="I28" s="576" t="n"/>
      <c r="J28" s="576" t="n"/>
      <c r="K28" s="576" t="n"/>
      <c r="L28" s="576" t="n"/>
      <c r="M28" s="576" t="n"/>
      <c r="N28" s="576" t="n"/>
    </row>
    <row r="29" ht="15.6" customHeight="1" s="632">
      <c r="A29" s="612" t="inlineStr">
        <is>
          <t>Margin Bridge</t>
        </is>
      </c>
      <c r="J29" s="576" t="n"/>
      <c r="K29" s="576" t="n"/>
      <c r="L29" s="576" t="n"/>
      <c r="M29" s="576" t="n"/>
      <c r="N29" s="576" t="n"/>
    </row>
    <row r="30">
      <c r="A30" s="506" t="inlineStr">
        <is>
          <t>Driver</t>
        </is>
      </c>
      <c r="B30" s="506" t="inlineStr">
        <is>
          <t>FY27E</t>
        </is>
      </c>
      <c r="C30" s="506" t="inlineStr">
        <is>
          <t>FY28E</t>
        </is>
      </c>
      <c r="D30" s="506" t="inlineStr">
        <is>
          <t>FY29E</t>
        </is>
      </c>
      <c r="E30" s="506" t="inlineStr">
        <is>
          <t>FY30E</t>
        </is>
      </c>
      <c r="F30" s="506" t="inlineStr">
        <is>
          <t>FY31E</t>
        </is>
      </c>
      <c r="G30" s="506" t="inlineStr">
        <is>
          <t>FY32E</t>
        </is>
      </c>
      <c r="H30" s="506" t="inlineStr">
        <is>
          <t>FY33E</t>
        </is>
      </c>
      <c r="I30" s="576" t="n"/>
      <c r="J30" s="707" t="inlineStr">
        <is>
          <t>Ref</t>
        </is>
      </c>
      <c r="K30" s="576" t="n"/>
      <c r="L30" s="576" t="n"/>
      <c r="M30" s="576" t="n"/>
      <c r="N30" s="576" t="n"/>
    </row>
    <row r="31">
      <c r="A31" s="670" t="inlineStr">
        <is>
          <t>Previous Margin</t>
        </is>
      </c>
      <c r="B31" s="988">
        <f>$C$91</f>
        <v/>
      </c>
      <c r="C31" s="988">
        <f>$D$91</f>
        <v/>
      </c>
      <c r="D31" s="988">
        <f>$E$91</f>
        <v/>
      </c>
      <c r="E31" s="988">
        <f>$F$91</f>
        <v/>
      </c>
      <c r="F31" s="988">
        <f>$G$91</f>
        <v/>
      </c>
      <c r="G31" s="988">
        <f>$H$91</f>
        <v/>
      </c>
      <c r="H31" s="988">
        <f>$I$91</f>
        <v/>
      </c>
      <c r="I31" s="576" t="n"/>
      <c r="J31" s="576" t="n"/>
      <c r="K31" s="576" t="n"/>
      <c r="L31" s="576" t="n"/>
      <c r="M31" s="576" t="n"/>
      <c r="N31" s="576" t="n"/>
    </row>
    <row r="32">
      <c r="A32" s="670" t="inlineStr">
        <is>
          <t>Steel Price Effect</t>
        </is>
      </c>
      <c r="B32" s="988">
        <f>'Cost Curve'!C80*(D88-C88)/(C88*D88)</f>
        <v/>
      </c>
      <c r="C32" s="988">
        <f>'Cost Curve'!D80*(E88-D88)/(D88*E88)</f>
        <v/>
      </c>
      <c r="D32" s="988">
        <f>'Cost Curve'!E80*(F88-E88)/(E88*F88)</f>
        <v/>
      </c>
      <c r="E32" s="988">
        <f>'Cost Curve'!F80*(G88-F88)/(F88*G88)</f>
        <v/>
      </c>
      <c r="F32" s="988">
        <f>'Cost Curve'!G80*(H88-G88)/(G88*H88)</f>
        <v/>
      </c>
      <c r="G32" s="988">
        <f>'Cost Curve'!H80*(I88-H88)/(H88*I88)</f>
        <v/>
      </c>
      <c r="H32" s="988">
        <f>'Cost Curve'!I80*(J88-I88)/(I88*J88)</f>
        <v/>
      </c>
      <c r="I32" s="576" t="n"/>
      <c r="J32" s="576" t="n"/>
      <c r="K32" s="576" t="n"/>
      <c r="L32" s="576" t="n"/>
      <c r="M32" s="576" t="n"/>
      <c r="N32" s="576" t="n"/>
    </row>
    <row r="33">
      <c r="A33" s="670" t="inlineStr">
        <is>
          <t>Raw Material Effect</t>
        </is>
      </c>
      <c r="B33" s="988">
        <f>('Cost Curve'!C80*'Model Assumptions'!D$20-'Cost Curve'!D80*'Model Assumptions'!E$20)/D88</f>
        <v/>
      </c>
      <c r="C33" s="988">
        <f>('Cost Curve'!D80*'Model Assumptions'!E$20-'Cost Curve'!E80*'Model Assumptions'!F$20)/E88</f>
        <v/>
      </c>
      <c r="D33" s="988">
        <f>('Cost Curve'!E80*'Model Assumptions'!F$20-'Cost Curve'!F80*'Model Assumptions'!G$20)/F88</f>
        <v/>
      </c>
      <c r="E33" s="988">
        <f>('Cost Curve'!F80*'Model Assumptions'!G$20-'Cost Curve'!G80*'Model Assumptions'!H$20)/G88</f>
        <v/>
      </c>
      <c r="F33" s="988">
        <f>('Cost Curve'!G80*'Model Assumptions'!H$20-'Cost Curve'!H80*'Model Assumptions'!I$20)/H88</f>
        <v/>
      </c>
      <c r="G33" s="988">
        <f>('Cost Curve'!H80*'Model Assumptions'!I$20-'Cost Curve'!I80*'Model Assumptions'!J$20)/I88</f>
        <v/>
      </c>
      <c r="H33" s="988">
        <f>('Cost Curve'!I80*'Model Assumptions'!J$20-'Cost Curve'!J80*'Model Assumptions'!K$20)/J88</f>
        <v/>
      </c>
      <c r="I33" s="576" t="n"/>
      <c r="J33" s="576" t="n"/>
      <c r="K33" s="576" t="n"/>
      <c r="L33" s="576" t="n"/>
      <c r="M33" s="576" t="n"/>
      <c r="N33" s="576" t="n"/>
    </row>
    <row r="34">
      <c r="A34" s="670" t="inlineStr">
        <is>
          <t>Volume Effect</t>
        </is>
      </c>
      <c r="B34" s="1093" t="n">
        <v>0</v>
      </c>
      <c r="C34" s="1093" t="n">
        <v>0</v>
      </c>
      <c r="D34" s="1093" t="n">
        <v>0</v>
      </c>
      <c r="E34" s="1093" t="n">
        <v>0</v>
      </c>
      <c r="F34" s="1093" t="n">
        <v>0</v>
      </c>
      <c r="G34" s="1093" t="n">
        <v>0</v>
      </c>
      <c r="H34" s="1093" t="n">
        <v>0</v>
      </c>
      <c r="I34" s="576" t="n"/>
      <c r="J34" s="708" t="inlineStr">
        <is>
          <t>MG03</t>
        </is>
      </c>
      <c r="K34" s="576" t="n"/>
      <c r="L34" s="576" t="n"/>
      <c r="M34" s="576" t="n"/>
      <c r="N34" s="576" t="n"/>
    </row>
    <row r="35">
      <c r="A35" s="670" t="inlineStr">
        <is>
          <t>Product Mix Effect</t>
        </is>
      </c>
      <c r="B35" s="1093" t="n">
        <v>0</v>
      </c>
      <c r="C35" s="1093" t="n">
        <v>0</v>
      </c>
      <c r="D35" s="1093" t="n">
        <v>0</v>
      </c>
      <c r="E35" s="1093" t="n">
        <v>0</v>
      </c>
      <c r="F35" s="1093" t="n">
        <v>0</v>
      </c>
      <c r="G35" s="1093" t="n">
        <v>0</v>
      </c>
      <c r="H35" s="1093" t="n">
        <v>0</v>
      </c>
      <c r="I35" s="576" t="n"/>
      <c r="J35" s="576" t="n"/>
      <c r="K35" s="576" t="n"/>
      <c r="L35" s="576" t="n"/>
      <c r="M35" s="576" t="n"/>
      <c r="N35" s="576" t="n"/>
    </row>
    <row r="36">
      <c r="A36" s="670" t="inlineStr">
        <is>
          <t>Operating Leverage</t>
        </is>
      </c>
      <c r="B36" s="988">
        <f>('Cost Curve'!C80*(1-'Model Assumptions'!D$20)-'Cost Curve'!D80*(1-'Model Assumptions'!E$20))/D88*(1-'Cost Curve'!$K$43-'Cost Curve'!$K$46)</f>
        <v/>
      </c>
      <c r="C36" s="988">
        <f>('Cost Curve'!D80*(1-'Model Assumptions'!E$20)-'Cost Curve'!E80*(1-'Model Assumptions'!F$20))/E88*(1-'Cost Curve'!$K$43-'Cost Curve'!$K$46)</f>
        <v/>
      </c>
      <c r="D36" s="988">
        <f>('Cost Curve'!E80*(1-'Model Assumptions'!F$20)-'Cost Curve'!F80*(1-'Model Assumptions'!G$20))/F88*(1-'Cost Curve'!$K$43-'Cost Curve'!$K$46)</f>
        <v/>
      </c>
      <c r="E36" s="988">
        <f>('Cost Curve'!F80*(1-'Model Assumptions'!G$20)-'Cost Curve'!G80*(1-'Model Assumptions'!H$20))/G88*(1-'Cost Curve'!$K$43-'Cost Curve'!$K$46)</f>
        <v/>
      </c>
      <c r="F36" s="988">
        <f>('Cost Curve'!G80*(1-'Model Assumptions'!H$20)-'Cost Curve'!H80*(1-'Model Assumptions'!I$20))/H88*(1-'Cost Curve'!$K$43-'Cost Curve'!$K$46)</f>
        <v/>
      </c>
      <c r="G36" s="988">
        <f>('Cost Curve'!H80*(1-'Model Assumptions'!I$20)-'Cost Curve'!I80*(1-'Model Assumptions'!J$20))/I88*(1-'Cost Curve'!$K$43-'Cost Curve'!$K$46)</f>
        <v/>
      </c>
      <c r="H36" s="988">
        <f>('Cost Curve'!I80*(1-'Model Assumptions'!J$20)-'Cost Curve'!J80*(1-'Model Assumptions'!K$20))/J88*(1-'Cost Curve'!$K$43-'Cost Curve'!$K$46)</f>
        <v/>
      </c>
      <c r="I36" s="576" t="n"/>
      <c r="J36" s="576" t="n"/>
      <c r="K36" s="576" t="n"/>
      <c r="L36" s="576" t="n"/>
      <c r="M36" s="576" t="n"/>
      <c r="N36" s="576" t="n"/>
    </row>
    <row r="37">
      <c r="A37" s="670" t="inlineStr">
        <is>
          <t>Logistics</t>
        </is>
      </c>
      <c r="B37" s="988">
        <f>B36/(1-'Cost Curve'!$K$43-'Cost Curve'!$K$46)*'Cost Curve'!$K$46</f>
        <v/>
      </c>
      <c r="C37" s="988">
        <f>C36/(1-'Cost Curve'!$K$43-'Cost Curve'!$K$46)*'Cost Curve'!$K$46</f>
        <v/>
      </c>
      <c r="D37" s="988">
        <f>D36/(1-'Cost Curve'!$K$43-'Cost Curve'!$K$46)*'Cost Curve'!$K$46</f>
        <v/>
      </c>
      <c r="E37" s="988">
        <f>E36/(1-'Cost Curve'!$K$43-'Cost Curve'!$K$46)*'Cost Curve'!$K$46</f>
        <v/>
      </c>
      <c r="F37" s="988">
        <f>F36/(1-'Cost Curve'!$K$43-'Cost Curve'!$K$46)*'Cost Curve'!$K$46</f>
        <v/>
      </c>
      <c r="G37" s="988">
        <f>G36/(1-'Cost Curve'!$K$43-'Cost Curve'!$K$46)*'Cost Curve'!$K$46</f>
        <v/>
      </c>
      <c r="H37" s="988">
        <f>H36/(1-'Cost Curve'!$K$43-'Cost Curve'!$K$46)*'Cost Curve'!$K$46</f>
        <v/>
      </c>
      <c r="I37" s="576" t="n"/>
      <c r="J37" s="708" t="inlineStr">
        <is>
          <t>MG01</t>
        </is>
      </c>
      <c r="K37" s="576" t="n"/>
      <c r="L37" s="576" t="n"/>
      <c r="M37" s="576" t="n"/>
      <c r="N37" s="576" t="n"/>
    </row>
    <row r="38">
      <c r="A38" s="670" t="inlineStr">
        <is>
          <t>Energy</t>
        </is>
      </c>
      <c r="B38" s="988">
        <f>B36/(1-'Cost Curve'!$K$43-'Cost Curve'!$K$46)*'Cost Curve'!$K$43</f>
        <v/>
      </c>
      <c r="C38" s="988">
        <f>C36/(1-'Cost Curve'!$K$43-'Cost Curve'!$K$46)*'Cost Curve'!$K$43</f>
        <v/>
      </c>
      <c r="D38" s="988">
        <f>D36/(1-'Cost Curve'!$K$43-'Cost Curve'!$K$46)*'Cost Curve'!$K$43</f>
        <v/>
      </c>
      <c r="E38" s="988">
        <f>E36/(1-'Cost Curve'!$K$43-'Cost Curve'!$K$46)*'Cost Curve'!$K$43</f>
        <v/>
      </c>
      <c r="F38" s="988">
        <f>F36/(1-'Cost Curve'!$K$43-'Cost Curve'!$K$46)*'Cost Curve'!$K$43</f>
        <v/>
      </c>
      <c r="G38" s="988">
        <f>G36/(1-'Cost Curve'!$K$43-'Cost Curve'!$K$46)*'Cost Curve'!$K$43</f>
        <v/>
      </c>
      <c r="H38" s="988">
        <f>H36/(1-'Cost Curve'!$K$43-'Cost Curve'!$K$46)*'Cost Curve'!$K$43</f>
        <v/>
      </c>
      <c r="I38" s="576" t="n"/>
      <c r="J38" s="708" t="inlineStr">
        <is>
          <t>MG01</t>
        </is>
      </c>
      <c r="K38" s="576" t="n"/>
      <c r="L38" s="576" t="n"/>
      <c r="M38" s="576" t="n"/>
      <c r="N38" s="576" t="n"/>
    </row>
    <row r="39">
      <c r="A39" s="670" t="inlineStr">
        <is>
          <t>FX</t>
        </is>
      </c>
      <c r="B39" s="1093" t="n">
        <v>0</v>
      </c>
      <c r="C39" s="1093" t="n">
        <v>0</v>
      </c>
      <c r="D39" s="1093" t="n">
        <v>0</v>
      </c>
      <c r="E39" s="1093" t="n">
        <v>0</v>
      </c>
      <c r="F39" s="1093" t="n">
        <v>0</v>
      </c>
      <c r="G39" s="1093" t="n">
        <v>0</v>
      </c>
      <c r="H39" s="1093" t="n">
        <v>0</v>
      </c>
      <c r="I39" s="576" t="n"/>
      <c r="J39" s="708" t="inlineStr">
        <is>
          <t>MG01</t>
        </is>
      </c>
      <c r="K39" s="576" t="n"/>
      <c r="L39" s="576" t="n"/>
      <c r="M39" s="576" t="n"/>
      <c r="N39" s="576" t="n"/>
    </row>
    <row r="40">
      <c r="A40" s="670" t="inlineStr">
        <is>
          <t>Final Margin</t>
        </is>
      </c>
      <c r="B40" s="875">
        <f>$D$91</f>
        <v/>
      </c>
      <c r="C40" s="875">
        <f>$E$91</f>
        <v/>
      </c>
      <c r="D40" s="875">
        <f>$F$91</f>
        <v/>
      </c>
      <c r="E40" s="875">
        <f>$G$91</f>
        <v/>
      </c>
      <c r="F40" s="875">
        <f>$H$91</f>
        <v/>
      </c>
      <c r="G40" s="875">
        <f>$I$91</f>
        <v/>
      </c>
      <c r="H40" s="875">
        <f>$J$91</f>
        <v/>
      </c>
      <c r="I40" s="576" t="n"/>
      <c r="J40" s="708" t="inlineStr">
        <is>
          <t>MG02</t>
        </is>
      </c>
      <c r="K40" s="576" t="n"/>
      <c r="L40" s="576" t="n"/>
      <c r="M40" s="576" t="n"/>
      <c r="N40" s="576" t="n"/>
    </row>
    <row r="41">
      <c r="A41" s="576" t="n"/>
      <c r="B41" s="576" t="n"/>
      <c r="C41" s="576" t="n"/>
      <c r="D41" s="576" t="n"/>
      <c r="E41" s="576" t="n"/>
      <c r="F41" s="576" t="n"/>
      <c r="G41" s="576" t="n"/>
      <c r="H41" s="576" t="n"/>
      <c r="I41" s="576" t="n"/>
      <c r="J41" s="576" t="n"/>
      <c r="K41" s="576" t="n"/>
      <c r="L41" s="576" t="n"/>
      <c r="M41" s="576" t="n"/>
      <c r="N41" s="576" t="n"/>
    </row>
    <row r="42">
      <c r="A42" s="576" t="n"/>
      <c r="B42" s="576" t="n"/>
      <c r="C42" s="576" t="n"/>
      <c r="D42" s="576" t="n"/>
      <c r="E42" s="576" t="n"/>
      <c r="F42" s="576" t="n"/>
      <c r="G42" s="576" t="n"/>
      <c r="H42" s="576" t="n"/>
      <c r="I42" s="576" t="n"/>
      <c r="J42" s="576" t="n"/>
      <c r="K42" s="576" t="n"/>
      <c r="L42" s="576" t="n"/>
      <c r="M42" s="576" t="n"/>
      <c r="N42" s="576" t="n"/>
    </row>
    <row r="43" ht="15.6" customHeight="1" s="632">
      <c r="A43" s="612" t="inlineStr">
        <is>
          <t>Cost Ratio Analysis</t>
        </is>
      </c>
      <c r="J43" s="576" t="n"/>
      <c r="K43" s="576" t="n"/>
      <c r="L43" s="576" t="n"/>
      <c r="M43" s="576" t="n"/>
      <c r="N43" s="576" t="n"/>
    </row>
    <row r="44">
      <c r="A44" s="506" t="inlineStr">
        <is>
          <t>Cost Head</t>
        </is>
      </c>
      <c r="B44" s="506" t="inlineStr">
        <is>
          <t>₹ Cr</t>
        </is>
      </c>
      <c r="C44" s="506" t="inlineStr">
        <is>
          <t>% Revenue</t>
        </is>
      </c>
      <c r="D44" s="576" t="n"/>
      <c r="E44" s="707" t="inlineStr">
        <is>
          <t>Ref</t>
        </is>
      </c>
      <c r="F44" s="576" t="n"/>
      <c r="G44" s="576" t="n"/>
      <c r="H44" s="576" t="n"/>
      <c r="I44" s="576" t="n"/>
      <c r="J44" s="576" t="n"/>
      <c r="K44" s="576" t="n"/>
      <c r="L44" s="576" t="n"/>
      <c r="M44" s="576" t="n"/>
      <c r="N44" s="576" t="n"/>
    </row>
    <row r="45">
      <c r="A45" s="670" t="inlineStr">
        <is>
          <t>Raw Materials</t>
        </is>
      </c>
      <c r="B45" s="1079">
        <f>'Cost Curve'!$C$80*'Model Assumptions'!$D$20*'Steel Supply Model'!$C$101/10</f>
        <v/>
      </c>
      <c r="C45" s="954">
        <f>IFERROR(B45/'Revenue Forecast'!$C$96,"")</f>
        <v/>
      </c>
      <c r="D45" s="576" t="n"/>
      <c r="E45" s="576" t="n"/>
      <c r="F45" s="576" t="n"/>
      <c r="G45" s="576" t="n"/>
      <c r="H45" s="576" t="n"/>
      <c r="I45" s="576" t="n"/>
      <c r="J45" s="576" t="n"/>
      <c r="K45" s="576" t="n"/>
      <c r="L45" s="576" t="n"/>
      <c r="M45" s="576" t="n"/>
      <c r="N45" s="576" t="n"/>
    </row>
    <row r="46">
      <c r="A46" s="670" t="inlineStr">
        <is>
          <t>Energy</t>
        </is>
      </c>
      <c r="B46" s="1079">
        <f>'Cost Curve'!$C$80*(1-'Model Assumptions'!$D$20)*'Steel Supply Model'!$C$101/10*'Cost Curve'!$K$43</f>
        <v/>
      </c>
      <c r="C46" s="954">
        <f>IFERROR(B46/'Revenue Forecast'!$C$96,"")</f>
        <v/>
      </c>
      <c r="D46" s="576" t="n"/>
      <c r="E46" s="708" t="inlineStr">
        <is>
          <t>MG04</t>
        </is>
      </c>
      <c r="F46" s="576" t="n"/>
      <c r="G46" s="576" t="n"/>
      <c r="H46" s="576" t="n"/>
      <c r="I46" s="576" t="n"/>
      <c r="J46" s="576" t="n"/>
      <c r="K46" s="576" t="n"/>
      <c r="L46" s="576" t="n"/>
      <c r="M46" s="576" t="n"/>
      <c r="N46" s="576" t="n"/>
    </row>
    <row r="47">
      <c r="A47" s="670" t="inlineStr">
        <is>
          <t>Logistics</t>
        </is>
      </c>
      <c r="B47" s="1079">
        <f>'Cost Curve'!$C$80*(1-'Model Assumptions'!$D$20)*'Steel Supply Model'!$C$101/10*'Cost Curve'!$K$46</f>
        <v/>
      </c>
      <c r="C47" s="954">
        <f>IFERROR(B47/'Revenue Forecast'!$C$96,"")</f>
        <v/>
      </c>
      <c r="D47" s="576" t="n"/>
      <c r="E47" s="708" t="inlineStr">
        <is>
          <t>MG04</t>
        </is>
      </c>
      <c r="F47" s="576" t="n"/>
      <c r="G47" s="576" t="n"/>
      <c r="H47" s="576" t="n"/>
      <c r="I47" s="576" t="n"/>
      <c r="J47" s="576" t="n"/>
      <c r="K47" s="576" t="n"/>
      <c r="L47" s="576" t="n"/>
      <c r="M47" s="576" t="n"/>
      <c r="N47" s="576" t="n"/>
    </row>
    <row r="48">
      <c r="A48" s="670" t="inlineStr">
        <is>
          <t>Labour</t>
        </is>
      </c>
      <c r="B48" s="1079">
        <f>'Cost Curve'!$C$80*(1-'Model Assumptions'!$D$20)*'Steel Supply Model'!$C$101/10*'Cost Curve'!$K$44</f>
        <v/>
      </c>
      <c r="C48" s="954">
        <f>IFERROR(B48/'Revenue Forecast'!$C$96,"")</f>
        <v/>
      </c>
      <c r="D48" s="576" t="n"/>
      <c r="E48" s="708" t="inlineStr">
        <is>
          <t>MG04</t>
        </is>
      </c>
      <c r="F48" s="576" t="n"/>
      <c r="G48" s="576" t="n"/>
      <c r="H48" s="576" t="n"/>
      <c r="I48" s="576" t="n"/>
      <c r="J48" s="576" t="n"/>
      <c r="K48" s="576" t="n"/>
      <c r="L48" s="576" t="n"/>
      <c r="M48" s="576" t="n"/>
      <c r="N48" s="576" t="n"/>
    </row>
    <row r="49">
      <c r="A49" s="670" t="inlineStr">
        <is>
          <t>SG&amp;A</t>
        </is>
      </c>
      <c r="B49" s="1079">
        <f>'Cost Curve'!$C$80*(1-'Model Assumptions'!$D$20)*'Steel Supply Model'!$C$101/10*'Cost Curve'!$K$50</f>
        <v/>
      </c>
      <c r="C49" s="954">
        <f>IFERROR(B49/'Revenue Forecast'!$C$96,"")</f>
        <v/>
      </c>
      <c r="D49" s="576" t="n"/>
      <c r="E49" s="708" t="inlineStr">
        <is>
          <t>MG04</t>
        </is>
      </c>
      <c r="F49" s="576" t="n"/>
      <c r="G49" s="576" t="n"/>
      <c r="H49" s="576" t="n"/>
      <c r="I49" s="576" t="n"/>
      <c r="J49" s="576" t="n"/>
      <c r="K49" s="576" t="n"/>
      <c r="L49" s="576" t="n"/>
      <c r="M49" s="576" t="n"/>
      <c r="N49" s="576" t="n"/>
    </row>
    <row r="50">
      <c r="A50" s="670" t="inlineStr">
        <is>
          <t>Other Opex</t>
        </is>
      </c>
      <c r="B50" s="1079">
        <f>'Cost Curve'!$C$80*(1-'Model Assumptions'!$D$20)*'Steel Supply Model'!$C$101/10*('Cost Curve'!$K$45+'Cost Curve'!$K$47)</f>
        <v/>
      </c>
      <c r="C50" s="954">
        <f>IFERROR(B50/'Revenue Forecast'!$C$96,"")</f>
        <v/>
      </c>
      <c r="D50" s="576" t="n"/>
      <c r="E50" s="576" t="n"/>
      <c r="F50" s="576" t="n"/>
      <c r="G50" s="576" t="n"/>
      <c r="H50" s="576" t="n"/>
      <c r="I50" s="576" t="n"/>
      <c r="J50" s="576" t="n"/>
      <c r="K50" s="576" t="n"/>
      <c r="L50" s="576" t="n"/>
      <c r="M50" s="576" t="n"/>
      <c r="N50" s="576" t="n"/>
    </row>
    <row r="51">
      <c r="A51" s="670" t="inlineStr">
        <is>
          <t>Total Opex</t>
        </is>
      </c>
      <c r="B51" s="1079">
        <f>SUM(B45:B50)</f>
        <v/>
      </c>
      <c r="C51" s="954">
        <f>IFERROR(B51/'Revenue Forecast'!$C$96,"")</f>
        <v/>
      </c>
      <c r="D51" s="576" t="n"/>
      <c r="E51" s="576" t="n"/>
      <c r="F51" s="576" t="n"/>
      <c r="G51" s="576" t="n"/>
      <c r="H51" s="576" t="n"/>
      <c r="I51" s="576" t="n"/>
      <c r="J51" s="576" t="n"/>
      <c r="K51" s="576" t="n"/>
      <c r="L51" s="576" t="n"/>
      <c r="M51" s="576" t="n"/>
      <c r="N51" s="576" t="n"/>
    </row>
    <row r="52">
      <c r="A52" s="576" t="n"/>
      <c r="B52" s="576" t="n"/>
      <c r="C52" s="576" t="n"/>
      <c r="D52" s="576" t="n"/>
      <c r="E52" s="576" t="n"/>
      <c r="F52" s="576" t="n"/>
      <c r="G52" s="576" t="n"/>
      <c r="H52" s="576" t="n"/>
      <c r="I52" s="576" t="n"/>
      <c r="J52" s="576" t="n"/>
      <c r="K52" s="576" t="n"/>
      <c r="L52" s="576" t="n"/>
      <c r="M52" s="576" t="n"/>
      <c r="N52" s="576" t="n"/>
    </row>
    <row r="53">
      <c r="A53" s="576" t="n"/>
      <c r="B53" s="576" t="n"/>
      <c r="C53" s="576" t="n"/>
      <c r="D53" s="576" t="n"/>
      <c r="E53" s="576" t="n"/>
      <c r="F53" s="576" t="n"/>
      <c r="G53" s="576" t="n"/>
      <c r="H53" s="576" t="n"/>
      <c r="I53" s="576" t="n"/>
      <c r="J53" s="576" t="n"/>
      <c r="K53" s="576" t="n"/>
      <c r="L53" s="576" t="n"/>
      <c r="M53" s="576" t="n"/>
      <c r="N53" s="576" t="n"/>
    </row>
    <row r="54" ht="15.6" customHeight="1" s="632">
      <c r="A54" s="612" t="inlineStr">
        <is>
          <t>Margin Benchmark</t>
        </is>
      </c>
      <c r="J54" s="576" t="n"/>
      <c r="K54" s="576" t="n"/>
      <c r="L54" s="576" t="n"/>
      <c r="M54" s="576" t="n"/>
      <c r="N54" s="576" t="n"/>
    </row>
    <row r="55" ht="27.6" customHeight="1" s="632">
      <c r="A55" s="506" t="inlineStr">
        <is>
          <t>Company</t>
        </is>
      </c>
      <c r="B55" s="506" t="inlineStr">
        <is>
          <t>EBITDA Margin</t>
        </is>
      </c>
      <c r="C55" s="506" t="inlineStr">
        <is>
          <t>EBITDA/t</t>
        </is>
      </c>
      <c r="D55" s="506" t="inlineStr">
        <is>
          <t>Cash Cost</t>
        </is>
      </c>
      <c r="E55" s="506" t="inlineStr">
        <is>
          <t>ASP</t>
        </is>
      </c>
      <c r="F55" s="576" t="n"/>
      <c r="G55" s="707" t="inlineStr">
        <is>
          <t>Ref</t>
        </is>
      </c>
      <c r="H55" s="576" t="n"/>
      <c r="I55" s="576" t="n"/>
      <c r="J55" s="576" t="n"/>
      <c r="K55" s="576" t="n"/>
      <c r="L55" s="576" t="n"/>
      <c r="M55" s="576" t="n"/>
      <c r="N55" s="576" t="n"/>
    </row>
    <row r="56">
      <c r="A56" s="670" t="inlineStr">
        <is>
          <t>Tata Steel</t>
        </is>
      </c>
      <c r="B56" s="954">
        <f>IFERROR(C56/E56,"")</f>
        <v/>
      </c>
      <c r="C56" s="997">
        <f>'EBITDA Model'!$C$108</f>
        <v/>
      </c>
      <c r="D56" s="997">
        <f>'Cost Curve'!$C$85</f>
        <v/>
      </c>
      <c r="E56" s="1002">
        <f>C56+D56</f>
        <v/>
      </c>
      <c r="F56" s="576" t="n"/>
      <c r="G56" s="708" t="inlineStr">
        <is>
          <t>MG05</t>
        </is>
      </c>
      <c r="H56" s="576" t="n"/>
      <c r="I56" s="576" t="n"/>
      <c r="J56" s="576" t="n"/>
      <c r="K56" s="576" t="n"/>
      <c r="L56" s="576" t="n"/>
      <c r="M56" s="576" t="n"/>
      <c r="N56" s="576" t="n"/>
    </row>
    <row r="57">
      <c r="A57" s="670" t="inlineStr">
        <is>
          <t>JSW Steel</t>
        </is>
      </c>
      <c r="B57" s="954">
        <f>IFERROR(C57/E57,"")</f>
        <v/>
      </c>
      <c r="C57" s="997">
        <f>'EBITDA Model'!$C$109</f>
        <v/>
      </c>
      <c r="D57" s="997">
        <f>'Cost Curve'!$C$87</f>
        <v/>
      </c>
      <c r="E57" s="1002">
        <f>C57+D57</f>
        <v/>
      </c>
      <c r="F57" s="576" t="n"/>
      <c r="G57" s="576" t="n"/>
      <c r="H57" s="576" t="n"/>
      <c r="I57" s="576" t="n"/>
      <c r="J57" s="576" t="n"/>
      <c r="K57" s="576" t="n"/>
      <c r="L57" s="576" t="n"/>
      <c r="M57" s="576" t="n"/>
      <c r="N57" s="576" t="n"/>
    </row>
    <row r="58">
      <c r="A58" s="670" t="inlineStr">
        <is>
          <t>SAIL</t>
        </is>
      </c>
      <c r="B58" s="954">
        <f>IFERROR(C58/E58,"")</f>
        <v/>
      </c>
      <c r="C58" s="997">
        <f>'EBITDA Model'!$C$110</f>
        <v/>
      </c>
      <c r="D58" s="997">
        <f>'Cost Curve'!$C$86</f>
        <v/>
      </c>
      <c r="E58" s="1002">
        <f>C58+D58</f>
        <v/>
      </c>
      <c r="F58" s="576" t="n"/>
      <c r="G58" s="576" t="n"/>
      <c r="H58" s="576" t="n"/>
      <c r="I58" s="576" t="n"/>
      <c r="J58" s="576" t="n"/>
      <c r="K58" s="576" t="n"/>
      <c r="L58" s="576" t="n"/>
      <c r="M58" s="576" t="n"/>
      <c r="N58" s="576" t="n"/>
    </row>
    <row r="59">
      <c r="A59" s="670" t="inlineStr">
        <is>
          <t>Jindal Steel</t>
        </is>
      </c>
      <c r="B59" s="954">
        <f>IFERROR(C59/E59,"")</f>
        <v/>
      </c>
      <c r="C59" s="997">
        <f>'EBITDA Model'!$C$111</f>
        <v/>
      </c>
      <c r="D59" s="997">
        <f>'Cost Curve'!$C$88</f>
        <v/>
      </c>
      <c r="E59" s="1002">
        <f>C59+D59</f>
        <v/>
      </c>
      <c r="F59" s="576" t="n"/>
      <c r="G59" s="576" t="n"/>
      <c r="H59" s="576" t="n"/>
      <c r="I59" s="576" t="n"/>
      <c r="J59" s="576" t="n"/>
      <c r="K59" s="576" t="n"/>
      <c r="L59" s="576" t="n"/>
      <c r="M59" s="576" t="n"/>
      <c r="N59" s="576" t="n"/>
    </row>
    <row r="60">
      <c r="A60" s="670" t="inlineStr">
        <is>
          <t>Others</t>
        </is>
      </c>
      <c r="B60" s="875">
        <f>$C$91</f>
        <v/>
      </c>
      <c r="C60" s="997">
        <f>$C$90</f>
        <v/>
      </c>
      <c r="D60" s="997">
        <f>'Cost Curve'!$C$80</f>
        <v/>
      </c>
      <c r="E60" s="997">
        <f>$C$88</f>
        <v/>
      </c>
      <c r="F60" s="576" t="n"/>
      <c r="G60" s="576" t="n"/>
      <c r="H60" s="576" t="n"/>
      <c r="I60" s="576" t="n"/>
      <c r="J60" s="576" t="n"/>
      <c r="K60" s="576" t="n"/>
      <c r="L60" s="576" t="n"/>
      <c r="M60" s="576" t="n"/>
      <c r="N60" s="576" t="n"/>
    </row>
    <row r="61">
      <c r="A61" s="576" t="n"/>
      <c r="B61" s="576" t="n"/>
      <c r="C61" s="576" t="n"/>
      <c r="D61" s="576" t="n"/>
      <c r="E61" s="576" t="n"/>
      <c r="F61" s="576" t="n"/>
      <c r="G61" s="576" t="n"/>
      <c r="H61" s="576" t="n"/>
      <c r="I61" s="576" t="n"/>
      <c r="J61" s="576" t="n"/>
      <c r="K61" s="576" t="n"/>
      <c r="L61" s="576" t="n"/>
      <c r="M61" s="576" t="n"/>
      <c r="N61" s="576" t="n"/>
    </row>
    <row r="62">
      <c r="A62" s="576" t="n"/>
      <c r="B62" s="576" t="n"/>
      <c r="C62" s="576" t="n"/>
      <c r="D62" s="576" t="n"/>
      <c r="E62" s="576" t="n"/>
      <c r="F62" s="576" t="n"/>
      <c r="G62" s="576" t="n"/>
      <c r="H62" s="576" t="n"/>
      <c r="I62" s="576" t="n"/>
      <c r="J62" s="576" t="n"/>
      <c r="K62" s="576" t="n"/>
      <c r="L62" s="576" t="n"/>
      <c r="M62" s="576" t="n"/>
      <c r="N62" s="576" t="n"/>
    </row>
    <row r="63" ht="15.6" customHeight="1" s="632">
      <c r="A63" s="612" t="inlineStr">
        <is>
          <t>Margin Sensitivity</t>
        </is>
      </c>
      <c r="J63" s="576" t="n"/>
      <c r="K63" s="576" t="n"/>
      <c r="L63" s="576" t="n"/>
      <c r="M63" s="576" t="n"/>
      <c r="N63" s="576" t="n"/>
    </row>
    <row r="64" ht="41.4" customHeight="1" s="632">
      <c r="A64" s="506" t="inlineStr">
        <is>
          <t>Variable</t>
        </is>
      </c>
      <c r="B64" s="506" t="inlineStr">
        <is>
          <t>Change</t>
        </is>
      </c>
      <c r="C64" s="506" t="inlineStr">
        <is>
          <t>EBITDA Margin Impact</t>
        </is>
      </c>
      <c r="D64" s="576" t="n"/>
      <c r="E64" s="707" t="inlineStr">
        <is>
          <t>Ref</t>
        </is>
      </c>
      <c r="F64" s="576" t="n"/>
      <c r="G64" s="576" t="n"/>
      <c r="H64" s="576" t="n"/>
      <c r="I64" s="576" t="n"/>
      <c r="J64" s="576" t="n"/>
      <c r="K64" s="576" t="n"/>
      <c r="L64" s="576" t="n"/>
      <c r="M64" s="576" t="n"/>
      <c r="N64" s="576" t="n"/>
    </row>
    <row r="65">
      <c r="A65" s="670" t="inlineStr">
        <is>
          <t>Steel Price</t>
        </is>
      </c>
      <c r="B65" s="540" t="n">
        <v>0.05</v>
      </c>
      <c r="C65" s="1094">
        <f>(1-'Cost Curve'!$J$80/($J$88*(1+B65)))-$J$91</f>
        <v/>
      </c>
      <c r="D65" s="576" t="n"/>
      <c r="E65" s="708" t="inlineStr">
        <is>
          <t>MG06</t>
        </is>
      </c>
      <c r="F65" s="576" t="n"/>
      <c r="G65" s="576" t="n"/>
      <c r="H65" s="576" t="n"/>
      <c r="I65" s="576" t="n"/>
      <c r="J65" s="576" t="n"/>
      <c r="K65" s="576" t="n"/>
      <c r="L65" s="576" t="n"/>
      <c r="M65" s="576" t="n"/>
      <c r="N65" s="576" t="n"/>
    </row>
    <row r="66">
      <c r="A66" s="670" t="inlineStr">
        <is>
          <t>Steel Price</t>
        </is>
      </c>
      <c r="B66" s="540" t="n">
        <v>-0.05</v>
      </c>
      <c r="C66" s="1094">
        <f>(1-'Cost Curve'!$J$80/($J$88*(1+B66)))-$J$91</f>
        <v/>
      </c>
      <c r="D66" s="576" t="n"/>
      <c r="E66" s="576" t="n"/>
      <c r="F66" s="576" t="n"/>
      <c r="G66" s="576" t="n"/>
      <c r="H66" s="576" t="n"/>
      <c r="I66" s="576" t="n"/>
      <c r="J66" s="576" t="n"/>
      <c r="K66" s="576" t="n"/>
      <c r="L66" s="576" t="n"/>
      <c r="M66" s="576" t="n"/>
      <c r="N66" s="576" t="n"/>
    </row>
    <row r="67">
      <c r="A67" s="670" t="inlineStr">
        <is>
          <t>Iron Ore</t>
        </is>
      </c>
      <c r="B67" s="540" t="n">
        <v>0.1</v>
      </c>
      <c r="C67" s="1094">
        <f>(1-'Cost Curve'!$J$80*(1+B67*'Model Assumptions'!$K$20*'Model Assumptions'!$K$21)/$J$88)-$J$91</f>
        <v/>
      </c>
      <c r="D67" s="576" t="n"/>
      <c r="E67" s="576" t="n"/>
      <c r="F67" s="576" t="n"/>
      <c r="G67" s="576" t="n"/>
      <c r="H67" s="576" t="n"/>
      <c r="I67" s="576" t="n"/>
      <c r="J67" s="576" t="n"/>
      <c r="K67" s="576" t="n"/>
      <c r="L67" s="576" t="n"/>
      <c r="M67" s="576" t="n"/>
      <c r="N67" s="576" t="n"/>
    </row>
    <row r="68">
      <c r="A68" s="670" t="inlineStr">
        <is>
          <t>HCC Coal</t>
        </is>
      </c>
      <c r="B68" s="540" t="n">
        <v>0.1</v>
      </c>
      <c r="C68" s="1094">
        <f>(1-'Cost Curve'!$J$80*(1+B68*'Model Assumptions'!$K$20*'Model Assumptions'!$K$21)/$J$88)-$J$91</f>
        <v/>
      </c>
      <c r="D68" s="576" t="n"/>
      <c r="E68" s="576" t="n"/>
      <c r="F68" s="576" t="n"/>
      <c r="G68" s="576" t="n"/>
      <c r="H68" s="576" t="n"/>
      <c r="I68" s="576" t="n"/>
      <c r="J68" s="576" t="n"/>
      <c r="K68" s="576" t="n"/>
      <c r="L68" s="576" t="n"/>
      <c r="M68" s="576" t="n"/>
      <c r="N68" s="576" t="n"/>
    </row>
    <row r="69">
      <c r="A69" s="670" t="inlineStr">
        <is>
          <t>Volume</t>
        </is>
      </c>
      <c r="B69" s="540" t="n">
        <v>0.05</v>
      </c>
      <c r="C69" s="1095" t="n">
        <v>0</v>
      </c>
      <c r="D69" s="576" t="n"/>
      <c r="E69" s="576" t="n"/>
      <c r="F69" s="576" t="n"/>
      <c r="G69" s="576" t="n"/>
      <c r="H69" s="576" t="n"/>
      <c r="I69" s="576" t="n"/>
      <c r="J69" s="576" t="n"/>
      <c r="K69" s="576" t="n"/>
      <c r="L69" s="576" t="n"/>
      <c r="M69" s="576" t="n"/>
      <c r="N69" s="576" t="n"/>
    </row>
    <row r="70">
      <c r="A70" s="670" t="inlineStr">
        <is>
          <t>Volume</t>
        </is>
      </c>
      <c r="B70" s="540" t="n">
        <v>-0.05</v>
      </c>
      <c r="C70" s="1095" t="n">
        <v>0</v>
      </c>
      <c r="D70" s="576" t="n"/>
      <c r="E70" s="576" t="n"/>
      <c r="F70" s="576" t="n"/>
      <c r="G70" s="576" t="n"/>
      <c r="H70" s="576" t="n"/>
      <c r="I70" s="576" t="n"/>
      <c r="J70" s="576" t="n"/>
      <c r="K70" s="576" t="n"/>
      <c r="L70" s="576" t="n"/>
      <c r="M70" s="576" t="n"/>
      <c r="N70" s="576" t="n"/>
    </row>
    <row r="71">
      <c r="A71" s="670" t="inlineStr">
        <is>
          <t>USD/INR</t>
        </is>
      </c>
      <c r="B71" s="540" t="n">
        <v>0.05</v>
      </c>
      <c r="C71" s="1094">
        <f>(1-'Cost Curve'!$J$80*(1+B71*2*'Model Assumptions'!$K$21*'Model Assumptions'!$K$20)/$J$88)-$J$91</f>
        <v/>
      </c>
      <c r="D71" s="576" t="n"/>
      <c r="E71" s="576" t="n"/>
      <c r="F71" s="576" t="n"/>
      <c r="G71" s="576" t="n"/>
      <c r="H71" s="576" t="n"/>
      <c r="I71" s="576" t="n"/>
      <c r="J71" s="576" t="n"/>
      <c r="K71" s="576" t="n"/>
      <c r="L71" s="576" t="n"/>
      <c r="M71" s="576" t="n"/>
      <c r="N71" s="576" t="n"/>
    </row>
    <row r="72">
      <c r="A72" s="576" t="n"/>
      <c r="B72" s="576" t="n"/>
      <c r="C72" s="576" t="n"/>
      <c r="D72" s="576" t="n"/>
      <c r="E72" s="576" t="n"/>
      <c r="F72" s="576" t="n"/>
      <c r="G72" s="576" t="n"/>
      <c r="H72" s="576" t="n"/>
      <c r="I72" s="576" t="n"/>
      <c r="J72" s="576" t="n"/>
      <c r="K72" s="576" t="n"/>
      <c r="L72" s="576" t="n"/>
      <c r="M72" s="576" t="n"/>
      <c r="N72" s="576" t="n"/>
    </row>
    <row r="73">
      <c r="A73" s="576" t="n"/>
      <c r="B73" s="576" t="n"/>
      <c r="C73" s="576" t="n"/>
      <c r="D73" s="576" t="n"/>
      <c r="E73" s="576" t="n"/>
      <c r="F73" s="576" t="n"/>
      <c r="G73" s="576" t="n"/>
      <c r="H73" s="576" t="n"/>
      <c r="I73" s="576" t="n"/>
      <c r="J73" s="576" t="n"/>
      <c r="K73" s="576" t="n"/>
      <c r="L73" s="576" t="n"/>
      <c r="M73" s="576" t="n"/>
      <c r="N73" s="576" t="n"/>
    </row>
    <row r="74" ht="15.6" customHeight="1" s="632">
      <c r="A74" s="612" t="inlineStr">
        <is>
          <t>Scenario Analysis</t>
        </is>
      </c>
      <c r="J74" s="576" t="n"/>
      <c r="K74" s="576" t="n"/>
      <c r="L74" s="576" t="n"/>
      <c r="M74" s="576" t="n"/>
      <c r="N74" s="576" t="n"/>
    </row>
    <row r="75">
      <c r="A75" s="506" t="inlineStr">
        <is>
          <t>Year</t>
        </is>
      </c>
      <c r="B75" s="506" t="inlineStr">
        <is>
          <t>Base</t>
        </is>
      </c>
      <c r="C75" s="506" t="inlineStr">
        <is>
          <t>Bull</t>
        </is>
      </c>
      <c r="D75" s="506" t="inlineStr">
        <is>
          <t>Bear</t>
        </is>
      </c>
      <c r="E75" s="506" t="inlineStr">
        <is>
          <t>Stress</t>
        </is>
      </c>
      <c r="F75" s="576" t="n"/>
      <c r="G75" s="707" t="inlineStr">
        <is>
          <t>Ref</t>
        </is>
      </c>
      <c r="H75" s="576" t="n"/>
      <c r="I75" s="576" t="n"/>
      <c r="J75" s="576" t="n"/>
      <c r="K75" s="576" t="n"/>
      <c r="L75" s="576" t="n"/>
      <c r="M75" s="576" t="n"/>
      <c r="N75" s="576" t="n"/>
    </row>
    <row r="76">
      <c r="A76" s="670" t="inlineStr">
        <is>
          <t>FY27</t>
        </is>
      </c>
      <c r="B76" s="875">
        <f>'Scenario Manager'!$D$132</f>
        <v/>
      </c>
      <c r="C76" s="875">
        <f>'Scenario Manager'!$D$208</f>
        <v/>
      </c>
      <c r="D76" s="875">
        <f>'Scenario Manager'!$D$284</f>
        <v/>
      </c>
      <c r="E76" s="875">
        <f>'Scenario Manager'!$D$360</f>
        <v/>
      </c>
      <c r="F76" s="576" t="n"/>
      <c r="G76" s="576" t="n"/>
      <c r="H76" s="576" t="n"/>
      <c r="I76" s="576" t="n"/>
      <c r="J76" s="576" t="n"/>
      <c r="K76" s="576" t="n"/>
      <c r="L76" s="576" t="n"/>
      <c r="M76" s="576" t="n"/>
      <c r="N76" s="576" t="n"/>
    </row>
    <row r="77">
      <c r="A77" s="670" t="inlineStr">
        <is>
          <t>FY28</t>
        </is>
      </c>
      <c r="B77" s="875">
        <f>'Scenario Manager'!$E$132</f>
        <v/>
      </c>
      <c r="C77" s="875">
        <f>'Scenario Manager'!$E$208</f>
        <v/>
      </c>
      <c r="D77" s="875">
        <f>'Scenario Manager'!$E$284</f>
        <v/>
      </c>
      <c r="E77" s="875">
        <f>'Scenario Manager'!$E$360</f>
        <v/>
      </c>
      <c r="F77" s="576" t="n"/>
      <c r="G77" s="576" t="n"/>
      <c r="H77" s="576" t="n"/>
      <c r="I77" s="576" t="n"/>
      <c r="J77" s="576" t="n"/>
      <c r="K77" s="576" t="n"/>
      <c r="L77" s="576" t="n"/>
      <c r="M77" s="576" t="n"/>
      <c r="N77" s="576" t="n"/>
    </row>
    <row r="78">
      <c r="A78" s="670" t="inlineStr">
        <is>
          <t>FY29</t>
        </is>
      </c>
      <c r="B78" s="875">
        <f>'Scenario Manager'!$F$132</f>
        <v/>
      </c>
      <c r="C78" s="875">
        <f>'Scenario Manager'!$F$208</f>
        <v/>
      </c>
      <c r="D78" s="875">
        <f>'Scenario Manager'!$F$284</f>
        <v/>
      </c>
      <c r="E78" s="875">
        <f>'Scenario Manager'!$F$360</f>
        <v/>
      </c>
      <c r="F78" s="576" t="n"/>
      <c r="G78" s="576" t="n"/>
      <c r="H78" s="576" t="n"/>
      <c r="I78" s="576" t="n"/>
      <c r="J78" s="576" t="n"/>
      <c r="K78" s="576" t="n"/>
      <c r="L78" s="576" t="n"/>
      <c r="M78" s="576" t="n"/>
      <c r="N78" s="576" t="n"/>
    </row>
    <row r="79">
      <c r="A79" s="670" t="inlineStr">
        <is>
          <t>FY30</t>
        </is>
      </c>
      <c r="B79" s="875">
        <f>'Scenario Manager'!$G$132</f>
        <v/>
      </c>
      <c r="C79" s="875">
        <f>'Scenario Manager'!$G$208</f>
        <v/>
      </c>
      <c r="D79" s="875">
        <f>'Scenario Manager'!$G$284</f>
        <v/>
      </c>
      <c r="E79" s="875">
        <f>'Scenario Manager'!$G$360</f>
        <v/>
      </c>
      <c r="F79" s="576" t="n"/>
      <c r="G79" s="576" t="n"/>
      <c r="H79" s="576" t="n"/>
      <c r="I79" s="576" t="n"/>
      <c r="J79" s="576" t="n"/>
      <c r="K79" s="576" t="n"/>
      <c r="L79" s="576" t="n"/>
      <c r="M79" s="576" t="n"/>
      <c r="N79" s="576" t="n"/>
    </row>
    <row r="80">
      <c r="A80" s="670" t="inlineStr">
        <is>
          <t>FY31</t>
        </is>
      </c>
      <c r="B80" s="875">
        <f>'Scenario Manager'!$H$132</f>
        <v/>
      </c>
      <c r="C80" s="875">
        <f>'Scenario Manager'!$H$208</f>
        <v/>
      </c>
      <c r="D80" s="875">
        <f>'Scenario Manager'!$H$284</f>
        <v/>
      </c>
      <c r="E80" s="875">
        <f>'Scenario Manager'!$H$360</f>
        <v/>
      </c>
      <c r="F80" s="576" t="n"/>
      <c r="G80" s="576" t="n"/>
      <c r="H80" s="576" t="n"/>
      <c r="I80" s="576" t="n"/>
      <c r="J80" s="576" t="n"/>
      <c r="K80" s="576" t="n"/>
      <c r="L80" s="576" t="n"/>
      <c r="M80" s="576" t="n"/>
      <c r="N80" s="576" t="n"/>
    </row>
    <row r="81">
      <c r="A81" s="670" t="inlineStr">
        <is>
          <t>FY32</t>
        </is>
      </c>
      <c r="B81" s="875">
        <f>'Scenario Manager'!$I$132</f>
        <v/>
      </c>
      <c r="C81" s="875">
        <f>'Scenario Manager'!$I$208</f>
        <v/>
      </c>
      <c r="D81" s="875">
        <f>'Scenario Manager'!$I$284</f>
        <v/>
      </c>
      <c r="E81" s="875">
        <f>'Scenario Manager'!$I$360</f>
        <v/>
      </c>
      <c r="F81" s="576" t="n"/>
      <c r="G81" s="576" t="n"/>
      <c r="H81" s="576" t="n"/>
      <c r="I81" s="576" t="n"/>
      <c r="J81" s="576" t="n"/>
      <c r="K81" s="576" t="n"/>
      <c r="L81" s="576" t="n"/>
      <c r="M81" s="576" t="n"/>
      <c r="N81" s="576" t="n"/>
    </row>
    <row r="82">
      <c r="A82" s="670" t="inlineStr">
        <is>
          <t>FY33</t>
        </is>
      </c>
      <c r="B82" s="875">
        <f>'Scenario Manager'!$J$132</f>
        <v/>
      </c>
      <c r="C82" s="875">
        <f>'Scenario Manager'!$J$208</f>
        <v/>
      </c>
      <c r="D82" s="875">
        <f>'Scenario Manager'!$J$284</f>
        <v/>
      </c>
      <c r="E82" s="875">
        <f>'Scenario Manager'!$J$360</f>
        <v/>
      </c>
      <c r="F82" s="576" t="n"/>
      <c r="G82" s="708" t="inlineStr">
        <is>
          <t>MG07</t>
        </is>
      </c>
      <c r="H82" s="576" t="n"/>
      <c r="I82" s="576" t="n"/>
      <c r="J82" s="576" t="n"/>
      <c r="K82" s="576" t="n"/>
      <c r="L82" s="576" t="n"/>
      <c r="M82" s="576" t="n"/>
      <c r="N82" s="576" t="n"/>
    </row>
    <row r="83">
      <c r="A83" s="576" t="n"/>
      <c r="B83" s="576" t="n"/>
      <c r="C83" s="576" t="n"/>
      <c r="D83" s="576" t="n"/>
      <c r="E83" s="576" t="n"/>
      <c r="F83" s="576" t="n"/>
      <c r="G83" s="576" t="n"/>
      <c r="H83" s="576" t="n"/>
      <c r="I83" s="576" t="n"/>
      <c r="J83" s="576" t="n"/>
      <c r="K83" s="576" t="n"/>
      <c r="L83" s="576" t="n"/>
      <c r="M83" s="576" t="n"/>
      <c r="N83" s="576" t="n"/>
    </row>
    <row r="84">
      <c r="A84" s="576" t="n"/>
      <c r="B84" s="576" t="n"/>
      <c r="C84" s="576" t="n"/>
      <c r="D84" s="576" t="n"/>
      <c r="E84" s="576" t="n"/>
      <c r="F84" s="576" t="n"/>
      <c r="G84" s="576" t="n"/>
      <c r="H84" s="576" t="n"/>
      <c r="I84" s="576" t="n"/>
      <c r="J84" s="576" t="n"/>
      <c r="K84" s="576" t="n"/>
      <c r="L84" s="576" t="n"/>
      <c r="M84" s="576" t="n"/>
      <c r="N84" s="576" t="n"/>
    </row>
    <row r="85">
      <c r="A85" s="576" t="n"/>
      <c r="B85" s="576" t="n"/>
      <c r="C85" s="576" t="n"/>
      <c r="D85" s="576" t="n"/>
      <c r="E85" s="576" t="n"/>
      <c r="F85" s="576" t="n"/>
      <c r="G85" s="576" t="n"/>
      <c r="H85" s="576" t="n"/>
      <c r="I85" s="576" t="n"/>
      <c r="J85" s="576" t="n"/>
      <c r="K85" s="576" t="n"/>
      <c r="L85" s="576" t="n"/>
      <c r="M85" s="576" t="n"/>
      <c r="N85" s="576" t="n"/>
    </row>
    <row r="86" ht="15" customHeight="1" s="632" thickBot="1">
      <c r="A86" s="371" t="n"/>
    </row>
    <row r="87">
      <c r="A87" s="63" t="inlineStr">
        <is>
          <t>Line item</t>
        </is>
      </c>
      <c r="B87" s="409" t="inlineStr">
        <is>
          <t>Unit</t>
        </is>
      </c>
      <c r="C87" s="65" t="inlineStr">
        <is>
          <t>FY2026A</t>
        </is>
      </c>
      <c r="D87" s="65" t="inlineStr">
        <is>
          <t>FY2027E</t>
        </is>
      </c>
      <c r="E87" s="65" t="inlineStr">
        <is>
          <t>FY2028E</t>
        </is>
      </c>
      <c r="F87" s="65" t="inlineStr">
        <is>
          <t>FY2029E</t>
        </is>
      </c>
      <c r="G87" s="65" t="inlineStr">
        <is>
          <t>FY2030E</t>
        </is>
      </c>
      <c r="H87" s="65" t="inlineStr">
        <is>
          <t>FY2031E</t>
        </is>
      </c>
      <c r="I87" s="65" t="inlineStr">
        <is>
          <t>FY2032E</t>
        </is>
      </c>
      <c r="J87" s="65" t="inlineStr">
        <is>
          <t>FY2033E</t>
        </is>
      </c>
      <c r="K87" s="65" t="inlineStr">
        <is>
          <t>CAGR</t>
        </is>
      </c>
      <c r="L87" s="409" t="inlineStr">
        <is>
          <t>Source</t>
        </is>
      </c>
      <c r="M87" s="65" t="inlineStr">
        <is>
          <t>Conf.</t>
        </is>
      </c>
      <c r="N87" s="410" t="inlineStr">
        <is>
          <t>Notes / methodology</t>
        </is>
      </c>
      <c r="P87" s="707" t="inlineStr">
        <is>
          <t>Ref</t>
        </is>
      </c>
    </row>
    <row r="88">
      <c r="A88" s="69" t="inlineStr">
        <is>
          <t>Realisation</t>
        </is>
      </c>
      <c r="B88" s="44" t="inlineStr">
        <is>
          <t>Rs/t</t>
        </is>
      </c>
      <c r="C88" s="1086" t="n">
        <v>59974</v>
      </c>
      <c r="D88" s="1086">
        <f>'Steel Price Forecast'!D$103</f>
        <v/>
      </c>
      <c r="E88" s="1086">
        <f>'Steel Price Forecast'!E$103</f>
        <v/>
      </c>
      <c r="F88" s="1086">
        <f>'Steel Price Forecast'!F$103</f>
        <v/>
      </c>
      <c r="G88" s="1086">
        <f>'Steel Price Forecast'!G$103</f>
        <v/>
      </c>
      <c r="H88" s="1086">
        <f>'Steel Price Forecast'!H$103</f>
        <v/>
      </c>
      <c r="I88" s="1086">
        <f>'Steel Price Forecast'!I$103</f>
        <v/>
      </c>
      <c r="J88" s="1086">
        <f>'Steel Price Forecast'!J$103</f>
        <v/>
      </c>
      <c r="K88" s="45" t="n"/>
      <c r="L88" s="344" t="inlineStr">
        <is>
          <t>09 Price</t>
        </is>
      </c>
      <c r="M88" s="352" t="inlineStr">
        <is>
          <t>Medium</t>
        </is>
      </c>
      <c r="N88" s="68" t="n"/>
      <c r="P88" s="708" t="inlineStr">
        <is>
          <t>MG08</t>
        </is>
      </c>
    </row>
    <row r="89">
      <c r="A89" s="69" t="inlineStr">
        <is>
          <t>Cash cost</t>
        </is>
      </c>
      <c r="B89" s="44" t="inlineStr">
        <is>
          <t>Rs/t</t>
        </is>
      </c>
      <c r="C89" s="1086" t="n">
        <v>49241</v>
      </c>
      <c r="D89" s="1086">
        <f>'Cost Curve'!D$80</f>
        <v/>
      </c>
      <c r="E89" s="1086">
        <f>'Cost Curve'!E$80</f>
        <v/>
      </c>
      <c r="F89" s="1086">
        <f>'Cost Curve'!F$80</f>
        <v/>
      </c>
      <c r="G89" s="1086">
        <f>'Cost Curve'!G$80</f>
        <v/>
      </c>
      <c r="H89" s="1086">
        <f>'Cost Curve'!H$80</f>
        <v/>
      </c>
      <c r="I89" s="1086">
        <f>'Cost Curve'!I$80</f>
        <v/>
      </c>
      <c r="J89" s="1086">
        <f>'Cost Curve'!J$80</f>
        <v/>
      </c>
      <c r="K89" s="45" t="n"/>
      <c r="L89" s="344" t="inlineStr">
        <is>
          <t>11 Cost</t>
        </is>
      </c>
      <c r="M89" s="352" t="inlineStr">
        <is>
          <t>Medium</t>
        </is>
      </c>
      <c r="N89" s="68" t="n"/>
      <c r="P89" s="708" t="inlineStr">
        <is>
          <t>MG09</t>
        </is>
      </c>
    </row>
    <row r="90">
      <c r="A90" s="69" t="inlineStr">
        <is>
          <t>EBITDA per tonne</t>
        </is>
      </c>
      <c r="B90" s="44" t="inlineStr">
        <is>
          <t>Rs/t</t>
        </is>
      </c>
      <c r="C90" s="1086" t="n">
        <v>10733</v>
      </c>
      <c r="D90" s="1086">
        <f>'EBITDA Model'!D$101</f>
        <v/>
      </c>
      <c r="E90" s="1086">
        <f>'EBITDA Model'!E$101</f>
        <v/>
      </c>
      <c r="F90" s="1086">
        <f>'EBITDA Model'!F$101</f>
        <v/>
      </c>
      <c r="G90" s="1086">
        <f>'EBITDA Model'!G$101</f>
        <v/>
      </c>
      <c r="H90" s="1086">
        <f>'EBITDA Model'!H$101</f>
        <v/>
      </c>
      <c r="I90" s="1086">
        <f>'EBITDA Model'!I$101</f>
        <v/>
      </c>
      <c r="J90" s="1086">
        <f>'EBITDA Model'!J$101</f>
        <v/>
      </c>
      <c r="K90" s="45" t="n"/>
      <c r="L90" s="344" t="inlineStr">
        <is>
          <t>13 EBITDA</t>
        </is>
      </c>
      <c r="M90" s="352" t="inlineStr">
        <is>
          <t>Medium</t>
        </is>
      </c>
      <c r="N90" s="68" t="n"/>
      <c r="P90" s="708" t="inlineStr">
        <is>
          <t>MG10</t>
        </is>
      </c>
    </row>
    <row r="91" ht="24" customHeight="1" s="632">
      <c r="A91" s="76" t="inlineStr">
        <is>
          <t>INDUSTRY EBITDA MARGIN</t>
        </is>
      </c>
      <c r="B91" s="44" t="inlineStr">
        <is>
          <t>%</t>
        </is>
      </c>
      <c r="C91" s="1096" t="n">
        <v>0.1789608830493214</v>
      </c>
      <c r="D91" s="1096">
        <f>D90/D88</f>
        <v/>
      </c>
      <c r="E91" s="1096">
        <f>E90/E88</f>
        <v/>
      </c>
      <c r="F91" s="1096">
        <f>F90/F88</f>
        <v/>
      </c>
      <c r="G91" s="1096">
        <f>G90/G88</f>
        <v/>
      </c>
      <c r="H91" s="1096">
        <f>H90/H88</f>
        <v/>
      </c>
      <c r="I91" s="1096">
        <f>I90/I88</f>
        <v/>
      </c>
      <c r="J91" s="1096">
        <f>J90/J88</f>
        <v/>
      </c>
      <c r="K91" s="45" t="n"/>
      <c r="L91" s="344" t="inlineStr">
        <is>
          <t>Computed</t>
        </is>
      </c>
      <c r="M91" s="352" t="inlineStr">
        <is>
          <t>Medium</t>
        </is>
      </c>
      <c r="N91" s="345" t="inlineStr">
        <is>
          <t>FY2026A of 17.9% is the volume-weighted actual across the four majors.</t>
        </is>
      </c>
      <c r="P91" s="708" t="inlineStr">
        <is>
          <t>MG11</t>
        </is>
      </c>
    </row>
    <row r="92">
      <c r="A92" s="836" t="inlineStr">
        <is>
          <t>MARGIN BRIDGE - CHANGE VS FY2026A</t>
        </is>
      </c>
      <c r="B92" s="837" t="n"/>
      <c r="C92" s="837" t="n"/>
      <c r="D92" s="837" t="n"/>
      <c r="E92" s="837" t="n"/>
      <c r="F92" s="837" t="n"/>
      <c r="G92" s="837" t="n"/>
      <c r="H92" s="837" t="n"/>
      <c r="I92" s="837" t="n"/>
      <c r="J92" s="837" t="n"/>
      <c r="K92" s="837" t="n"/>
      <c r="L92" s="837" t="n"/>
      <c r="M92" s="837" t="n"/>
      <c r="N92" s="838" t="n"/>
    </row>
    <row r="93">
      <c r="A93" s="69" t="inlineStr">
        <is>
          <t>Realisation change vs FY2026A</t>
        </is>
      </c>
      <c r="B93" s="44" t="inlineStr">
        <is>
          <t>Rs/t</t>
        </is>
      </c>
      <c r="C93" s="45" t="n"/>
      <c r="D93" s="1086">
        <f>D88-$C$88</f>
        <v/>
      </c>
      <c r="E93" s="1086">
        <f>E88-$C$88</f>
        <v/>
      </c>
      <c r="F93" s="1086">
        <f>F88-$C$88</f>
        <v/>
      </c>
      <c r="G93" s="1086">
        <f>G88-$C$88</f>
        <v/>
      </c>
      <c r="H93" s="1086">
        <f>H88-$C$88</f>
        <v/>
      </c>
      <c r="I93" s="1086">
        <f>I88-$C$88</f>
        <v/>
      </c>
      <c r="J93" s="1086">
        <f>J88-$C$88</f>
        <v/>
      </c>
      <c r="K93" s="45" t="n"/>
      <c r="L93" s="344" t="inlineStr">
        <is>
          <t>Computed</t>
        </is>
      </c>
      <c r="M93" s="352" t="inlineStr">
        <is>
          <t>Medium</t>
        </is>
      </c>
      <c r="N93" s="68" t="n"/>
      <c r="P93" s="708" t="inlineStr">
        <is>
          <t>MG12</t>
        </is>
      </c>
    </row>
    <row r="94" ht="36" customHeight="1" s="632">
      <c r="A94" s="69" t="inlineStr">
        <is>
          <t>Cash cost change vs FY2026A</t>
        </is>
      </c>
      <c r="B94" s="44" t="inlineStr">
        <is>
          <t>Rs/t</t>
        </is>
      </c>
      <c r="C94" s="45" t="n"/>
      <c r="D94" s="1086">
        <f>-(D89-$C$89)</f>
        <v/>
      </c>
      <c r="E94" s="1086">
        <f>-(E89-$C$89)</f>
        <v/>
      </c>
      <c r="F94" s="1086">
        <f>-(F89-$C$89)</f>
        <v/>
      </c>
      <c r="G94" s="1086">
        <f>-(G89-$C$89)</f>
        <v/>
      </c>
      <c r="H94" s="1086">
        <f>-(H89-$C$89)</f>
        <v/>
      </c>
      <c r="I94" s="1086">
        <f>-(I89-$C$89)</f>
        <v/>
      </c>
      <c r="J94" s="1086">
        <f>-(J89-$C$89)</f>
        <v/>
      </c>
      <c r="K94" s="45" t="n"/>
      <c r="L94" s="344" t="inlineStr">
        <is>
          <t>Computed</t>
        </is>
      </c>
      <c r="M94" s="352" t="inlineStr">
        <is>
          <t>Medium</t>
        </is>
      </c>
      <c r="N94" s="345" t="inlineStr">
        <is>
          <t>Shown with the sign reversed so that the two bridge lines sum to the EBITDA/t change - a negative value means cost inflation is eroding margin.</t>
        </is>
      </c>
      <c r="P94" s="708" t="inlineStr">
        <is>
          <t>MG13</t>
        </is>
      </c>
    </row>
    <row r="95" ht="24" customHeight="1" s="632">
      <c r="A95" s="76" t="inlineStr">
        <is>
          <t>EBITDA per tonne change vs FY2026A</t>
        </is>
      </c>
      <c r="B95" s="44" t="inlineStr">
        <is>
          <t>Rs/t</t>
        </is>
      </c>
      <c r="C95" s="45" t="n"/>
      <c r="D95" s="1088">
        <f>D93+D94</f>
        <v/>
      </c>
      <c r="E95" s="1088">
        <f>E93+E94</f>
        <v/>
      </c>
      <c r="F95" s="1088">
        <f>F93+F94</f>
        <v/>
      </c>
      <c r="G95" s="1088">
        <f>G93+G94</f>
        <v/>
      </c>
      <c r="H95" s="1088">
        <f>H93+H94</f>
        <v/>
      </c>
      <c r="I95" s="1088">
        <f>I93+I94</f>
        <v/>
      </c>
      <c r="J95" s="1088">
        <f>J93+J94</f>
        <v/>
      </c>
      <c r="K95" s="45" t="n"/>
      <c r="L95" s="344" t="inlineStr">
        <is>
          <t>Computed</t>
        </is>
      </c>
      <c r="M95" s="352" t="inlineStr">
        <is>
          <t>Medium</t>
        </is>
      </c>
      <c r="N95" s="345" t="inlineStr">
        <is>
          <t>BRIDGE CHECK: must equal EBITDA/t less the FY2026A EBITDA/t. Verified on 25 Audit Checks.</t>
        </is>
      </c>
      <c r="P95" s="708" t="inlineStr">
        <is>
          <t>MG14</t>
        </is>
      </c>
    </row>
    <row r="96">
      <c r="A96" s="836" t="inlineStr">
        <is>
          <t>CREDIBILITY BENCHMARKS FROM OBSERVED HISTORY (Master Database)</t>
        </is>
      </c>
      <c r="B96" s="837" t="n"/>
      <c r="C96" s="837" t="n"/>
      <c r="D96" s="837" t="n"/>
      <c r="E96" s="837" t="n"/>
      <c r="F96" s="837" t="n"/>
      <c r="G96" s="837" t="n"/>
      <c r="H96" s="837" t="n"/>
      <c r="I96" s="837" t="n"/>
      <c r="J96" s="837" t="n"/>
      <c r="K96" s="837" t="n"/>
      <c r="L96" s="837" t="n"/>
      <c r="M96" s="837" t="n"/>
      <c r="N96" s="838" t="n"/>
    </row>
    <row r="97" ht="36" customHeight="1" s="632">
      <c r="A97" s="69" t="inlineStr">
        <is>
          <t>Observed cycle PEAK margin, FY2022</t>
        </is>
      </c>
      <c r="B97" s="44" t="inlineStr">
        <is>
          <t>%</t>
        </is>
      </c>
      <c r="C97" s="839" t="n">
        <v>0.26</v>
      </c>
      <c r="D97" s="45" t="n"/>
      <c r="E97" s="45" t="n"/>
      <c r="F97" s="45" t="n"/>
      <c r="G97" s="45" t="n"/>
      <c r="H97" s="45" t="n"/>
      <c r="I97" s="45" t="n"/>
      <c r="J97" s="45" t="n"/>
      <c r="K97" s="45" t="n"/>
      <c r="L97" s="344" t="inlineStr">
        <is>
          <t>Master DB</t>
        </is>
      </c>
      <c r="M97" s="352" t="inlineStr">
        <is>
          <t>High</t>
        </is>
      </c>
      <c r="N97" s="345" t="inlineStr">
        <is>
          <t>Standardised EBITDA margins FY2022: Tata Steel 26%, JSW Steel 27%, SAIL 21%, Jindal Steel 30%. The bull case is calibrated to peak at 26.0% in FY2030.</t>
        </is>
      </c>
      <c r="P97" s="708" t="inlineStr">
        <is>
          <t>MG15</t>
        </is>
      </c>
    </row>
    <row r="98">
      <c r="A98" s="69" t="inlineStr">
        <is>
          <t>Observed cycle TROUGH margin, FY2024</t>
        </is>
      </c>
      <c r="B98" s="44" t="inlineStr">
        <is>
          <t>%</t>
        </is>
      </c>
      <c r="C98" s="839" t="n">
        <v>0.13</v>
      </c>
      <c r="D98" s="45" t="n"/>
      <c r="E98" s="45" t="n"/>
      <c r="F98" s="45" t="n"/>
      <c r="G98" s="45" t="n"/>
      <c r="H98" s="45" t="n"/>
      <c r="I98" s="45" t="n"/>
      <c r="J98" s="45" t="n"/>
      <c r="K98" s="45" t="n"/>
      <c r="L98" s="344" t="inlineStr">
        <is>
          <t>Master DB</t>
        </is>
      </c>
      <c r="M98" s="352" t="inlineStr">
        <is>
          <t>High</t>
        </is>
      </c>
      <c r="N98" s="345" t="inlineStr">
        <is>
          <t>FY2024: Tata Steel 10%, JSW Steel 16%, SAIL 11%, Jindal Steel 20%.</t>
        </is>
      </c>
      <c r="P98" s="708" t="inlineStr">
        <is>
          <t>MG16</t>
        </is>
      </c>
    </row>
    <row r="99" ht="36" customHeight="1" s="632">
      <c r="A99" s="69" t="inlineStr">
        <is>
          <t>Worst single observation, SAIL FY2016</t>
        </is>
      </c>
      <c r="B99" s="44" t="inlineStr">
        <is>
          <t>%</t>
        </is>
      </c>
      <c r="C99" s="839" t="n">
        <v>-0.07000000000000001</v>
      </c>
      <c r="D99" s="45" t="n"/>
      <c r="E99" s="45" t="n"/>
      <c r="F99" s="45" t="n"/>
      <c r="G99" s="45" t="n"/>
      <c r="H99" s="45" t="n"/>
      <c r="I99" s="45" t="n"/>
      <c r="J99" s="45" t="n"/>
      <c r="K99" s="45" t="n"/>
      <c r="L99" s="344" t="inlineStr">
        <is>
          <t>Master DB</t>
        </is>
      </c>
      <c r="M99" s="352" t="inlineStr">
        <is>
          <t>High</t>
        </is>
      </c>
      <c r="N99" s="345" t="inlineStr">
        <is>
          <t>The floor reference. The stress case troughs at -9.2% in FY2028, marginally worse, which is deliberate: a stress case should breach the worst observed outcome.</t>
        </is>
      </c>
      <c r="P99" s="708" t="inlineStr">
        <is>
          <t>MG17</t>
        </is>
      </c>
    </row>
    <row r="100" ht="15" customHeight="1" s="632" thickBot="1">
      <c r="A100" s="72" t="inlineStr">
        <is>
          <t>FY2026A actual industry margin</t>
        </is>
      </c>
      <c r="B100" s="73" t="inlineStr">
        <is>
          <t>%</t>
        </is>
      </c>
      <c r="C100" s="842" t="n">
        <v>0.1789608830493214</v>
      </c>
      <c r="D100" s="74" t="n"/>
      <c r="E100" s="74" t="n"/>
      <c r="F100" s="74" t="n"/>
      <c r="G100" s="74" t="n"/>
      <c r="H100" s="74" t="n"/>
      <c r="I100" s="74" t="n"/>
      <c r="J100" s="74" t="n"/>
      <c r="K100" s="74" t="n"/>
      <c r="L100" s="346" t="inlineStr">
        <is>
          <t>Master DB</t>
        </is>
      </c>
      <c r="M100" s="353" t="inlineStr">
        <is>
          <t>High</t>
        </is>
      </c>
      <c r="N100" s="347" t="inlineStr">
        <is>
          <t>Volume-weighted across the four majors.</t>
        </is>
      </c>
      <c r="P100" s="708" t="inlineStr">
        <is>
          <t>MG18</t>
        </is>
      </c>
    </row>
    <row r="101"/>
    <row r="102">
      <c r="A102" s="383" t="inlineStr">
        <is>
          <t>If a scenario produces a margin outside the -7% to +26% observed envelope, 25 Audit Checks flags it. That is a warning, not necessarily an error - but it must be justified.</t>
        </is>
      </c>
    </row>
  </sheetData>
  <mergeCells count="13">
    <mergeCell ref="A29:I29"/>
    <mergeCell ref="A2:F2"/>
    <mergeCell ref="A7:I7"/>
    <mergeCell ref="A43:I43"/>
    <mergeCell ref="A63:I63"/>
    <mergeCell ref="A102:N102"/>
    <mergeCell ref="A92:N92"/>
    <mergeCell ref="A96:N96"/>
    <mergeCell ref="A17:I17"/>
    <mergeCell ref="A74:I74"/>
    <mergeCell ref="A5:N5"/>
    <mergeCell ref="A54:I54"/>
    <mergeCell ref="A1:N1"/>
  </mergeCells>
  <hyperlinks>
    <hyperlink ref="J34" location="'Audit Checks'!A488" tooltip="Open the reference register on 25 Audit Checks"/>
    <hyperlink ref="J37" location="'Audit Checks'!A488" tooltip="Open the reference register on 25 Audit Checks"/>
    <hyperlink ref="J38" location="'Audit Checks'!A488" tooltip="Open the reference register on 25 Audit Checks"/>
    <hyperlink ref="J39" location="'Audit Checks'!A488" tooltip="Open the reference register on 25 Audit Checks"/>
    <hyperlink ref="J40" location="'Audit Checks'!A488" tooltip="Open the reference register on 25 Audit Checks"/>
    <hyperlink ref="E46" location="'Audit Checks'!A488" tooltip="Open the reference register on 25 Audit Checks"/>
    <hyperlink ref="E47" location="'Audit Checks'!A488" tooltip="Open the reference register on 25 Audit Checks"/>
    <hyperlink ref="E48" location="'Audit Checks'!A488" tooltip="Open the reference register on 25 Audit Checks"/>
    <hyperlink ref="E49" location="'Audit Checks'!A488" tooltip="Open the reference register on 25 Audit Checks"/>
    <hyperlink ref="G56" location="'Audit Checks'!A488" tooltip="Open the reference register on 25 Audit Checks"/>
    <hyperlink ref="E65" location="'Audit Checks'!A488" tooltip="Open the reference register on 25 Audit Checks"/>
    <hyperlink ref="G82" location="'Audit Checks'!A488" tooltip="Open the reference register on 25 Audit Checks"/>
    <hyperlink ref="P88" location="'Audit Checks'!A488" tooltip="Open the reference register on 25 Audit Checks"/>
    <hyperlink ref="P89" location="'Audit Checks'!A488" tooltip="Open the reference register on 25 Audit Checks"/>
    <hyperlink ref="P90" location="'Audit Checks'!A488" tooltip="Open the reference register on 25 Audit Checks"/>
    <hyperlink ref="P91" location="'Audit Checks'!A488" tooltip="Open the reference register on 25 Audit Checks"/>
    <hyperlink ref="P93" location="'Audit Checks'!A488" tooltip="Open the reference register on 25 Audit Checks"/>
    <hyperlink ref="P94" location="'Audit Checks'!A488" tooltip="Open the reference register on 25 Audit Checks"/>
    <hyperlink ref="P95" location="'Audit Checks'!A488" tooltip="Open the reference register on 25 Audit Checks"/>
    <hyperlink ref="P97" location="'Audit Checks'!A488" tooltip="Open the reference register on 25 Audit Checks"/>
    <hyperlink ref="P98" location="'Audit Checks'!A488" tooltip="Open the reference register on 25 Audit Checks"/>
    <hyperlink ref="P99" location="'Audit Checks'!A488" tooltip="Open the reference register on 25 Audit Checks"/>
    <hyperlink ref="P100" location="'Audit Checks'!A488" tooltip="Open the reference register on 25 Audit Checks"/>
  </hyperlinks>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codeName="Sheet20">
    <tabColor rgb="FF002060"/>
    <outlinePr summaryBelow="1" summaryRight="1"/>
    <pageSetUpPr/>
  </sheetPr>
  <dimension ref="A1:P76"/>
  <sheetViews>
    <sheetView showGridLines="0" topLeftCell="A51" workbookViewId="0">
      <selection activeCell="A3" sqref="A3"/>
    </sheetView>
  </sheetViews>
  <sheetFormatPr baseColWidth="8" defaultRowHeight="14.4"/>
  <cols>
    <col width="26" customWidth="1" style="690" min="1" max="1"/>
    <col width="12.21875" customWidth="1" style="690" min="2" max="2"/>
    <col width="11" customWidth="1" style="690" min="3" max="11"/>
    <col width="7" customWidth="1" style="632" min="6" max="6"/>
    <col width="7" customWidth="1" style="632" min="7" max="7"/>
    <col width="7" customWidth="1" style="632" min="10" max="10"/>
    <col width="7" customWidth="1" style="632" min="11" max="11"/>
    <col width="10.33203125" customWidth="1" style="690" min="12" max="12"/>
    <col width="9.21875" customWidth="1" style="690" min="13" max="13"/>
    <col width="48" customWidth="1" style="690" min="14" max="14"/>
    <col width="8.88671875" customWidth="1" style="690" min="15" max="16384"/>
    <col width="7" customWidth="1" style="632" min="16" max="16"/>
  </cols>
  <sheetData>
    <row r="1" ht="25.8" customHeight="1" s="632">
      <c r="A1" s="365" t="inlineStr">
        <is>
          <t>WORKING CAPITAL MODEL</t>
        </is>
      </c>
    </row>
    <row r="2">
      <c r="A2" s="494" t="inlineStr">
        <is>
          <t>Industry Financial Model  |  Indian Steel Industry  |  Horizon FY2027E-FY2033E  |  Base year FY2026A</t>
        </is>
      </c>
    </row>
    <row r="3">
      <c r="A3" s="415" t="n"/>
    </row>
    <row r="4">
      <c r="A4" s="411" t="inlineStr">
        <is>
          <t>OBJECTIVE</t>
        </is>
      </c>
    </row>
    <row r="5">
      <c r="A5" s="394" t="inlineStr">
        <is>
          <t>Forecast the industry's working capital by modelling inventory, receivables, payables, and other operating assets and liabilities.</t>
        </is>
      </c>
    </row>
    <row r="6">
      <c r="A6" s="394" t="n"/>
      <c r="B6" s="394" t="n"/>
      <c r="C6" s="394" t="n"/>
      <c r="D6" s="394" t="n"/>
      <c r="E6" s="394" t="n"/>
      <c r="F6" s="394" t="n"/>
      <c r="G6" s="394" t="n"/>
      <c r="H6" s="394" t="n"/>
      <c r="I6" s="394" t="n"/>
      <c r="J6" s="394" t="n"/>
      <c r="K6" s="394" t="n"/>
      <c r="L6" s="394" t="n"/>
      <c r="M6" s="394" t="n"/>
      <c r="N6" s="394" t="n"/>
    </row>
    <row r="7" ht="15.6" customHeight="1" s="632">
      <c r="A7" s="612" t="inlineStr">
        <is>
          <t>Executive Summary</t>
        </is>
      </c>
      <c r="J7" s="394" t="n"/>
      <c r="K7" s="394" t="n"/>
      <c r="L7" s="394" t="n"/>
      <c r="M7" s="394" t="n"/>
      <c r="N7" s="394" t="n"/>
    </row>
    <row r="8">
      <c r="A8" s="506" t="inlineStr">
        <is>
          <t>KPI</t>
        </is>
      </c>
      <c r="B8" s="499" t="inlineStr">
        <is>
          <t>FY26A</t>
        </is>
      </c>
      <c r="C8" s="499" t="inlineStr">
        <is>
          <t>FY27E</t>
        </is>
      </c>
      <c r="D8" s="499" t="inlineStr">
        <is>
          <t>FY28E</t>
        </is>
      </c>
      <c r="E8" s="499" t="inlineStr">
        <is>
          <t>FY29E</t>
        </is>
      </c>
      <c r="F8" s="499" t="inlineStr">
        <is>
          <t>FY30E</t>
        </is>
      </c>
      <c r="G8" s="499" t="inlineStr">
        <is>
          <t>FY31E</t>
        </is>
      </c>
      <c r="H8" s="499" t="inlineStr">
        <is>
          <t>FY32E</t>
        </is>
      </c>
      <c r="I8" s="499" t="inlineStr">
        <is>
          <t>FY33E</t>
        </is>
      </c>
      <c r="J8" s="394" t="n"/>
      <c r="K8" s="707" t="inlineStr">
        <is>
          <t>Ref</t>
        </is>
      </c>
      <c r="L8" s="394" t="n"/>
      <c r="M8" s="394" t="n"/>
      <c r="N8" s="394" t="n"/>
    </row>
    <row r="9">
      <c r="A9" s="670" t="inlineStr">
        <is>
          <t>Inventory (₹ Cr)</t>
        </is>
      </c>
      <c r="B9" s="1097">
        <f>B19</f>
        <v/>
      </c>
      <c r="C9" s="1097">
        <f>C19</f>
        <v/>
      </c>
      <c r="D9" s="1097">
        <f>D19</f>
        <v/>
      </c>
      <c r="E9" s="1097">
        <f>E19</f>
        <v/>
      </c>
      <c r="F9" s="1097">
        <f>F19</f>
        <v/>
      </c>
      <c r="G9" s="1097">
        <f>G19</f>
        <v/>
      </c>
      <c r="H9" s="1097">
        <f>H19</f>
        <v/>
      </c>
      <c r="I9" s="1097">
        <f>I19</f>
        <v/>
      </c>
      <c r="J9" s="394" t="n"/>
      <c r="K9" s="708" t="inlineStr">
        <is>
          <t>WC01</t>
        </is>
      </c>
      <c r="L9" s="394" t="n"/>
      <c r="M9" s="394" t="n"/>
      <c r="N9" s="394" t="n"/>
    </row>
    <row r="10">
      <c r="A10" s="670" t="inlineStr">
        <is>
          <t>Receivables (₹ Cr)</t>
        </is>
      </c>
      <c r="B10" s="1097">
        <f>B20+B21</f>
        <v/>
      </c>
      <c r="C10" s="1097">
        <f>C20+C21</f>
        <v/>
      </c>
      <c r="D10" s="1097">
        <f>D20+D21</f>
        <v/>
      </c>
      <c r="E10" s="1097">
        <f>E20+E21</f>
        <v/>
      </c>
      <c r="F10" s="1097">
        <f>F20+F21</f>
        <v/>
      </c>
      <c r="G10" s="1097">
        <f>G20+G21</f>
        <v/>
      </c>
      <c r="H10" s="1097">
        <f>H20+H21</f>
        <v/>
      </c>
      <c r="I10" s="1097">
        <f>I20+I21</f>
        <v/>
      </c>
      <c r="J10" s="394" t="n"/>
      <c r="K10" s="708" t="inlineStr">
        <is>
          <t>WC01</t>
        </is>
      </c>
      <c r="L10" s="394" t="n"/>
      <c r="M10" s="394" t="n"/>
      <c r="N10" s="394" t="n"/>
    </row>
    <row r="11">
      <c r="A11" s="670" t="inlineStr">
        <is>
          <t>Payables (₹ Cr)</t>
        </is>
      </c>
      <c r="B11" s="1097">
        <f>B22+B23</f>
        <v/>
      </c>
      <c r="C11" s="1097">
        <f>C22+C23</f>
        <v/>
      </c>
      <c r="D11" s="1097">
        <f>D22+D23</f>
        <v/>
      </c>
      <c r="E11" s="1097">
        <f>E22+E23</f>
        <v/>
      </c>
      <c r="F11" s="1097">
        <f>F22+F23</f>
        <v/>
      </c>
      <c r="G11" s="1097">
        <f>G22+G23</f>
        <v/>
      </c>
      <c r="H11" s="1097">
        <f>H22+H23</f>
        <v/>
      </c>
      <c r="I11" s="1097">
        <f>I22+I23</f>
        <v/>
      </c>
      <c r="J11" s="394" t="n"/>
      <c r="K11" s="708" t="inlineStr">
        <is>
          <t>WC01</t>
        </is>
      </c>
      <c r="L11" s="394" t="n"/>
      <c r="M11" s="394" t="n"/>
      <c r="N11" s="394" t="n"/>
    </row>
    <row r="12">
      <c r="A12" s="670" t="inlineStr">
        <is>
          <t>Net Working Capital (₹ Cr)</t>
        </is>
      </c>
      <c r="B12" s="1098">
        <f>$C$72</f>
        <v/>
      </c>
      <c r="C12" s="1098">
        <f>$D$72</f>
        <v/>
      </c>
      <c r="D12" s="1098">
        <f>$E$72</f>
        <v/>
      </c>
      <c r="E12" s="1098">
        <f>$F$72</f>
        <v/>
      </c>
      <c r="F12" s="1098">
        <f>$G$72</f>
        <v/>
      </c>
      <c r="G12" s="1098">
        <f>$H$72</f>
        <v/>
      </c>
      <c r="H12" s="1098">
        <f>$I$72</f>
        <v/>
      </c>
      <c r="I12" s="1098">
        <f>$J$72</f>
        <v/>
      </c>
      <c r="J12" s="394" t="n"/>
      <c r="K12" s="394" t="n"/>
      <c r="L12" s="394" t="n"/>
      <c r="M12" s="394" t="n"/>
      <c r="N12" s="394" t="n"/>
    </row>
    <row r="13">
      <c r="A13" s="670" t="inlineStr">
        <is>
          <t>NWC / Revenue (%)</t>
        </is>
      </c>
      <c r="B13" s="1091">
        <f>$C$74</f>
        <v/>
      </c>
      <c r="C13" s="1091">
        <f>$D$74</f>
        <v/>
      </c>
      <c r="D13" s="1091">
        <f>$E$74</f>
        <v/>
      </c>
      <c r="E13" s="1091">
        <f>$F$74</f>
        <v/>
      </c>
      <c r="F13" s="1091">
        <f>$G$74</f>
        <v/>
      </c>
      <c r="G13" s="1091">
        <f>$H$74</f>
        <v/>
      </c>
      <c r="H13" s="1091">
        <f>$I$74</f>
        <v/>
      </c>
      <c r="I13" s="1091">
        <f>$J$74</f>
        <v/>
      </c>
      <c r="J13" s="394" t="n"/>
      <c r="K13" s="394" t="n"/>
      <c r="L13" s="394" t="n"/>
      <c r="M13" s="394" t="n"/>
      <c r="N13" s="394" t="n"/>
    </row>
    <row r="14">
      <c r="A14" s="670" t="inlineStr">
        <is>
          <t>Cash Conversion Cycle (Days)</t>
        </is>
      </c>
      <c r="B14" s="1099">
        <f>$C$71</f>
        <v/>
      </c>
      <c r="C14" s="1099">
        <f>$D$71</f>
        <v/>
      </c>
      <c r="D14" s="1099">
        <f>$E$71</f>
        <v/>
      </c>
      <c r="E14" s="1099">
        <f>$F$71</f>
        <v/>
      </c>
      <c r="F14" s="1099">
        <f>$G$71</f>
        <v/>
      </c>
      <c r="G14" s="1099">
        <f>$H$71</f>
        <v/>
      </c>
      <c r="H14" s="1099">
        <f>$I$71</f>
        <v/>
      </c>
      <c r="I14" s="1099">
        <f>$J$71</f>
        <v/>
      </c>
      <c r="J14" s="394" t="n"/>
      <c r="K14" s="394" t="n"/>
      <c r="L14" s="394" t="n"/>
      <c r="M14" s="394" t="n"/>
      <c r="N14" s="394" t="n"/>
    </row>
    <row r="15">
      <c r="A15" s="394" t="n"/>
      <c r="B15" s="394" t="n"/>
      <c r="C15" s="394" t="n"/>
      <c r="D15" s="394" t="n"/>
      <c r="E15" s="394" t="n"/>
      <c r="F15" s="394" t="n"/>
      <c r="G15" s="394" t="n"/>
      <c r="H15" s="394" t="n"/>
      <c r="I15" s="394" t="n"/>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ht="15.6" customHeight="1" s="632">
      <c r="A17" s="612" t="inlineStr">
        <is>
          <t>Working Capital Forecast</t>
        </is>
      </c>
      <c r="J17" s="394" t="n"/>
      <c r="K17" s="394" t="n"/>
      <c r="L17" s="394" t="n"/>
      <c r="M17" s="394" t="n"/>
      <c r="N17" s="394" t="n"/>
    </row>
    <row r="18">
      <c r="A18" s="506" t="inlineStr">
        <is>
          <t>Item</t>
        </is>
      </c>
      <c r="B18" s="506" t="inlineStr">
        <is>
          <t>FY26A</t>
        </is>
      </c>
      <c r="C18" s="506" t="inlineStr">
        <is>
          <t>FY27E</t>
        </is>
      </c>
      <c r="D18" s="506" t="inlineStr">
        <is>
          <t>FY28E</t>
        </is>
      </c>
      <c r="E18" s="506" t="inlineStr">
        <is>
          <t>FY29E</t>
        </is>
      </c>
      <c r="F18" s="506" t="inlineStr">
        <is>
          <t>FY30E</t>
        </is>
      </c>
      <c r="G18" s="506" t="inlineStr">
        <is>
          <t>FY31E</t>
        </is>
      </c>
      <c r="H18" s="506" t="inlineStr">
        <is>
          <t>FY32E</t>
        </is>
      </c>
      <c r="I18" s="506" t="inlineStr">
        <is>
          <t>FY33E</t>
        </is>
      </c>
      <c r="J18" s="394" t="n"/>
      <c r="K18" s="394" t="n"/>
      <c r="L18" s="394" t="n"/>
      <c r="M18" s="707" t="inlineStr">
        <is>
          <t>Ref</t>
        </is>
      </c>
      <c r="N18" s="394" t="n"/>
    </row>
    <row r="19">
      <c r="A19" s="670" t="inlineStr">
        <is>
          <t>Inventory</t>
        </is>
      </c>
      <c r="B19" s="1079">
        <f>$C$70*$K$19*$C$71/365</f>
        <v/>
      </c>
      <c r="C19" s="1079">
        <f>$D$70*$K$19*$D$71/365</f>
        <v/>
      </c>
      <c r="D19" s="1079">
        <f>$E$70*$K$19*$E$71/365</f>
        <v/>
      </c>
      <c r="E19" s="1079">
        <f>$F$70*$K$19*$F$71/365</f>
        <v/>
      </c>
      <c r="F19" s="1079">
        <f>$G$70*$K$19*$G$71/365</f>
        <v/>
      </c>
      <c r="G19" s="1079">
        <f>$H$70*$K$19*$H$71/365</f>
        <v/>
      </c>
      <c r="H19" s="1079">
        <f>$I$70*$K$19*$I$71/365</f>
        <v/>
      </c>
      <c r="I19" s="1079">
        <f>$J$70*$K$19*$J$71/365</f>
        <v/>
      </c>
      <c r="J19" s="394" t="n"/>
      <c r="K19" s="1100" t="n">
        <v>1.222222222222222</v>
      </c>
      <c r="L19" s="394" t="n"/>
      <c r="M19" s="708" t="inlineStr">
        <is>
          <t>WC01</t>
        </is>
      </c>
      <c r="N19" s="394" t="n"/>
    </row>
    <row r="20">
      <c r="A20" s="670" t="inlineStr">
        <is>
          <t>Trade Receivables</t>
        </is>
      </c>
      <c r="B20" s="1079">
        <f>$C$70*$K$20*$C$71/365</f>
        <v/>
      </c>
      <c r="C20" s="1079">
        <f>$D$70*$K$20*$D$71/365</f>
        <v/>
      </c>
      <c r="D20" s="1079">
        <f>$E$70*$K$20*$E$71/365</f>
        <v/>
      </c>
      <c r="E20" s="1079">
        <f>$F$70*$K$20*$F$71/365</f>
        <v/>
      </c>
      <c r="F20" s="1079">
        <f>$G$70*$K$20*$G$71/365</f>
        <v/>
      </c>
      <c r="G20" s="1079">
        <f>$H$70*$K$20*$H$71/365</f>
        <v/>
      </c>
      <c r="H20" s="1079">
        <f>$I$70*$K$20*$I$71/365</f>
        <v/>
      </c>
      <c r="I20" s="1079">
        <f>$J$70*$K$20*$J$71/365</f>
        <v/>
      </c>
      <c r="J20" s="394" t="n"/>
      <c r="K20" s="1100" t="n">
        <v>0.6222222222222222</v>
      </c>
      <c r="L20" s="394" t="n"/>
      <c r="M20" s="708" t="inlineStr">
        <is>
          <t>WC01</t>
        </is>
      </c>
      <c r="N20" s="394" t="n"/>
    </row>
    <row r="21">
      <c r="A21" s="670" t="inlineStr">
        <is>
          <t>Other Receivables</t>
        </is>
      </c>
      <c r="B21" s="1079">
        <f>$C$70*$K$21*$C$71/365</f>
        <v/>
      </c>
      <c r="C21" s="1079">
        <f>$D$70*$K$21*$D$71/365</f>
        <v/>
      </c>
      <c r="D21" s="1079">
        <f>$E$70*$K$21*$E$71/365</f>
        <v/>
      </c>
      <c r="E21" s="1079">
        <f>$F$70*$K$21*$F$71/365</f>
        <v/>
      </c>
      <c r="F21" s="1079">
        <f>$G$70*$K$21*$G$71/365</f>
        <v/>
      </c>
      <c r="G21" s="1079">
        <f>$H$70*$K$21*$H$71/365</f>
        <v/>
      </c>
      <c r="H21" s="1079">
        <f>$I$70*$K$21*$I$71/365</f>
        <v/>
      </c>
      <c r="I21" s="1079">
        <f>$J$70*$K$21*$J$71/365</f>
        <v/>
      </c>
      <c r="J21" s="394" t="n"/>
      <c r="K21" s="1100" t="n">
        <v>0.1555555555555556</v>
      </c>
      <c r="L21" s="394" t="n"/>
      <c r="M21" s="708" t="inlineStr">
        <is>
          <t>WC01</t>
        </is>
      </c>
      <c r="N21" s="394" t="n"/>
    </row>
    <row r="22">
      <c r="A22" s="670" t="inlineStr">
        <is>
          <t>Trade Payables</t>
        </is>
      </c>
      <c r="B22" s="1079">
        <f>$C$70*$K$22*$C$71/365</f>
        <v/>
      </c>
      <c r="C22" s="1079">
        <f>$D$70*$K$22*$D$71/365</f>
        <v/>
      </c>
      <c r="D22" s="1079">
        <f>$E$70*$K$22*$E$71/365</f>
        <v/>
      </c>
      <c r="E22" s="1079">
        <f>$F$70*$K$22*$F$71/365</f>
        <v/>
      </c>
      <c r="F22" s="1079">
        <f>$G$70*$K$22*$G$71/365</f>
        <v/>
      </c>
      <c r="G22" s="1079">
        <f>$H$70*$K$22*$H$71/365</f>
        <v/>
      </c>
      <c r="H22" s="1079">
        <f>$I$70*$K$22*$I$71/365</f>
        <v/>
      </c>
      <c r="I22" s="1079">
        <f>$J$70*$K$22*$J$71/365</f>
        <v/>
      </c>
      <c r="J22" s="394" t="n"/>
      <c r="K22" s="1100" t="n">
        <v>0.8444444444444444</v>
      </c>
      <c r="L22" s="394" t="n"/>
      <c r="M22" s="708" t="inlineStr">
        <is>
          <t>WC01</t>
        </is>
      </c>
      <c r="N22" s="394" t="n"/>
    </row>
    <row r="23">
      <c r="A23" s="670" t="inlineStr">
        <is>
          <t>Other Current Liabilities</t>
        </is>
      </c>
      <c r="B23" s="1079">
        <f>$C$70*$K$23*$C$71/365</f>
        <v/>
      </c>
      <c r="C23" s="1079">
        <f>$D$70*$K$23*$D$71/365</f>
        <v/>
      </c>
      <c r="D23" s="1079">
        <f>$E$70*$K$23*$E$71/365</f>
        <v/>
      </c>
      <c r="E23" s="1079">
        <f>$F$70*$K$23*$F$71/365</f>
        <v/>
      </c>
      <c r="F23" s="1079">
        <f>$G$70*$K$23*$G$71/365</f>
        <v/>
      </c>
      <c r="G23" s="1079">
        <f>$H$70*$K$23*$H$71/365</f>
        <v/>
      </c>
      <c r="H23" s="1079">
        <f>$I$70*$K$23*$I$71/365</f>
        <v/>
      </c>
      <c r="I23" s="1079">
        <f>$J$70*$K$23*$J$71/365</f>
        <v/>
      </c>
      <c r="J23" s="394" t="n"/>
      <c r="K23" s="1100" t="n">
        <v>0.1555555555555556</v>
      </c>
      <c r="L23" s="394" t="n"/>
      <c r="M23" s="708" t="inlineStr">
        <is>
          <t>WC01</t>
        </is>
      </c>
      <c r="N23" s="394" t="n"/>
    </row>
    <row r="24">
      <c r="A24" s="489" t="inlineStr">
        <is>
          <t>Net Working Capital</t>
        </is>
      </c>
      <c r="B24" s="1079">
        <f>B19+B20+B21-B22-B23</f>
        <v/>
      </c>
      <c r="C24" s="1079">
        <f>C19+C20+C21-C22-C23</f>
        <v/>
      </c>
      <c r="D24" s="1079">
        <f>D19+D20+D21-D22-D23</f>
        <v/>
      </c>
      <c r="E24" s="1079">
        <f>E19+E20+E21-E22-E23</f>
        <v/>
      </c>
      <c r="F24" s="1079">
        <f>F19+F20+F21-F22-F23</f>
        <v/>
      </c>
      <c r="G24" s="1079">
        <f>G19+G20+G21-G22-G23</f>
        <v/>
      </c>
      <c r="H24" s="1079">
        <f>H19+H20+H21-H22-H23</f>
        <v/>
      </c>
      <c r="I24" s="1079">
        <f>I19+I20+I21-I22-I23</f>
        <v/>
      </c>
      <c r="J24" s="394" t="n"/>
      <c r="K24" s="394" t="n"/>
      <c r="L24" s="394" t="n"/>
      <c r="M24" s="708" t="inlineStr">
        <is>
          <t>WC01</t>
        </is>
      </c>
      <c r="N24" s="394" t="n"/>
    </row>
    <row r="25">
      <c r="A25" s="394" t="n"/>
      <c r="B25" s="394" t="n"/>
      <c r="C25" s="394" t="n"/>
      <c r="D25" s="394" t="n"/>
      <c r="E25" s="394" t="n"/>
      <c r="F25" s="394" t="n"/>
      <c r="G25" s="394" t="n"/>
      <c r="H25" s="394" t="n"/>
      <c r="I25" s="394" t="n"/>
      <c r="J25" s="394" t="n"/>
      <c r="K25" s="394" t="n"/>
      <c r="L25" s="394" t="n"/>
      <c r="M25" s="394" t="n"/>
      <c r="N25" s="394" t="n"/>
    </row>
    <row r="26">
      <c r="A26" s="394" t="n"/>
      <c r="B26" s="394" t="n"/>
      <c r="C26" s="394" t="n"/>
      <c r="D26" s="394" t="n"/>
      <c r="E26" s="394" t="n"/>
      <c r="F26" s="394" t="n"/>
      <c r="G26" s="394" t="n"/>
      <c r="H26" s="394" t="n"/>
      <c r="I26" s="394" t="n"/>
      <c r="J26" s="394" t="n"/>
      <c r="K26" s="394" t="n"/>
      <c r="L26" s="394" t="n"/>
      <c r="M26" s="394" t="n"/>
      <c r="N26" s="394" t="n"/>
    </row>
    <row r="27" ht="15.6" customHeight="1" s="632">
      <c r="A27" s="612" t="inlineStr">
        <is>
          <t>Working Capital Days</t>
        </is>
      </c>
      <c r="J27" s="394" t="n"/>
      <c r="K27" s="394" t="n"/>
      <c r="L27" s="394" t="n"/>
      <c r="M27" s="394" t="n"/>
      <c r="N27" s="394" t="n"/>
    </row>
    <row r="28">
      <c r="A28" s="506" t="inlineStr">
        <is>
          <t>Metric</t>
        </is>
      </c>
      <c r="B28" s="506" t="inlineStr">
        <is>
          <t>FY26A</t>
        </is>
      </c>
      <c r="C28" s="506" t="inlineStr">
        <is>
          <t>FY27E</t>
        </is>
      </c>
      <c r="D28" s="506" t="inlineStr">
        <is>
          <t>FY28E</t>
        </is>
      </c>
      <c r="E28" s="506" t="inlineStr">
        <is>
          <t>FY29E</t>
        </is>
      </c>
      <c r="F28" s="506" t="inlineStr">
        <is>
          <t>FY30E</t>
        </is>
      </c>
      <c r="G28" s="506" t="inlineStr">
        <is>
          <t>FY31E</t>
        </is>
      </c>
      <c r="H28" s="506" t="inlineStr">
        <is>
          <t>FY32E</t>
        </is>
      </c>
      <c r="I28" s="506" t="inlineStr">
        <is>
          <t>FY33E</t>
        </is>
      </c>
      <c r="J28" s="394" t="n"/>
      <c r="K28" s="707" t="inlineStr">
        <is>
          <t>Ref</t>
        </is>
      </c>
      <c r="L28" s="394" t="n"/>
      <c r="M28" s="394" t="n"/>
      <c r="N28" s="394" t="n"/>
    </row>
    <row r="29">
      <c r="A29" s="670" t="inlineStr">
        <is>
          <t>Inventory Days</t>
        </is>
      </c>
      <c r="B29" s="1002">
        <f>$K$19*$C$71</f>
        <v/>
      </c>
      <c r="C29" s="1002">
        <f>$K$19*$D$71</f>
        <v/>
      </c>
      <c r="D29" s="1002">
        <f>$K$19*$E$71</f>
        <v/>
      </c>
      <c r="E29" s="1002">
        <f>$K$19*$F$71</f>
        <v/>
      </c>
      <c r="F29" s="1002">
        <f>$K$19*$G$71</f>
        <v/>
      </c>
      <c r="G29" s="1002">
        <f>$K$19*$H$71</f>
        <v/>
      </c>
      <c r="H29" s="1002">
        <f>$K$19*$I$71</f>
        <v/>
      </c>
      <c r="I29" s="1002">
        <f>$K$19*$J$71</f>
        <v/>
      </c>
      <c r="J29" s="394" t="n"/>
      <c r="K29" s="708" t="inlineStr">
        <is>
          <t>WC01</t>
        </is>
      </c>
      <c r="L29" s="394" t="n"/>
      <c r="M29" s="394" t="n"/>
      <c r="N29" s="394" t="n"/>
    </row>
    <row r="30">
      <c r="A30" s="670" t="inlineStr">
        <is>
          <t>Receivable Days</t>
        </is>
      </c>
      <c r="B30" s="1002">
        <f>($K$20+$K$21)*$C$71</f>
        <v/>
      </c>
      <c r="C30" s="1002">
        <f>($K$20+$K$21)*$D$71</f>
        <v/>
      </c>
      <c r="D30" s="1002">
        <f>($K$20+$K$21)*$E$71</f>
        <v/>
      </c>
      <c r="E30" s="1002">
        <f>($K$20+$K$21)*$F$71</f>
        <v/>
      </c>
      <c r="F30" s="1002">
        <f>($K$20+$K$21)*$G$71</f>
        <v/>
      </c>
      <c r="G30" s="1002">
        <f>($K$20+$K$21)*$H$71</f>
        <v/>
      </c>
      <c r="H30" s="1002">
        <f>($K$20+$K$21)*$I$71</f>
        <v/>
      </c>
      <c r="I30" s="1002">
        <f>($K$20+$K$21)*$J$71</f>
        <v/>
      </c>
      <c r="J30" s="394" t="n"/>
      <c r="K30" s="708" t="inlineStr">
        <is>
          <t>WC01</t>
        </is>
      </c>
      <c r="L30" s="394" t="n"/>
      <c r="M30" s="394" t="n"/>
      <c r="N30" s="394" t="n"/>
    </row>
    <row r="31">
      <c r="A31" s="670" t="inlineStr">
        <is>
          <t>Payable Days</t>
        </is>
      </c>
      <c r="B31" s="1002">
        <f>($K$22+$K$23)*$C$71</f>
        <v/>
      </c>
      <c r="C31" s="1002">
        <f>($K$22+$K$23)*$D$71</f>
        <v/>
      </c>
      <c r="D31" s="1002">
        <f>($K$22+$K$23)*$E$71</f>
        <v/>
      </c>
      <c r="E31" s="1002">
        <f>($K$22+$K$23)*$F$71</f>
        <v/>
      </c>
      <c r="F31" s="1002">
        <f>($K$22+$K$23)*$G$71</f>
        <v/>
      </c>
      <c r="G31" s="1002">
        <f>($K$22+$K$23)*$H$71</f>
        <v/>
      </c>
      <c r="H31" s="1002">
        <f>($K$22+$K$23)*$I$71</f>
        <v/>
      </c>
      <c r="I31" s="1002">
        <f>($K$22+$K$23)*$J$71</f>
        <v/>
      </c>
      <c r="J31" s="394" t="n"/>
      <c r="K31" s="708" t="inlineStr">
        <is>
          <t>WC01</t>
        </is>
      </c>
      <c r="L31" s="394" t="n"/>
      <c r="M31" s="394" t="n"/>
      <c r="N31" s="394" t="n"/>
    </row>
    <row r="32">
      <c r="A32" s="670" t="inlineStr">
        <is>
          <t>Cash Conversion Cycle</t>
        </is>
      </c>
      <c r="B32" s="997">
        <f>$C$71</f>
        <v/>
      </c>
      <c r="C32" s="997">
        <f>$D$71</f>
        <v/>
      </c>
      <c r="D32" s="997">
        <f>$E$71</f>
        <v/>
      </c>
      <c r="E32" s="997">
        <f>$F$71</f>
        <v/>
      </c>
      <c r="F32" s="997">
        <f>$G$71</f>
        <v/>
      </c>
      <c r="G32" s="997">
        <f>$H$71</f>
        <v/>
      </c>
      <c r="H32" s="997">
        <f>$I$71</f>
        <v/>
      </c>
      <c r="I32" s="997">
        <f>$J$71</f>
        <v/>
      </c>
      <c r="J32" s="394" t="n"/>
      <c r="K32" s="394" t="n"/>
      <c r="L32" s="394" t="n"/>
      <c r="M32" s="394" t="n"/>
      <c r="N32" s="394" t="n"/>
    </row>
    <row r="33">
      <c r="A33" s="394" t="n"/>
      <c r="B33" s="394" t="n"/>
      <c r="C33" s="394" t="n"/>
      <c r="D33" s="394" t="n"/>
      <c r="E33" s="394" t="n"/>
      <c r="F33" s="394" t="n"/>
      <c r="G33" s="394" t="n"/>
      <c r="H33" s="394" t="n"/>
      <c r="I33" s="394" t="n"/>
      <c r="J33" s="394" t="n"/>
      <c r="K33" s="394" t="n"/>
      <c r="L33" s="394" t="n"/>
      <c r="M33" s="394" t="n"/>
      <c r="N33" s="394" t="n"/>
    </row>
    <row r="34">
      <c r="A34" s="394" t="n"/>
      <c r="B34" s="394" t="n"/>
      <c r="C34" s="394" t="n"/>
      <c r="D34" s="394" t="n"/>
      <c r="E34" s="394" t="n"/>
      <c r="F34" s="394" t="n"/>
      <c r="G34" s="394" t="n"/>
      <c r="H34" s="394" t="n"/>
      <c r="I34" s="394" t="n"/>
      <c r="J34" s="394" t="n"/>
      <c r="K34" s="394" t="n"/>
      <c r="L34" s="394" t="n"/>
      <c r="M34" s="394" t="n"/>
      <c r="N34" s="394" t="n"/>
    </row>
    <row r="35" ht="15.6" customHeight="1" s="632">
      <c r="A35" s="612" t="inlineStr">
        <is>
          <t>Working Capital Drivers</t>
        </is>
      </c>
      <c r="J35" s="394" t="n"/>
      <c r="K35" s="394" t="n"/>
      <c r="L35" s="394" t="n"/>
      <c r="M35" s="394" t="n"/>
      <c r="N35" s="394" t="n"/>
    </row>
    <row r="36">
      <c r="A36" s="506" t="inlineStr">
        <is>
          <t>Driver</t>
        </is>
      </c>
      <c r="B36" s="506" t="inlineStr">
        <is>
          <t>FY27E</t>
        </is>
      </c>
      <c r="C36" s="506" t="inlineStr">
        <is>
          <t>FY28E</t>
        </is>
      </c>
      <c r="D36" s="506" t="inlineStr">
        <is>
          <t>FY29E</t>
        </is>
      </c>
      <c r="E36" s="506" t="inlineStr">
        <is>
          <t>FY30E</t>
        </is>
      </c>
      <c r="F36" s="506" t="inlineStr">
        <is>
          <t>FY31E</t>
        </is>
      </c>
      <c r="G36" s="506" t="inlineStr">
        <is>
          <t>FY32E</t>
        </is>
      </c>
      <c r="H36" s="506" t="inlineStr">
        <is>
          <t>FY33E</t>
        </is>
      </c>
      <c r="I36" s="394" t="n"/>
      <c r="J36" s="707" t="inlineStr">
        <is>
          <t>Ref</t>
        </is>
      </c>
      <c r="K36" s="394" t="n"/>
      <c r="L36" s="394" t="n"/>
      <c r="M36" s="394" t="n"/>
      <c r="N36" s="394" t="n"/>
    </row>
    <row r="37">
      <c r="A37" s="670" t="inlineStr">
        <is>
          <t>Revenue Growth</t>
        </is>
      </c>
      <c r="B37" s="954">
        <f>IFERROR('Revenue Forecast'!D96/'Revenue Forecast'!C96-1,"")</f>
        <v/>
      </c>
      <c r="C37" s="954">
        <f>IFERROR('Revenue Forecast'!E96/'Revenue Forecast'!D96-1,"")</f>
        <v/>
      </c>
      <c r="D37" s="954">
        <f>IFERROR('Revenue Forecast'!F96/'Revenue Forecast'!E96-1,"")</f>
        <v/>
      </c>
      <c r="E37" s="954">
        <f>IFERROR('Revenue Forecast'!G96/'Revenue Forecast'!F96-1,"")</f>
        <v/>
      </c>
      <c r="F37" s="954">
        <f>IFERROR('Revenue Forecast'!H96/'Revenue Forecast'!G96-1,"")</f>
        <v/>
      </c>
      <c r="G37" s="954">
        <f>IFERROR('Revenue Forecast'!I96/'Revenue Forecast'!H96-1,"")</f>
        <v/>
      </c>
      <c r="H37" s="954">
        <f>IFERROR('Revenue Forecast'!J96/'Revenue Forecast'!I96-1,"")</f>
        <v/>
      </c>
      <c r="I37" s="394" t="n"/>
      <c r="J37" s="394" t="n"/>
      <c r="K37" s="394" t="n"/>
      <c r="L37" s="394" t="n"/>
      <c r="M37" s="394" t="n"/>
      <c r="N37" s="394" t="n"/>
    </row>
    <row r="38">
      <c r="A38" s="670" t="inlineStr">
        <is>
          <t>Production Growth</t>
        </is>
      </c>
      <c r="B38" s="954">
        <f>IFERROR('Steel Supply Model'!D101/'Steel Supply Model'!C101-1,"")</f>
        <v/>
      </c>
      <c r="C38" s="954">
        <f>IFERROR('Steel Supply Model'!E101/'Steel Supply Model'!D101-1,"")</f>
        <v/>
      </c>
      <c r="D38" s="954">
        <f>IFERROR('Steel Supply Model'!F101/'Steel Supply Model'!E101-1,"")</f>
        <v/>
      </c>
      <c r="E38" s="954">
        <f>IFERROR('Steel Supply Model'!G101/'Steel Supply Model'!F101-1,"")</f>
        <v/>
      </c>
      <c r="F38" s="954">
        <f>IFERROR('Steel Supply Model'!H101/'Steel Supply Model'!G101-1,"")</f>
        <v/>
      </c>
      <c r="G38" s="954">
        <f>IFERROR('Steel Supply Model'!I101/'Steel Supply Model'!H101-1,"")</f>
        <v/>
      </c>
      <c r="H38" s="954">
        <f>IFERROR('Steel Supply Model'!J101/'Steel Supply Model'!I101-1,"")</f>
        <v/>
      </c>
      <c r="I38" s="394" t="n"/>
      <c r="J38" s="394" t="n"/>
      <c r="K38" s="394" t="n"/>
      <c r="L38" s="394" t="n"/>
      <c r="M38" s="394" t="n"/>
      <c r="N38" s="394" t="n"/>
    </row>
    <row r="39">
      <c r="A39" s="670" t="inlineStr">
        <is>
          <t>Inventory Days</t>
        </is>
      </c>
      <c r="B39" s="1002">
        <f>$K$19*$D$71</f>
        <v/>
      </c>
      <c r="C39" s="1002">
        <f>$K$19*$E$71</f>
        <v/>
      </c>
      <c r="D39" s="1002">
        <f>$K$19*$F$71</f>
        <v/>
      </c>
      <c r="E39" s="1002">
        <f>$K$19*$G$71</f>
        <v/>
      </c>
      <c r="F39" s="1002">
        <f>$K$19*$H$71</f>
        <v/>
      </c>
      <c r="G39" s="1002">
        <f>$K$19*$I$71</f>
        <v/>
      </c>
      <c r="H39" s="1002">
        <f>$K$19*$J$71</f>
        <v/>
      </c>
      <c r="I39" s="394" t="n"/>
      <c r="J39" s="708" t="inlineStr">
        <is>
          <t>WC02</t>
        </is>
      </c>
      <c r="K39" s="394" t="n"/>
      <c r="L39" s="394" t="n"/>
      <c r="M39" s="394" t="n"/>
      <c r="N39" s="394" t="n"/>
    </row>
    <row r="40">
      <c r="A40" s="670" t="inlineStr">
        <is>
          <t>Collection Days</t>
        </is>
      </c>
      <c r="B40" s="1002">
        <f>($K$20+$K$21)*$D$71</f>
        <v/>
      </c>
      <c r="C40" s="1002">
        <f>($K$20+$K$21)*$E$71</f>
        <v/>
      </c>
      <c r="D40" s="1002">
        <f>($K$20+$K$21)*$F$71</f>
        <v/>
      </c>
      <c r="E40" s="1002">
        <f>($K$20+$K$21)*$G$71</f>
        <v/>
      </c>
      <c r="F40" s="1002">
        <f>($K$20+$K$21)*$H$71</f>
        <v/>
      </c>
      <c r="G40" s="1002">
        <f>($K$20+$K$21)*$I$71</f>
        <v/>
      </c>
      <c r="H40" s="1002">
        <f>($K$20+$K$21)*$J$71</f>
        <v/>
      </c>
      <c r="I40" s="394" t="n"/>
      <c r="J40" s="708" t="inlineStr">
        <is>
          <t>WC02</t>
        </is>
      </c>
      <c r="K40" s="394" t="n"/>
      <c r="L40" s="394" t="n"/>
      <c r="M40" s="394" t="n"/>
      <c r="N40" s="394" t="n"/>
    </row>
    <row r="41">
      <c r="A41" s="670" t="inlineStr">
        <is>
          <t>Payment Days</t>
        </is>
      </c>
      <c r="B41" s="1002">
        <f>($K$22+$K$23)*$D$71</f>
        <v/>
      </c>
      <c r="C41" s="1002">
        <f>($K$22+$K$23)*$E$71</f>
        <v/>
      </c>
      <c r="D41" s="1002">
        <f>($K$22+$K$23)*$F$71</f>
        <v/>
      </c>
      <c r="E41" s="1002">
        <f>($K$22+$K$23)*$G$71</f>
        <v/>
      </c>
      <c r="F41" s="1002">
        <f>($K$22+$K$23)*$H$71</f>
        <v/>
      </c>
      <c r="G41" s="1002">
        <f>($K$22+$K$23)*$I$71</f>
        <v/>
      </c>
      <c r="H41" s="1002">
        <f>($K$22+$K$23)*$J$71</f>
        <v/>
      </c>
      <c r="I41" s="394" t="n"/>
      <c r="J41" s="708" t="inlineStr">
        <is>
          <t>WC02</t>
        </is>
      </c>
      <c r="K41" s="394" t="n"/>
      <c r="L41" s="394" t="n"/>
      <c r="M41" s="394" t="n"/>
      <c r="N41" s="394" t="n"/>
    </row>
    <row r="42">
      <c r="A42" s="670" t="inlineStr">
        <is>
          <t>Change in NWC</t>
        </is>
      </c>
      <c r="B42" s="1073">
        <f>$D$73</f>
        <v/>
      </c>
      <c r="C42" s="1073">
        <f>$E$73</f>
        <v/>
      </c>
      <c r="D42" s="1073">
        <f>$F$73</f>
        <v/>
      </c>
      <c r="E42" s="1073">
        <f>$G$73</f>
        <v/>
      </c>
      <c r="F42" s="1073">
        <f>$H$73</f>
        <v/>
      </c>
      <c r="G42" s="1073">
        <f>$I$73</f>
        <v/>
      </c>
      <c r="H42" s="1073">
        <f>$J$73</f>
        <v/>
      </c>
      <c r="I42" s="394" t="n"/>
      <c r="J42" s="394" t="n"/>
      <c r="K42" s="394" t="n"/>
      <c r="L42" s="394" t="n"/>
      <c r="M42" s="394" t="n"/>
      <c r="N42" s="394" t="n"/>
    </row>
    <row r="43">
      <c r="A43" s="394" t="n"/>
      <c r="B43" s="394" t="n"/>
      <c r="C43" s="394" t="n"/>
      <c r="D43" s="394" t="n"/>
      <c r="E43" s="394" t="n"/>
      <c r="F43" s="394" t="n"/>
      <c r="G43" s="394" t="n"/>
      <c r="H43" s="394" t="n"/>
      <c r="I43" s="394" t="n"/>
      <c r="J43" s="394" t="n"/>
      <c r="K43" s="394" t="n"/>
      <c r="L43" s="394" t="n"/>
      <c r="M43" s="394" t="n"/>
      <c r="N43" s="394" t="n"/>
    </row>
    <row r="44">
      <c r="A44" s="394" t="n"/>
      <c r="B44" s="394" t="n"/>
      <c r="C44" s="394" t="n"/>
      <c r="D44" s="394" t="n"/>
      <c r="E44" s="394" t="n"/>
      <c r="F44" s="394" t="n"/>
      <c r="G44" s="394" t="n"/>
      <c r="H44" s="394" t="n"/>
      <c r="I44" s="394" t="n"/>
      <c r="J44" s="394" t="n"/>
      <c r="K44" s="394" t="n"/>
      <c r="L44" s="394" t="n"/>
      <c r="M44" s="394" t="n"/>
      <c r="N44" s="394" t="n"/>
    </row>
    <row r="45" ht="15.6" customHeight="1" s="632">
      <c r="A45" s="612" t="inlineStr">
        <is>
          <t>Cash Locked in Working Capital</t>
        </is>
      </c>
      <c r="J45" s="394" t="n"/>
      <c r="K45" s="394" t="n"/>
      <c r="L45" s="394" t="n"/>
      <c r="M45" s="394" t="n"/>
      <c r="N45" s="394" t="n"/>
    </row>
    <row r="46" ht="27.6" customHeight="1" s="632">
      <c r="A46" s="506" t="inlineStr">
        <is>
          <t>Year</t>
        </is>
      </c>
      <c r="B46" s="506" t="inlineStr">
        <is>
          <t>Opening NWC</t>
        </is>
      </c>
      <c r="C46" s="506" t="inlineStr">
        <is>
          <t>Closing NWC</t>
        </is>
      </c>
      <c r="D46" s="506" t="inlineStr">
        <is>
          <t>Change in NWC</t>
        </is>
      </c>
      <c r="E46" s="394" t="n"/>
      <c r="F46" s="707" t="inlineStr">
        <is>
          <t>Ref</t>
        </is>
      </c>
      <c r="G46" s="394" t="n"/>
      <c r="H46" s="394" t="n"/>
      <c r="I46" s="394" t="n"/>
      <c r="J46" s="394" t="n"/>
      <c r="K46" s="394" t="n"/>
      <c r="L46" s="394" t="n"/>
      <c r="M46" s="394" t="n"/>
      <c r="N46" s="394" t="n"/>
    </row>
    <row r="47">
      <c r="A47" s="670" t="inlineStr">
        <is>
          <t>FY27</t>
        </is>
      </c>
      <c r="B47" s="1073">
        <f>$C$72</f>
        <v/>
      </c>
      <c r="C47" s="1073">
        <f>$D$72</f>
        <v/>
      </c>
      <c r="D47" s="1073">
        <f>$D$73</f>
        <v/>
      </c>
      <c r="E47" s="394" t="n"/>
      <c r="F47" s="394" t="n"/>
      <c r="G47" s="394" t="n"/>
      <c r="H47" s="394" t="n"/>
      <c r="I47" s="394" t="n"/>
      <c r="J47" s="394" t="n"/>
      <c r="K47" s="394" t="n"/>
      <c r="L47" s="394" t="n"/>
      <c r="M47" s="394" t="n"/>
      <c r="N47" s="394" t="n"/>
    </row>
    <row r="48">
      <c r="A48" s="670" t="inlineStr">
        <is>
          <t>FY28</t>
        </is>
      </c>
      <c r="B48" s="1073">
        <f>$D$72</f>
        <v/>
      </c>
      <c r="C48" s="1073">
        <f>$E$72</f>
        <v/>
      </c>
      <c r="D48" s="1073">
        <f>$E$73</f>
        <v/>
      </c>
      <c r="E48" s="394" t="n"/>
      <c r="F48" s="394" t="n"/>
      <c r="G48" s="394" t="n"/>
      <c r="H48" s="394" t="n"/>
      <c r="I48" s="394" t="n"/>
      <c r="J48" s="394" t="n"/>
      <c r="K48" s="394" t="n"/>
      <c r="L48" s="394" t="n"/>
      <c r="M48" s="394" t="n"/>
      <c r="N48" s="394" t="n"/>
    </row>
    <row r="49">
      <c r="A49" s="670" t="inlineStr">
        <is>
          <t>FY29</t>
        </is>
      </c>
      <c r="B49" s="1073">
        <f>$E$72</f>
        <v/>
      </c>
      <c r="C49" s="1073">
        <f>$F$72</f>
        <v/>
      </c>
      <c r="D49" s="1073">
        <f>$F$73</f>
        <v/>
      </c>
      <c r="E49" s="394" t="n"/>
      <c r="F49" s="394" t="n"/>
      <c r="G49" s="394" t="n"/>
      <c r="H49" s="394" t="n"/>
      <c r="I49" s="394" t="n"/>
      <c r="J49" s="394" t="n"/>
      <c r="K49" s="394" t="n"/>
      <c r="L49" s="394" t="n"/>
      <c r="M49" s="394" t="n"/>
      <c r="N49" s="394" t="n"/>
    </row>
    <row r="50">
      <c r="A50" s="670" t="inlineStr">
        <is>
          <t>FY30</t>
        </is>
      </c>
      <c r="B50" s="1073">
        <f>$F$72</f>
        <v/>
      </c>
      <c r="C50" s="1073">
        <f>$G$72</f>
        <v/>
      </c>
      <c r="D50" s="1073">
        <f>$G$73</f>
        <v/>
      </c>
      <c r="E50" s="394" t="n"/>
      <c r="F50" s="394" t="n"/>
      <c r="G50" s="394" t="n"/>
      <c r="H50" s="394" t="n"/>
      <c r="I50" s="394" t="n"/>
      <c r="J50" s="394" t="n"/>
      <c r="K50" s="394" t="n"/>
      <c r="L50" s="394" t="n"/>
      <c r="M50" s="394" t="n"/>
      <c r="N50" s="394" t="n"/>
    </row>
    <row r="51">
      <c r="A51" s="670" t="inlineStr">
        <is>
          <t>FY31</t>
        </is>
      </c>
      <c r="B51" s="1073">
        <f>$G$72</f>
        <v/>
      </c>
      <c r="C51" s="1073">
        <f>$H$72</f>
        <v/>
      </c>
      <c r="D51" s="1073">
        <f>$H$73</f>
        <v/>
      </c>
      <c r="E51" s="394" t="n"/>
      <c r="F51" s="394" t="n"/>
      <c r="G51" s="394" t="n"/>
      <c r="H51" s="394" t="n"/>
      <c r="I51" s="394" t="n"/>
      <c r="J51" s="394" t="n"/>
      <c r="K51" s="394" t="n"/>
      <c r="L51" s="394" t="n"/>
      <c r="M51" s="394" t="n"/>
      <c r="N51" s="394" t="n"/>
    </row>
    <row r="52">
      <c r="A52" s="670" t="inlineStr">
        <is>
          <t>FY32</t>
        </is>
      </c>
      <c r="B52" s="1073">
        <f>$H$72</f>
        <v/>
      </c>
      <c r="C52" s="1073">
        <f>$I$72</f>
        <v/>
      </c>
      <c r="D52" s="1073">
        <f>$I$73</f>
        <v/>
      </c>
      <c r="E52" s="394" t="n"/>
      <c r="F52" s="394" t="n"/>
      <c r="G52" s="394" t="n"/>
      <c r="H52" s="394" t="n"/>
      <c r="I52" s="394" t="n"/>
      <c r="J52" s="394" t="n"/>
      <c r="K52" s="394" t="n"/>
      <c r="L52" s="394" t="n"/>
      <c r="M52" s="394" t="n"/>
      <c r="N52" s="394" t="n"/>
    </row>
    <row r="53">
      <c r="A53" s="670" t="inlineStr">
        <is>
          <t>FY33</t>
        </is>
      </c>
      <c r="B53" s="1073">
        <f>$I$72</f>
        <v/>
      </c>
      <c r="C53" s="1073">
        <f>$J$72</f>
        <v/>
      </c>
      <c r="D53" s="1073">
        <f>$J$73</f>
        <v/>
      </c>
      <c r="E53" s="394" t="n"/>
      <c r="F53" s="708" t="inlineStr">
        <is>
          <t>WC03</t>
        </is>
      </c>
      <c r="G53" s="394" t="n"/>
      <c r="H53" s="394" t="n"/>
      <c r="I53" s="394" t="n"/>
      <c r="J53" s="394" t="n"/>
      <c r="K53" s="394" t="n"/>
      <c r="L53" s="394" t="n"/>
      <c r="M53" s="394" t="n"/>
      <c r="N53" s="394" t="n"/>
    </row>
    <row r="54">
      <c r="A54" s="394" t="n"/>
      <c r="B54" s="394" t="n"/>
      <c r="C54" s="394" t="n"/>
      <c r="D54" s="394" t="n"/>
      <c r="E54" s="394" t="n"/>
      <c r="F54" s="394" t="n"/>
      <c r="G54" s="394" t="n"/>
      <c r="H54" s="394" t="n"/>
      <c r="I54" s="394" t="n"/>
      <c r="J54" s="394" t="n"/>
      <c r="K54" s="394" t="n"/>
      <c r="L54" s="394" t="n"/>
      <c r="M54" s="394" t="n"/>
      <c r="N54" s="394" t="n"/>
    </row>
    <row r="55">
      <c r="A55" s="394" t="n"/>
      <c r="B55" s="394" t="n"/>
      <c r="C55" s="394" t="n"/>
      <c r="D55" s="394" t="n"/>
      <c r="E55" s="394" t="n"/>
      <c r="F55" s="394" t="n"/>
      <c r="G55" s="394" t="n"/>
      <c r="H55" s="394" t="n"/>
      <c r="I55" s="394" t="n"/>
      <c r="J55" s="394" t="n"/>
      <c r="K55" s="394" t="n"/>
      <c r="L55" s="394" t="n"/>
      <c r="M55" s="394" t="n"/>
      <c r="N55" s="394" t="n"/>
    </row>
    <row r="56" ht="15.6" customHeight="1" s="632">
      <c r="A56" s="612" t="inlineStr">
        <is>
          <t>Scenario Analysis</t>
        </is>
      </c>
      <c r="J56" s="394" t="n"/>
      <c r="K56" s="394" t="n"/>
      <c r="L56" s="394" t="n"/>
      <c r="M56" s="394" t="n"/>
      <c r="N56" s="394" t="n"/>
    </row>
    <row r="57">
      <c r="A57" s="506" t="inlineStr">
        <is>
          <t>Year</t>
        </is>
      </c>
      <c r="B57" s="506" t="inlineStr">
        <is>
          <t>Base</t>
        </is>
      </c>
      <c r="C57" s="506" t="inlineStr">
        <is>
          <t>Bull</t>
        </is>
      </c>
      <c r="D57" s="506" t="inlineStr">
        <is>
          <t>Bear</t>
        </is>
      </c>
      <c r="E57" s="506" t="inlineStr">
        <is>
          <t>Stress</t>
        </is>
      </c>
      <c r="F57" s="394" t="n"/>
      <c r="G57" s="707" t="inlineStr">
        <is>
          <t>Ref</t>
        </is>
      </c>
      <c r="H57" s="394" t="n"/>
      <c r="I57" s="394" t="n"/>
      <c r="J57" s="394" t="n"/>
      <c r="K57" s="394" t="n"/>
      <c r="L57" s="394" t="n"/>
      <c r="M57" s="394" t="n"/>
      <c r="N57" s="394" t="n"/>
    </row>
    <row r="58">
      <c r="A58" s="670" t="inlineStr">
        <is>
          <t>FY27</t>
        </is>
      </c>
      <c r="B58" s="1073">
        <f>'Scenario Manager'!$D$144</f>
        <v/>
      </c>
      <c r="C58" s="1073">
        <f>'Scenario Manager'!$D$220</f>
        <v/>
      </c>
      <c r="D58" s="1073">
        <f>'Scenario Manager'!$D$296</f>
        <v/>
      </c>
      <c r="E58" s="1073">
        <f>'Scenario Manager'!$D$372</f>
        <v/>
      </c>
      <c r="F58" s="394" t="n"/>
      <c r="G58" s="394" t="n"/>
      <c r="H58" s="394" t="n"/>
      <c r="I58" s="394" t="n"/>
      <c r="J58" s="394" t="n"/>
      <c r="K58" s="394" t="n"/>
      <c r="L58" s="394" t="n"/>
      <c r="M58" s="394" t="n"/>
      <c r="N58" s="394" t="n"/>
    </row>
    <row r="59">
      <c r="A59" s="670" t="inlineStr">
        <is>
          <t>FY28</t>
        </is>
      </c>
      <c r="B59" s="1073">
        <f>'Scenario Manager'!$E$144</f>
        <v/>
      </c>
      <c r="C59" s="1073">
        <f>'Scenario Manager'!$E$220</f>
        <v/>
      </c>
      <c r="D59" s="1073">
        <f>'Scenario Manager'!$E$296</f>
        <v/>
      </c>
      <c r="E59" s="1073">
        <f>'Scenario Manager'!$E$372</f>
        <v/>
      </c>
      <c r="F59" s="394" t="n"/>
      <c r="G59" s="394" t="n"/>
      <c r="H59" s="394" t="n"/>
      <c r="I59" s="394" t="n"/>
      <c r="J59" s="394" t="n"/>
      <c r="K59" s="394" t="n"/>
      <c r="L59" s="394" t="n"/>
      <c r="M59" s="394" t="n"/>
      <c r="N59" s="394" t="n"/>
    </row>
    <row r="60">
      <c r="A60" s="670" t="inlineStr">
        <is>
          <t>FY29</t>
        </is>
      </c>
      <c r="B60" s="1073">
        <f>'Scenario Manager'!$F$144</f>
        <v/>
      </c>
      <c r="C60" s="1073">
        <f>'Scenario Manager'!$F$220</f>
        <v/>
      </c>
      <c r="D60" s="1073">
        <f>'Scenario Manager'!$F$296</f>
        <v/>
      </c>
      <c r="E60" s="1073">
        <f>'Scenario Manager'!$F$372</f>
        <v/>
      </c>
      <c r="F60" s="394" t="n"/>
      <c r="G60" s="394" t="n"/>
      <c r="H60" s="394" t="n"/>
      <c r="I60" s="394" t="n"/>
      <c r="J60" s="394" t="n"/>
      <c r="K60" s="394" t="n"/>
      <c r="L60" s="394" t="n"/>
      <c r="M60" s="394" t="n"/>
      <c r="N60" s="394" t="n"/>
    </row>
    <row r="61">
      <c r="A61" s="670" t="inlineStr">
        <is>
          <t>FY30</t>
        </is>
      </c>
      <c r="B61" s="1073">
        <f>'Scenario Manager'!$G$144</f>
        <v/>
      </c>
      <c r="C61" s="1073">
        <f>'Scenario Manager'!$G$220</f>
        <v/>
      </c>
      <c r="D61" s="1073">
        <f>'Scenario Manager'!$G$296</f>
        <v/>
      </c>
      <c r="E61" s="1073">
        <f>'Scenario Manager'!$G$372</f>
        <v/>
      </c>
      <c r="F61" s="394" t="n"/>
      <c r="G61" s="394" t="n"/>
      <c r="H61" s="394" t="n"/>
      <c r="I61" s="394" t="n"/>
      <c r="J61" s="394" t="n"/>
      <c r="K61" s="394" t="n"/>
      <c r="L61" s="394" t="n"/>
      <c r="M61" s="394" t="n"/>
      <c r="N61" s="394" t="n"/>
    </row>
    <row r="62">
      <c r="A62" s="670" t="inlineStr">
        <is>
          <t>FY31</t>
        </is>
      </c>
      <c r="B62" s="1073">
        <f>'Scenario Manager'!$H$144</f>
        <v/>
      </c>
      <c r="C62" s="1073">
        <f>'Scenario Manager'!$H$220</f>
        <v/>
      </c>
      <c r="D62" s="1073">
        <f>'Scenario Manager'!$H$296</f>
        <v/>
      </c>
      <c r="E62" s="1073">
        <f>'Scenario Manager'!$H$372</f>
        <v/>
      </c>
      <c r="F62" s="394" t="n"/>
      <c r="G62" s="394" t="n"/>
      <c r="H62" s="394" t="n"/>
      <c r="I62" s="394" t="n"/>
      <c r="J62" s="394" t="n"/>
      <c r="K62" s="394" t="n"/>
      <c r="L62" s="394" t="n"/>
      <c r="M62" s="394" t="n"/>
      <c r="N62" s="394" t="n"/>
    </row>
    <row r="63">
      <c r="A63" s="670" t="inlineStr">
        <is>
          <t>FY32</t>
        </is>
      </c>
      <c r="B63" s="1073">
        <f>'Scenario Manager'!$I$144</f>
        <v/>
      </c>
      <c r="C63" s="1073">
        <f>'Scenario Manager'!$I$220</f>
        <v/>
      </c>
      <c r="D63" s="1073">
        <f>'Scenario Manager'!$I$296</f>
        <v/>
      </c>
      <c r="E63" s="1073">
        <f>'Scenario Manager'!$I$372</f>
        <v/>
      </c>
      <c r="F63" s="394" t="n"/>
      <c r="G63" s="394" t="n"/>
      <c r="H63" s="394" t="n"/>
      <c r="I63" s="394" t="n"/>
      <c r="J63" s="394" t="n"/>
      <c r="K63" s="394" t="n"/>
      <c r="L63" s="394" t="n"/>
      <c r="M63" s="394" t="n"/>
      <c r="N63" s="394" t="n"/>
    </row>
    <row r="64">
      <c r="A64" s="670" t="inlineStr">
        <is>
          <t>FY33</t>
        </is>
      </c>
      <c r="B64" s="1073">
        <f>'Scenario Manager'!$J$144</f>
        <v/>
      </c>
      <c r="C64" s="1073">
        <f>'Scenario Manager'!$J$220</f>
        <v/>
      </c>
      <c r="D64" s="1073">
        <f>'Scenario Manager'!$J$296</f>
        <v/>
      </c>
      <c r="E64" s="1073">
        <f>'Scenario Manager'!$J$372</f>
        <v/>
      </c>
      <c r="F64" s="394" t="n"/>
      <c r="G64" s="708" t="inlineStr">
        <is>
          <t>WC04</t>
        </is>
      </c>
      <c r="H64" s="394" t="n"/>
      <c r="I64" s="394" t="n"/>
      <c r="J64" s="394" t="n"/>
      <c r="K64" s="394" t="n"/>
      <c r="L64" s="394" t="n"/>
      <c r="M64" s="394" t="n"/>
      <c r="N64" s="394" t="n"/>
    </row>
    <row r="65">
      <c r="A65" s="683" t="n"/>
      <c r="B65" s="596" t="n"/>
      <c r="C65" s="596" t="n"/>
      <c r="D65" s="596" t="n"/>
      <c r="E65" s="596" t="n"/>
      <c r="F65" s="394" t="n"/>
      <c r="G65" s="394" t="n"/>
      <c r="H65" s="394" t="n"/>
      <c r="I65" s="394" t="n"/>
      <c r="J65" s="394" t="n"/>
      <c r="K65" s="394" t="n"/>
      <c r="L65" s="394" t="n"/>
      <c r="M65" s="394" t="n"/>
      <c r="N65" s="394" t="n"/>
    </row>
    <row r="66">
      <c r="A66" s="683" t="n"/>
      <c r="B66" s="596" t="n"/>
      <c r="C66" s="596" t="n"/>
      <c r="D66" s="596" t="n"/>
      <c r="E66" s="596" t="n"/>
      <c r="F66" s="394" t="n"/>
      <c r="G66" s="394" t="n"/>
      <c r="H66" s="394" t="n"/>
      <c r="I66" s="394" t="n"/>
      <c r="J66" s="394" t="n"/>
      <c r="K66" s="394" t="n"/>
      <c r="L66" s="394" t="n"/>
      <c r="M66" s="394" t="n"/>
      <c r="N66" s="394" t="n"/>
    </row>
    <row r="67">
      <c r="A67" s="683" t="n"/>
      <c r="B67" s="596" t="n"/>
      <c r="C67" s="596" t="n"/>
      <c r="D67" s="596" t="n"/>
      <c r="E67" s="596" t="n"/>
      <c r="F67" s="394" t="n"/>
      <c r="G67" s="394" t="n"/>
      <c r="H67" s="394" t="n"/>
      <c r="I67" s="394" t="n"/>
      <c r="J67" s="394" t="n"/>
      <c r="K67" s="394" t="n"/>
      <c r="L67" s="394" t="n"/>
      <c r="M67" s="394" t="n"/>
      <c r="N67" s="394" t="n"/>
    </row>
    <row r="68" ht="15" customHeight="1" s="632" thickBot="1">
      <c r="A68" s="415" t="n"/>
    </row>
    <row r="69">
      <c r="A69" s="63" t="inlineStr">
        <is>
          <t>Line item</t>
        </is>
      </c>
      <c r="B69" s="65" t="inlineStr">
        <is>
          <t>Unit</t>
        </is>
      </c>
      <c r="C69" s="65" t="inlineStr">
        <is>
          <t>FY2026A</t>
        </is>
      </c>
      <c r="D69" s="65" t="inlineStr">
        <is>
          <t>FY2027E</t>
        </is>
      </c>
      <c r="E69" s="65" t="inlineStr">
        <is>
          <t>FY2028E</t>
        </is>
      </c>
      <c r="F69" s="65" t="inlineStr">
        <is>
          <t>FY2029E</t>
        </is>
      </c>
      <c r="G69" s="65" t="inlineStr">
        <is>
          <t>FY2030E</t>
        </is>
      </c>
      <c r="H69" s="65" t="inlineStr">
        <is>
          <t>FY2031E</t>
        </is>
      </c>
      <c r="I69" s="65" t="inlineStr">
        <is>
          <t>FY2032E</t>
        </is>
      </c>
      <c r="J69" s="65" t="inlineStr">
        <is>
          <t>FY2033E</t>
        </is>
      </c>
      <c r="K69" s="65" t="inlineStr">
        <is>
          <t>CAGR</t>
        </is>
      </c>
      <c r="L69" s="409" t="inlineStr">
        <is>
          <t>Source</t>
        </is>
      </c>
      <c r="M69" s="65" t="inlineStr">
        <is>
          <t>Conf.</t>
        </is>
      </c>
      <c r="N69" s="410" t="inlineStr">
        <is>
          <t>Notes / methodology</t>
        </is>
      </c>
      <c r="P69" s="707" t="inlineStr">
        <is>
          <t>Ref</t>
        </is>
      </c>
    </row>
    <row r="70">
      <c r="A70" s="69" t="inlineStr">
        <is>
          <t>Industry revenue</t>
        </is>
      </c>
      <c r="B70" s="78" t="inlineStr">
        <is>
          <t>Rs cr</t>
        </is>
      </c>
      <c r="C70" s="1022" t="n">
        <v>965221.5560000001</v>
      </c>
      <c r="D70" s="1022">
        <f>'Revenue Forecast'!D$96</f>
        <v/>
      </c>
      <c r="E70" s="1022">
        <f>'Revenue Forecast'!E$96</f>
        <v/>
      </c>
      <c r="F70" s="1022">
        <f>'Revenue Forecast'!F$96</f>
        <v/>
      </c>
      <c r="G70" s="1022">
        <f>'Revenue Forecast'!G$96</f>
        <v/>
      </c>
      <c r="H70" s="1022">
        <f>'Revenue Forecast'!H$96</f>
        <v/>
      </c>
      <c r="I70" s="1022">
        <f>'Revenue Forecast'!I$96</f>
        <v/>
      </c>
      <c r="J70" s="1022">
        <f>'Revenue Forecast'!J$96</f>
        <v/>
      </c>
      <c r="K70" s="138">
        <f>IFERROR(IF(AND(ISNUMBER(C70),ISNUMBER(J70),C70&gt;0),(J70/C70)^(1/7)-1,""),"")</f>
        <v/>
      </c>
      <c r="L70" s="344" t="inlineStr">
        <is>
          <t>12 Revenue</t>
        </is>
      </c>
      <c r="M70" s="352" t="inlineStr">
        <is>
          <t>Medium</t>
        </is>
      </c>
      <c r="N70" s="68" t="n"/>
      <c r="P70" s="708" t="inlineStr">
        <is>
          <t>WC05</t>
        </is>
      </c>
    </row>
    <row r="71" ht="36" customHeight="1" s="632">
      <c r="A71" s="69" t="inlineStr">
        <is>
          <t>Net working capital</t>
        </is>
      </c>
      <c r="B71" s="78" t="inlineStr">
        <is>
          <t>days of revenue</t>
        </is>
      </c>
      <c r="C71" s="1022" t="n">
        <v>45</v>
      </c>
      <c r="D71" s="1022">
        <f>'Model Assumptions'!E$25</f>
        <v/>
      </c>
      <c r="E71" s="1022">
        <f>'Model Assumptions'!F$25</f>
        <v/>
      </c>
      <c r="F71" s="1022">
        <f>'Model Assumptions'!G$25</f>
        <v/>
      </c>
      <c r="G71" s="1022">
        <f>'Model Assumptions'!H$25</f>
        <v/>
      </c>
      <c r="H71" s="1022">
        <f>'Model Assumptions'!I$25</f>
        <v/>
      </c>
      <c r="I71" s="1022">
        <f>'Model Assumptions'!J$25</f>
        <v/>
      </c>
      <c r="J71" s="1022">
        <f>'Model Assumptions'!K$25</f>
        <v/>
      </c>
      <c r="K71" s="83" t="n"/>
      <c r="L71" s="344" t="inlineStr">
        <is>
          <t>NOT SOURCED</t>
        </is>
      </c>
      <c r="M71" s="352" t="inlineStr">
        <is>
          <t>Low</t>
        </is>
      </c>
      <c r="N71" s="345" t="inlineStr">
        <is>
          <t>45 days base, 40 bull, 52 bear, 62 stress. A working capital BUILD in a downturn is a first-order cash flow risk, not a second-order one, which is why the stress flex is large.</t>
        </is>
      </c>
      <c r="P71" s="708" t="inlineStr">
        <is>
          <t>WC06</t>
        </is>
      </c>
    </row>
    <row r="72">
      <c r="A72" s="69" t="inlineStr">
        <is>
          <t>Net working capital</t>
        </is>
      </c>
      <c r="B72" s="78" t="inlineStr">
        <is>
          <t>Rs cr</t>
        </is>
      </c>
      <c r="C72" s="1022" t="n">
        <v>118999.9178630137</v>
      </c>
      <c r="D72" s="1022">
        <f>D70*D71/365</f>
        <v/>
      </c>
      <c r="E72" s="1022">
        <f>E70*E71/365</f>
        <v/>
      </c>
      <c r="F72" s="1022">
        <f>F70*F71/365</f>
        <v/>
      </c>
      <c r="G72" s="1022">
        <f>G70*G71/365</f>
        <v/>
      </c>
      <c r="H72" s="1022">
        <f>H70*H71/365</f>
        <v/>
      </c>
      <c r="I72" s="1022">
        <f>I70*I71/365</f>
        <v/>
      </c>
      <c r="J72" s="1022">
        <f>J70*J71/365</f>
        <v/>
      </c>
      <c r="K72" s="138">
        <f>IFERROR(IF(AND(ISNUMBER(C72),ISNUMBER(J72),C72&gt;0),(J72/C72)^(1/7)-1,""),"")</f>
        <v/>
      </c>
      <c r="L72" s="344" t="inlineStr">
        <is>
          <t>Computed</t>
        </is>
      </c>
      <c r="M72" s="352" t="inlineStr">
        <is>
          <t>Low</t>
        </is>
      </c>
      <c r="N72" s="68" t="n"/>
      <c r="P72" s="708" t="inlineStr">
        <is>
          <t>WC07</t>
        </is>
      </c>
    </row>
    <row r="73" ht="48" customHeight="1" s="632">
      <c r="A73" s="76" t="inlineStr">
        <is>
          <t>Change in net working capital</t>
        </is>
      </c>
      <c r="B73" s="78" t="inlineStr">
        <is>
          <t>Rs cr</t>
        </is>
      </c>
      <c r="C73" s="83" t="n"/>
      <c r="D73" s="1023">
        <f>D72-C72</f>
        <v/>
      </c>
      <c r="E73" s="1023">
        <f>E72-D72</f>
        <v/>
      </c>
      <c r="F73" s="1023">
        <f>F72-E72</f>
        <v/>
      </c>
      <c r="G73" s="1023">
        <f>G72-F72</f>
        <v/>
      </c>
      <c r="H73" s="1023">
        <f>H72-G72</f>
        <v/>
      </c>
      <c r="I73" s="1023">
        <f>I72-H72</f>
        <v/>
      </c>
      <c r="J73" s="1023">
        <f>J72-I72</f>
        <v/>
      </c>
      <c r="K73" s="83" t="n"/>
      <c r="L73" s="344" t="inlineStr">
        <is>
          <t>Computed</t>
        </is>
      </c>
      <c r="M73" s="352" t="inlineStr">
        <is>
          <t>Low</t>
        </is>
      </c>
      <c r="N73" s="345" t="inlineStr">
        <is>
          <t>Positive equals a cash OUTFLOW (working capital absorbed). Deducted on 16 Cash Flow. FY2027E is measured against the FY2026A NWC computed on the same days basis, so the first year is not distorted by a basis change.</t>
        </is>
      </c>
      <c r="P73" s="708" t="inlineStr">
        <is>
          <t>WC08</t>
        </is>
      </c>
    </row>
    <row r="74" ht="15" customHeight="1" s="632" thickBot="1">
      <c r="A74" s="72" t="inlineStr">
        <is>
          <t>NWC as % of revenue</t>
        </is>
      </c>
      <c r="B74" s="79" t="inlineStr">
        <is>
          <t>%</t>
        </is>
      </c>
      <c r="C74" s="910" t="n">
        <v>0.1232876712328767</v>
      </c>
      <c r="D74" s="910">
        <f>D72/D70</f>
        <v/>
      </c>
      <c r="E74" s="910">
        <f>E72/E70</f>
        <v/>
      </c>
      <c r="F74" s="910">
        <f>F72/F70</f>
        <v/>
      </c>
      <c r="G74" s="910">
        <f>G72/G70</f>
        <v/>
      </c>
      <c r="H74" s="910">
        <f>H72/H70</f>
        <v/>
      </c>
      <c r="I74" s="910">
        <f>I72/I70</f>
        <v/>
      </c>
      <c r="J74" s="910">
        <f>J72/J70</f>
        <v/>
      </c>
      <c r="K74" s="97" t="n"/>
      <c r="L74" s="346" t="inlineStr">
        <is>
          <t>Computed</t>
        </is>
      </c>
      <c r="M74" s="353" t="inlineStr">
        <is>
          <t>Low</t>
        </is>
      </c>
      <c r="N74" s="135" t="n"/>
      <c r="P74" s="708" t="inlineStr">
        <is>
          <t>WC09</t>
        </is>
      </c>
    </row>
    <row r="75"/>
    <row r="76">
      <c r="A76" s="393" t="inlineStr">
        <is>
          <t>ACTION REQUIRED. Derive receivable, inventory and payable days from each company's balance sheet and replace driver D18 before this model is used to support a financing or transaction.</t>
        </is>
      </c>
    </row>
  </sheetData>
  <mergeCells count="10">
    <mergeCell ref="A7:I7"/>
    <mergeCell ref="A2:E2"/>
    <mergeCell ref="A45:I45"/>
    <mergeCell ref="A17:I17"/>
    <mergeCell ref="A56:I56"/>
    <mergeCell ref="A76:N76"/>
    <mergeCell ref="A27:I27"/>
    <mergeCell ref="A5:N5"/>
    <mergeCell ref="A35:I35"/>
    <mergeCell ref="A1:N1"/>
  </mergeCells>
  <hyperlinks>
    <hyperlink ref="K9" location="'Audit Checks'!A511" tooltip="Open the reference register on 25 Audit Checks"/>
    <hyperlink ref="K10" location="'Audit Checks'!A511" tooltip="Open the reference register on 25 Audit Checks"/>
    <hyperlink ref="K11" location="'Audit Checks'!A511" tooltip="Open the reference register on 25 Audit Checks"/>
    <hyperlink ref="M19" location="'Audit Checks'!A511" tooltip="Open the reference register on 25 Audit Checks"/>
    <hyperlink ref="M20" location="'Audit Checks'!A511" tooltip="Open the reference register on 25 Audit Checks"/>
    <hyperlink ref="M21" location="'Audit Checks'!A511" tooltip="Open the reference register on 25 Audit Checks"/>
    <hyperlink ref="M22" location="'Audit Checks'!A511" tooltip="Open the reference register on 25 Audit Checks"/>
    <hyperlink ref="M23" location="'Audit Checks'!A511" tooltip="Open the reference register on 25 Audit Checks"/>
    <hyperlink ref="M24" location="'Audit Checks'!A511" tooltip="Open the reference register on 25 Audit Checks"/>
    <hyperlink ref="K29" location="'Audit Checks'!A511" tooltip="Open the reference register on 25 Audit Checks"/>
    <hyperlink ref="K30" location="'Audit Checks'!A511" tooltip="Open the reference register on 25 Audit Checks"/>
    <hyperlink ref="K31" location="'Audit Checks'!A511" tooltip="Open the reference register on 25 Audit Checks"/>
    <hyperlink ref="J39" location="'Audit Checks'!A511" tooltip="Open the reference register on 25 Audit Checks"/>
    <hyperlink ref="J40" location="'Audit Checks'!A511" tooltip="Open the reference register on 25 Audit Checks"/>
    <hyperlink ref="J41" location="'Audit Checks'!A511" tooltip="Open the reference register on 25 Audit Checks"/>
    <hyperlink ref="F53" location="'Audit Checks'!A511" tooltip="Open the reference register on 25 Audit Checks"/>
    <hyperlink ref="G64" location="'Audit Checks'!A511" tooltip="Open the reference register on 25 Audit Checks"/>
    <hyperlink ref="P70" location="'Audit Checks'!A511" tooltip="Open the reference register on 25 Audit Checks"/>
    <hyperlink ref="P71" location="'Audit Checks'!A511" tooltip="Open the reference register on 25 Audit Checks"/>
    <hyperlink ref="P72" location="'Audit Checks'!A511" tooltip="Open the reference register on 25 Audit Checks"/>
    <hyperlink ref="P73" location="'Audit Checks'!A511" tooltip="Open the reference register on 25 Audit Checks"/>
    <hyperlink ref="P74" location="'Audit Checks'!A511" tooltip="Open the reference register on 25 Audit Checks"/>
  </hyperlinks>
  <pageMargins left="0.7" right="0.7" top="0.75" bottom="0.75" header="0.3" footer="0.3"/>
  <drawing xmlns:r="http://schemas.openxmlformats.org/officeDocument/2006/relationships" r:id="rId1"/>
</worksheet>
</file>

<file path=xl/worksheets/sheet21.xml><?xml version="1.0" encoding="utf-8"?>
<worksheet xmlns="http://schemas.openxmlformats.org/spreadsheetml/2006/main">
  <sheetPr codeName="Sheet21">
    <tabColor rgb="FF002060"/>
    <outlinePr summaryBelow="1" summaryRight="1"/>
    <pageSetUpPr/>
  </sheetPr>
  <dimension ref="A1:P117"/>
  <sheetViews>
    <sheetView showGridLines="0" topLeftCell="A70" workbookViewId="0">
      <selection activeCell="A77" sqref="A77:I85"/>
    </sheetView>
  </sheetViews>
  <sheetFormatPr baseColWidth="8" defaultRowHeight="14.4"/>
  <cols>
    <col width="25.21875" customWidth="1" style="690" min="1" max="1"/>
    <col width="11.6640625" customWidth="1" style="690" min="2" max="2"/>
    <col width="11.5546875" customWidth="1" style="690" min="3" max="10"/>
    <col width="7" customWidth="1" style="632" min="7" max="7"/>
    <col width="9.109375" customWidth="1" style="690" min="11" max="11"/>
    <col width="16.5546875" customWidth="1" style="690" min="12" max="12"/>
    <col width="8.109375" customWidth="1" style="690" min="13" max="13"/>
    <col width="42.6640625" customWidth="1" style="690" min="14" max="14"/>
    <col width="8.88671875" customWidth="1" style="690" min="15" max="16384"/>
    <col width="7" customWidth="1" style="632" min="16" max="16"/>
  </cols>
  <sheetData>
    <row r="1" ht="25.8" customHeight="1" s="632">
      <c r="A1" s="365" t="inlineStr">
        <is>
          <t>CASH FLOW MODEL</t>
        </is>
      </c>
    </row>
    <row r="2">
      <c r="A2" s="494" t="inlineStr">
        <is>
          <t>Industry Financial Model  |  Indian Steel Industry  |  Horizon FY2027E-FY2033E  |  Base year FY2026A</t>
        </is>
      </c>
    </row>
    <row r="3">
      <c r="A3" s="415" t="n"/>
    </row>
    <row r="4">
      <c r="A4" s="411" t="inlineStr">
        <is>
          <t>OBJECTIVE</t>
        </is>
      </c>
    </row>
    <row r="5">
      <c r="A5" s="394" t="inlineStr">
        <is>
          <t>Forecast the industry's operating cash flow, investing cash flow, financing cash flow, and Free Cash Flow (FCFF).</t>
        </is>
      </c>
    </row>
    <row r="6">
      <c r="A6" s="394" t="n"/>
      <c r="B6" s="394" t="n"/>
      <c r="C6" s="394" t="n"/>
      <c r="D6" s="394" t="n"/>
      <c r="E6" s="394" t="n"/>
      <c r="F6" s="394" t="n"/>
      <c r="G6" s="394" t="n"/>
      <c r="H6" s="394" t="n"/>
      <c r="I6" s="394" t="n"/>
      <c r="J6" s="394" t="n"/>
      <c r="K6" s="394" t="n"/>
      <c r="L6" s="394" t="n"/>
      <c r="M6" s="394" t="n"/>
      <c r="N6" s="394" t="n"/>
    </row>
    <row r="7" ht="15.6" customHeight="1" s="632">
      <c r="A7" s="612" t="inlineStr">
        <is>
          <t>Executive Summary</t>
        </is>
      </c>
      <c r="J7" s="394" t="n"/>
      <c r="K7" s="394" t="n"/>
      <c r="L7" s="394" t="n"/>
      <c r="M7" s="394" t="n"/>
      <c r="N7" s="394" t="n"/>
    </row>
    <row r="8">
      <c r="A8" s="539" t="inlineStr">
        <is>
          <t>KPI</t>
        </is>
      </c>
      <c r="B8" s="544" t="inlineStr">
        <is>
          <t>FY26A</t>
        </is>
      </c>
      <c r="C8" s="544" t="inlineStr">
        <is>
          <t>FY27E</t>
        </is>
      </c>
      <c r="D8" s="544" t="inlineStr">
        <is>
          <t>FY28E</t>
        </is>
      </c>
      <c r="E8" s="544" t="inlineStr">
        <is>
          <t>FY29E</t>
        </is>
      </c>
      <c r="F8" s="544" t="inlineStr">
        <is>
          <t>FY30E</t>
        </is>
      </c>
      <c r="G8" s="544" t="inlineStr">
        <is>
          <t>FY31E</t>
        </is>
      </c>
      <c r="H8" s="544" t="inlineStr">
        <is>
          <t>FY32E</t>
        </is>
      </c>
      <c r="I8" s="544" t="inlineStr">
        <is>
          <t>FY33E</t>
        </is>
      </c>
      <c r="J8" s="394" t="n"/>
      <c r="K8" s="394" t="n"/>
      <c r="L8" s="394" t="n"/>
      <c r="M8" s="394" t="n"/>
      <c r="N8" s="394" t="n"/>
    </row>
    <row r="9">
      <c r="A9" s="670" t="inlineStr">
        <is>
          <t>EBITDA</t>
        </is>
      </c>
      <c r="B9" s="1098">
        <f>$C$96</f>
        <v/>
      </c>
      <c r="C9" s="1098">
        <f>$D$96</f>
        <v/>
      </c>
      <c r="D9" s="1098">
        <f>$E$96</f>
        <v/>
      </c>
      <c r="E9" s="1098">
        <f>$F$96</f>
        <v/>
      </c>
      <c r="F9" s="1098">
        <f>$G$96</f>
        <v/>
      </c>
      <c r="G9" s="1098">
        <f>$H$96</f>
        <v/>
      </c>
      <c r="H9" s="1098">
        <f>$I$96</f>
        <v/>
      </c>
      <c r="I9" s="1098">
        <f>$J$96</f>
        <v/>
      </c>
      <c r="J9" s="394" t="n"/>
      <c r="K9" s="394" t="n"/>
      <c r="L9" s="394" t="n"/>
      <c r="M9" s="394" t="n"/>
      <c r="N9" s="394" t="n"/>
    </row>
    <row r="10">
      <c r="A10" s="670" t="inlineStr">
        <is>
          <t>Operating Cash Flow</t>
        </is>
      </c>
      <c r="B10" s="1097">
        <f>C96-C102-C113</f>
        <v/>
      </c>
      <c r="C10" s="1097">
        <f>D96-D102-D113</f>
        <v/>
      </c>
      <c r="D10" s="1097">
        <f>E96-E102-E113</f>
        <v/>
      </c>
      <c r="E10" s="1097">
        <f>F96-F102-F113</f>
        <v/>
      </c>
      <c r="F10" s="1097">
        <f>G96-G102-G113</f>
        <v/>
      </c>
      <c r="G10" s="1097">
        <f>H96-H102-H113</f>
        <v/>
      </c>
      <c r="H10" s="1097">
        <f>I96-I102-I113</f>
        <v/>
      </c>
      <c r="I10" s="1097">
        <f>J96-J102-J113</f>
        <v/>
      </c>
      <c r="J10" s="394" t="n"/>
      <c r="K10" s="394" t="n"/>
      <c r="L10" s="394" t="n"/>
      <c r="M10" s="394" t="n"/>
      <c r="N10" s="394" t="n"/>
    </row>
    <row r="11">
      <c r="A11" s="670" t="inlineStr">
        <is>
          <t>Capex</t>
        </is>
      </c>
      <c r="B11" s="1098">
        <f>$C$110</f>
        <v/>
      </c>
      <c r="C11" s="1098">
        <f>$D$110</f>
        <v/>
      </c>
      <c r="D11" s="1098">
        <f>$E$110</f>
        <v/>
      </c>
      <c r="E11" s="1098">
        <f>$F$110</f>
        <v/>
      </c>
      <c r="F11" s="1098">
        <f>$G$110</f>
        <v/>
      </c>
      <c r="G11" s="1098">
        <f>$H$110</f>
        <v/>
      </c>
      <c r="H11" s="1098">
        <f>$I$110</f>
        <v/>
      </c>
      <c r="I11" s="1098">
        <f>$J$110</f>
        <v/>
      </c>
      <c r="J11" s="394" t="n"/>
      <c r="K11" s="394" t="n"/>
      <c r="L11" s="394" t="n"/>
      <c r="M11" s="394" t="n"/>
      <c r="N11" s="394" t="n"/>
    </row>
    <row r="12">
      <c r="A12" s="670" t="inlineStr">
        <is>
          <t>Free Cash Flow</t>
        </is>
      </c>
      <c r="B12" s="1098">
        <f>$C$114</f>
        <v/>
      </c>
      <c r="C12" s="1098">
        <f>$D$114</f>
        <v/>
      </c>
      <c r="D12" s="1098">
        <f>$E$114</f>
        <v/>
      </c>
      <c r="E12" s="1098">
        <f>$F$114</f>
        <v/>
      </c>
      <c r="F12" s="1098">
        <f>$G$114</f>
        <v/>
      </c>
      <c r="G12" s="1098">
        <f>$H$114</f>
        <v/>
      </c>
      <c r="H12" s="1098">
        <f>$I$114</f>
        <v/>
      </c>
      <c r="I12" s="1098">
        <f>$J$114</f>
        <v/>
      </c>
      <c r="J12" s="394" t="n"/>
      <c r="K12" s="394" t="n"/>
      <c r="L12" s="394" t="n"/>
      <c r="M12" s="394" t="n"/>
      <c r="N12" s="394" t="n"/>
    </row>
    <row r="13">
      <c r="A13" s="670" t="inlineStr">
        <is>
          <t>FCF Margin</t>
        </is>
      </c>
      <c r="B13" s="1090">
        <f>IFERROR(C114/C97,"")</f>
        <v/>
      </c>
      <c r="C13" s="1090">
        <f>IFERROR(D114/D97,"")</f>
        <v/>
      </c>
      <c r="D13" s="1090">
        <f>IFERROR(E114/E97,"")</f>
        <v/>
      </c>
      <c r="E13" s="1090">
        <f>IFERROR(F114/F97,"")</f>
        <v/>
      </c>
      <c r="F13" s="1090">
        <f>IFERROR(G114/G97,"")</f>
        <v/>
      </c>
      <c r="G13" s="1090">
        <f>IFERROR(H114/H97,"")</f>
        <v/>
      </c>
      <c r="H13" s="1090">
        <f>IFERROR(I114/I97,"")</f>
        <v/>
      </c>
      <c r="I13" s="1090">
        <f>IFERROR(J114/J97,"")</f>
        <v/>
      </c>
      <c r="J13" s="394" t="n"/>
      <c r="K13" s="394" t="n"/>
      <c r="L13" s="394" t="n"/>
      <c r="M13" s="394" t="n"/>
      <c r="N13" s="394" t="n"/>
    </row>
    <row r="14">
      <c r="A14" s="670" t="inlineStr">
        <is>
          <t>Cash Conversion</t>
        </is>
      </c>
      <c r="B14" s="1091">
        <f>$C$115</f>
        <v/>
      </c>
      <c r="C14" s="1091">
        <f>$D$115</f>
        <v/>
      </c>
      <c r="D14" s="1091">
        <f>$E$115</f>
        <v/>
      </c>
      <c r="E14" s="1091">
        <f>$F$115</f>
        <v/>
      </c>
      <c r="F14" s="1091">
        <f>$G$115</f>
        <v/>
      </c>
      <c r="G14" s="1091">
        <f>$H$115</f>
        <v/>
      </c>
      <c r="H14" s="1091">
        <f>$I$115</f>
        <v/>
      </c>
      <c r="I14" s="1091">
        <f>$J$115</f>
        <v/>
      </c>
      <c r="J14" s="394" t="n"/>
      <c r="K14" s="394" t="n"/>
      <c r="L14" s="394" t="n"/>
      <c r="M14" s="394" t="n"/>
      <c r="N14" s="394" t="n"/>
    </row>
    <row r="15">
      <c r="A15" s="670" t="inlineStr">
        <is>
          <t>Cumulative FCF</t>
        </is>
      </c>
      <c r="B15" s="1101">
        <f>C114</f>
        <v/>
      </c>
      <c r="C15" s="1101">
        <f>B15+D114</f>
        <v/>
      </c>
      <c r="D15" s="1101">
        <f>C15+E114</f>
        <v/>
      </c>
      <c r="E15" s="1101">
        <f>D15+F114</f>
        <v/>
      </c>
      <c r="F15" s="1101">
        <f>E15+G114</f>
        <v/>
      </c>
      <c r="G15" s="1101">
        <f>F15+H114</f>
        <v/>
      </c>
      <c r="H15" s="1101">
        <f>G15+I114</f>
        <v/>
      </c>
      <c r="I15" s="1101">
        <f>H15+J114</f>
        <v/>
      </c>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c r="A17" s="394" t="n"/>
      <c r="B17" s="394" t="n"/>
      <c r="C17" s="394" t="n"/>
      <c r="D17" s="394" t="n"/>
      <c r="E17" s="394" t="n"/>
      <c r="F17" s="394" t="n"/>
      <c r="G17" s="394" t="n"/>
      <c r="H17" s="394" t="n"/>
      <c r="I17" s="394" t="n"/>
      <c r="J17" s="394" t="n"/>
      <c r="K17" s="394" t="n"/>
      <c r="L17" s="394" t="n"/>
      <c r="M17" s="394" t="n"/>
      <c r="N17" s="394" t="n"/>
    </row>
    <row r="18" ht="15.6" customHeight="1" s="632">
      <c r="A18" s="612" t="inlineStr">
        <is>
          <t>Cash Flow Build-up</t>
        </is>
      </c>
      <c r="J18" s="394" t="n"/>
      <c r="K18" s="394" t="n"/>
      <c r="L18" s="394" t="n"/>
      <c r="M18" s="394" t="n"/>
      <c r="N18" s="394" t="n"/>
    </row>
    <row r="19">
      <c r="A19" s="539" t="inlineStr">
        <is>
          <t>Item</t>
        </is>
      </c>
      <c r="B19" s="544" t="inlineStr">
        <is>
          <t>FY26A</t>
        </is>
      </c>
      <c r="C19" s="544" t="inlineStr">
        <is>
          <t>FY27E</t>
        </is>
      </c>
      <c r="D19" s="544" t="inlineStr">
        <is>
          <t>FY28E</t>
        </is>
      </c>
      <c r="E19" s="544" t="inlineStr">
        <is>
          <t>FY29E</t>
        </is>
      </c>
      <c r="F19" s="544" t="inlineStr">
        <is>
          <t>FY30E</t>
        </is>
      </c>
      <c r="G19" s="544" t="inlineStr">
        <is>
          <t>FY31E</t>
        </is>
      </c>
      <c r="H19" s="544" t="inlineStr">
        <is>
          <t>FY32E</t>
        </is>
      </c>
      <c r="I19" s="544" t="inlineStr">
        <is>
          <t>FY33E</t>
        </is>
      </c>
      <c r="J19" s="394" t="n"/>
      <c r="K19" s="707" t="inlineStr">
        <is>
          <t>Ref</t>
        </is>
      </c>
      <c r="L19" s="394" t="n"/>
      <c r="M19" s="394" t="n"/>
      <c r="N19" s="394" t="n"/>
    </row>
    <row r="20">
      <c r="A20" s="670" t="inlineStr">
        <is>
          <t>EBITDA</t>
        </is>
      </c>
      <c r="B20" s="1098">
        <f>$C$96</f>
        <v/>
      </c>
      <c r="C20" s="1098">
        <f>$D$96</f>
        <v/>
      </c>
      <c r="D20" s="1098">
        <f>$E$96</f>
        <v/>
      </c>
      <c r="E20" s="1098">
        <f>$F$96</f>
        <v/>
      </c>
      <c r="F20" s="1098">
        <f>$G$96</f>
        <v/>
      </c>
      <c r="G20" s="1098">
        <f>$H$96</f>
        <v/>
      </c>
      <c r="H20" s="1098">
        <f>$I$96</f>
        <v/>
      </c>
      <c r="I20" s="1098">
        <f>$J$96</f>
        <v/>
      </c>
      <c r="J20" s="394" t="n"/>
      <c r="K20" s="394" t="n"/>
      <c r="L20" s="394" t="n"/>
      <c r="M20" s="394" t="n"/>
      <c r="N20" s="394" t="n"/>
    </row>
    <row r="21">
      <c r="A21" s="670" t="inlineStr">
        <is>
          <t>Less: Cash Taxes</t>
        </is>
      </c>
      <c r="B21" s="1097">
        <f>-C102</f>
        <v/>
      </c>
      <c r="C21" s="1097">
        <f>-D102</f>
        <v/>
      </c>
      <c r="D21" s="1097">
        <f>-E102</f>
        <v/>
      </c>
      <c r="E21" s="1097">
        <f>-F102</f>
        <v/>
      </c>
      <c r="F21" s="1097">
        <f>-G102</f>
        <v/>
      </c>
      <c r="G21" s="1097">
        <f>-H102</f>
        <v/>
      </c>
      <c r="H21" s="1097">
        <f>-I102</f>
        <v/>
      </c>
      <c r="I21" s="1097">
        <f>-J102</f>
        <v/>
      </c>
      <c r="J21" s="394" t="n"/>
      <c r="K21" s="394" t="n"/>
      <c r="L21" s="394" t="n"/>
      <c r="M21" s="394" t="n"/>
      <c r="N21" s="394" t="n"/>
    </row>
    <row r="22" ht="28.8" customHeight="1" s="632">
      <c r="A22" s="670" t="inlineStr">
        <is>
          <t>Less: Change in Working Capital</t>
        </is>
      </c>
      <c r="B22" s="1097">
        <f>-C113</f>
        <v/>
      </c>
      <c r="C22" s="1097">
        <f>-D113</f>
        <v/>
      </c>
      <c r="D22" s="1097">
        <f>-E113</f>
        <v/>
      </c>
      <c r="E22" s="1097">
        <f>-F113</f>
        <v/>
      </c>
      <c r="F22" s="1097">
        <f>-G113</f>
        <v/>
      </c>
      <c r="G22" s="1097">
        <f>-H113</f>
        <v/>
      </c>
      <c r="H22" s="1097">
        <f>-I113</f>
        <v/>
      </c>
      <c r="I22" s="1097">
        <f>-J113</f>
        <v/>
      </c>
      <c r="J22" s="394" t="n"/>
      <c r="K22" s="394" t="n"/>
      <c r="L22" s="394" t="n"/>
      <c r="M22" s="394" t="n"/>
      <c r="N22" s="394" t="n"/>
    </row>
    <row r="23">
      <c r="A23" s="489" t="inlineStr">
        <is>
          <t>Operating Cash Flow (OCF)</t>
        </is>
      </c>
      <c r="B23" s="1097">
        <f>B20+B21+B22</f>
        <v/>
      </c>
      <c r="C23" s="1097">
        <f>C20+C21+C22</f>
        <v/>
      </c>
      <c r="D23" s="1097">
        <f>D20+D21+D22</f>
        <v/>
      </c>
      <c r="E23" s="1097">
        <f>E20+E21+E22</f>
        <v/>
      </c>
      <c r="F23" s="1097">
        <f>F20+F21+F22</f>
        <v/>
      </c>
      <c r="G23" s="1097">
        <f>G20+G21+G22</f>
        <v/>
      </c>
      <c r="H23" s="1097">
        <f>H20+H21+H22</f>
        <v/>
      </c>
      <c r="I23" s="1097">
        <f>I20+I21+I22</f>
        <v/>
      </c>
      <c r="J23" s="394" t="n"/>
      <c r="K23" s="394" t="n"/>
      <c r="L23" s="394" t="n"/>
      <c r="M23" s="394" t="n"/>
      <c r="N23" s="394" t="n"/>
    </row>
    <row r="24">
      <c r="A24" s="670" t="inlineStr">
        <is>
          <t>Less: Maintenance Capex</t>
        </is>
      </c>
      <c r="B24" s="1097">
        <f>-C109</f>
        <v/>
      </c>
      <c r="C24" s="1097">
        <f>-D109</f>
        <v/>
      </c>
      <c r="D24" s="1097">
        <f>-E109</f>
        <v/>
      </c>
      <c r="E24" s="1097">
        <f>-F109</f>
        <v/>
      </c>
      <c r="F24" s="1097">
        <f>-G109</f>
        <v/>
      </c>
      <c r="G24" s="1097">
        <f>-H109</f>
        <v/>
      </c>
      <c r="H24" s="1097">
        <f>-I109</f>
        <v/>
      </c>
      <c r="I24" s="1097">
        <f>-J109</f>
        <v/>
      </c>
      <c r="J24" s="394" t="n"/>
      <c r="K24" s="394" t="n"/>
      <c r="L24" s="394" t="n"/>
      <c r="M24" s="394" t="n"/>
      <c r="N24" s="394" t="n"/>
    </row>
    <row r="25">
      <c r="A25" s="670" t="inlineStr">
        <is>
          <t>Less: Growth Capex</t>
        </is>
      </c>
      <c r="B25" s="1097">
        <f>-C107</f>
        <v/>
      </c>
      <c r="C25" s="1097">
        <f>-D107</f>
        <v/>
      </c>
      <c r="D25" s="1097">
        <f>-E107</f>
        <v/>
      </c>
      <c r="E25" s="1097">
        <f>-F107</f>
        <v/>
      </c>
      <c r="F25" s="1097">
        <f>-G107</f>
        <v/>
      </c>
      <c r="G25" s="1097">
        <f>-H107</f>
        <v/>
      </c>
      <c r="H25" s="1097">
        <f>-I107</f>
        <v/>
      </c>
      <c r="I25" s="1097">
        <f>-J107</f>
        <v/>
      </c>
      <c r="J25" s="394" t="n"/>
      <c r="K25" s="394" t="n"/>
      <c r="L25" s="394" t="n"/>
      <c r="M25" s="394" t="n"/>
      <c r="N25" s="394" t="n"/>
    </row>
    <row r="26">
      <c r="A26" s="489" t="inlineStr">
        <is>
          <t>Free Cash Flow (FCFF)</t>
        </is>
      </c>
      <c r="B26" s="1101">
        <f>B23+B24+B25</f>
        <v/>
      </c>
      <c r="C26" s="1101">
        <f>C23+C24+C25</f>
        <v/>
      </c>
      <c r="D26" s="1101">
        <f>D23+D24+D25</f>
        <v/>
      </c>
      <c r="E26" s="1101">
        <f>E23+E24+E25</f>
        <v/>
      </c>
      <c r="F26" s="1101">
        <f>F23+F24+F25</f>
        <v/>
      </c>
      <c r="G26" s="1101">
        <f>G23+G24+G25</f>
        <v/>
      </c>
      <c r="H26" s="1101">
        <f>H23+H24+H25</f>
        <v/>
      </c>
      <c r="I26" s="1101">
        <f>I23+I24+I25</f>
        <v/>
      </c>
      <c r="J26" s="394" t="n"/>
      <c r="K26" s="708" t="inlineStr">
        <is>
          <t>CX01</t>
        </is>
      </c>
      <c r="L26" s="394" t="n"/>
      <c r="M26" s="394" t="n"/>
      <c r="N26" s="394" t="n"/>
    </row>
    <row r="27">
      <c r="A27" s="394" t="n"/>
      <c r="B27" s="394" t="n"/>
      <c r="C27" s="394" t="n"/>
      <c r="D27" s="394" t="n"/>
      <c r="E27" s="394" t="n"/>
      <c r="F27" s="394" t="n"/>
      <c r="G27" s="394" t="n"/>
      <c r="H27" s="394" t="n"/>
      <c r="I27" s="394" t="n"/>
      <c r="J27" s="394" t="n"/>
      <c r="K27" s="394" t="n"/>
      <c r="L27" s="394" t="n"/>
      <c r="M27" s="394" t="n"/>
      <c r="N27" s="394" t="n"/>
    </row>
    <row r="28">
      <c r="A28" s="394" t="n"/>
      <c r="B28" s="394" t="n"/>
      <c r="C28" s="394" t="n"/>
      <c r="D28" s="394" t="n"/>
      <c r="E28" s="394" t="n"/>
      <c r="F28" s="394" t="n"/>
      <c r="G28" s="394" t="n"/>
      <c r="H28" s="394" t="n"/>
      <c r="I28" s="394" t="n"/>
      <c r="J28" s="394" t="n"/>
      <c r="K28" s="394" t="n"/>
      <c r="L28" s="394" t="n"/>
      <c r="M28" s="394" t="n"/>
      <c r="N28" s="394" t="n"/>
    </row>
    <row r="29" ht="15.6" customHeight="1" s="632">
      <c r="A29" s="612" t="inlineStr">
        <is>
          <t>Operating Cash Flow</t>
        </is>
      </c>
      <c r="J29" s="394" t="n"/>
      <c r="K29" s="394" t="n"/>
      <c r="L29" s="394" t="n"/>
      <c r="M29" s="394" t="n"/>
      <c r="N29" s="394" t="n"/>
    </row>
    <row r="30">
      <c r="A30" s="539" t="inlineStr">
        <is>
          <t>Item</t>
        </is>
      </c>
      <c r="B30" s="544" t="inlineStr">
        <is>
          <t>FY26A</t>
        </is>
      </c>
      <c r="C30" s="544" t="inlineStr">
        <is>
          <t>FY27E</t>
        </is>
      </c>
      <c r="D30" s="544" t="inlineStr">
        <is>
          <t>FY28E</t>
        </is>
      </c>
      <c r="E30" s="544" t="inlineStr">
        <is>
          <t>FY29E</t>
        </is>
      </c>
      <c r="F30" s="544" t="inlineStr">
        <is>
          <t>FY30E</t>
        </is>
      </c>
      <c r="G30" s="544" t="inlineStr">
        <is>
          <t>FY31E</t>
        </is>
      </c>
      <c r="H30" s="544" t="inlineStr">
        <is>
          <t>FY32E</t>
        </is>
      </c>
      <c r="I30" s="544" t="inlineStr">
        <is>
          <t>FY33E</t>
        </is>
      </c>
      <c r="J30" s="394" t="n"/>
      <c r="K30" s="394" t="n"/>
      <c r="L30" s="394" t="n"/>
      <c r="M30" s="394" t="n"/>
      <c r="N30" s="394" t="n"/>
    </row>
    <row r="31">
      <c r="A31" s="670" t="inlineStr">
        <is>
          <t>EBITDA</t>
        </is>
      </c>
      <c r="B31" s="1098">
        <f>$C$96</f>
        <v/>
      </c>
      <c r="C31" s="1098">
        <f>$D$96</f>
        <v/>
      </c>
      <c r="D31" s="1098">
        <f>$E$96</f>
        <v/>
      </c>
      <c r="E31" s="1098">
        <f>$F$96</f>
        <v/>
      </c>
      <c r="F31" s="1098">
        <f>$G$96</f>
        <v/>
      </c>
      <c r="G31" s="1098">
        <f>$H$96</f>
        <v/>
      </c>
      <c r="H31" s="1098">
        <f>$I$96</f>
        <v/>
      </c>
      <c r="I31" s="1098">
        <f>$J$96</f>
        <v/>
      </c>
      <c r="J31" s="394" t="n"/>
      <c r="K31" s="394" t="n"/>
      <c r="L31" s="394" t="n"/>
      <c r="M31" s="394" t="n"/>
      <c r="N31" s="394" t="n"/>
    </row>
    <row r="32">
      <c r="A32" s="670" t="inlineStr">
        <is>
          <t>Cash Taxes</t>
        </is>
      </c>
      <c r="B32" s="1097">
        <f>-C102</f>
        <v/>
      </c>
      <c r="C32" s="1097">
        <f>-D102</f>
        <v/>
      </c>
      <c r="D32" s="1097">
        <f>-E102</f>
        <v/>
      </c>
      <c r="E32" s="1097">
        <f>-F102</f>
        <v/>
      </c>
      <c r="F32" s="1097">
        <f>-G102</f>
        <v/>
      </c>
      <c r="G32" s="1097">
        <f>-H102</f>
        <v/>
      </c>
      <c r="H32" s="1097">
        <f>-I102</f>
        <v/>
      </c>
      <c r="I32" s="1097">
        <f>-J102</f>
        <v/>
      </c>
      <c r="J32" s="394" t="n"/>
      <c r="K32" s="394" t="n"/>
      <c r="L32" s="394" t="n"/>
      <c r="M32" s="394" t="n"/>
      <c r="N32" s="394" t="n"/>
    </row>
    <row r="33">
      <c r="A33" s="670" t="inlineStr">
        <is>
          <t>Working Capital Movement</t>
        </is>
      </c>
      <c r="B33" s="1097">
        <f>-C113</f>
        <v/>
      </c>
      <c r="C33" s="1097">
        <f>-D113</f>
        <v/>
      </c>
      <c r="D33" s="1097">
        <f>-E113</f>
        <v/>
      </c>
      <c r="E33" s="1097">
        <f>-F113</f>
        <v/>
      </c>
      <c r="F33" s="1097">
        <f>-G113</f>
        <v/>
      </c>
      <c r="G33" s="1097">
        <f>-H113</f>
        <v/>
      </c>
      <c r="H33" s="1097">
        <f>-I113</f>
        <v/>
      </c>
      <c r="I33" s="1097">
        <f>-J113</f>
        <v/>
      </c>
      <c r="J33" s="394" t="n"/>
      <c r="K33" s="394" t="n"/>
      <c r="L33" s="394" t="n"/>
      <c r="M33" s="394" t="n"/>
      <c r="N33" s="394" t="n"/>
    </row>
    <row r="34">
      <c r="A34" s="670" t="inlineStr">
        <is>
          <t>Other Operating Cash Items</t>
        </is>
      </c>
      <c r="B34" s="1102" t="n">
        <v>0</v>
      </c>
      <c r="C34" s="1102" t="n">
        <v>0</v>
      </c>
      <c r="D34" s="1102" t="n">
        <v>0</v>
      </c>
      <c r="E34" s="1102" t="n">
        <v>0</v>
      </c>
      <c r="F34" s="1102" t="n">
        <v>0</v>
      </c>
      <c r="G34" s="1102" t="n">
        <v>0</v>
      </c>
      <c r="H34" s="1102" t="n">
        <v>0</v>
      </c>
      <c r="I34" s="1102" t="n">
        <v>0</v>
      </c>
      <c r="J34" s="394" t="n"/>
      <c r="K34" s="394" t="n"/>
      <c r="L34" s="394" t="n"/>
      <c r="M34" s="394" t="n"/>
      <c r="N34" s="394" t="n"/>
    </row>
    <row r="35">
      <c r="A35" s="489" t="inlineStr">
        <is>
          <t>Operating Cash Flow</t>
        </is>
      </c>
      <c r="B35" s="1101">
        <f>SUM(B31:B34)</f>
        <v/>
      </c>
      <c r="C35" s="1101">
        <f>SUM(C31:C34)</f>
        <v/>
      </c>
      <c r="D35" s="1101">
        <f>SUM(D31:D34)</f>
        <v/>
      </c>
      <c r="E35" s="1101">
        <f>SUM(E31:E34)</f>
        <v/>
      </c>
      <c r="F35" s="1101">
        <f>SUM(F31:F34)</f>
        <v/>
      </c>
      <c r="G35" s="1101">
        <f>SUM(G31:G34)</f>
        <v/>
      </c>
      <c r="H35" s="1101">
        <f>SUM(H31:H34)</f>
        <v/>
      </c>
      <c r="I35" s="1097">
        <f>SUM(I31:I34)</f>
        <v/>
      </c>
      <c r="J35" s="394" t="n"/>
      <c r="K35" s="394" t="n"/>
      <c r="L35" s="394" t="n"/>
      <c r="M35" s="394" t="n"/>
      <c r="N35" s="394" t="n"/>
    </row>
    <row r="36">
      <c r="A36" s="394" t="n"/>
      <c r="B36" s="394" t="n"/>
      <c r="C36" s="394" t="n"/>
      <c r="D36" s="394" t="n"/>
      <c r="E36" s="394" t="n"/>
      <c r="F36" s="394" t="n"/>
      <c r="G36" s="394" t="n"/>
      <c r="H36" s="394" t="n"/>
      <c r="I36" s="394" t="n"/>
      <c r="J36" s="394" t="n"/>
      <c r="K36" s="394" t="n"/>
      <c r="L36" s="394" t="n"/>
      <c r="M36" s="394" t="n"/>
      <c r="N36" s="394" t="n"/>
    </row>
    <row r="37">
      <c r="A37" s="394" t="n"/>
      <c r="B37" s="394" t="n"/>
      <c r="C37" s="394" t="n"/>
      <c r="D37" s="394" t="n"/>
      <c r="E37" s="394" t="n"/>
      <c r="F37" s="394" t="n"/>
      <c r="G37" s="394" t="n"/>
      <c r="H37" s="394" t="n"/>
      <c r="I37" s="394" t="n"/>
      <c r="J37" s="394" t="n"/>
      <c r="K37" s="394" t="n"/>
      <c r="L37" s="394" t="n"/>
      <c r="M37" s="394" t="n"/>
      <c r="N37" s="394" t="n"/>
    </row>
    <row r="38" ht="15.6" customHeight="1" s="632">
      <c r="A38" s="612" t="inlineStr">
        <is>
          <t>Investing Cash Flow</t>
        </is>
      </c>
      <c r="J38" s="394" t="n"/>
      <c r="K38" s="394" t="n"/>
      <c r="L38" s="394" t="n"/>
      <c r="M38" s="394" t="n"/>
      <c r="N38" s="394" t="n"/>
    </row>
    <row r="39">
      <c r="A39" s="539" t="inlineStr">
        <is>
          <t>Item</t>
        </is>
      </c>
      <c r="B39" s="544" t="inlineStr">
        <is>
          <t>FY26A</t>
        </is>
      </c>
      <c r="C39" s="544" t="inlineStr">
        <is>
          <t>FY27E</t>
        </is>
      </c>
      <c r="D39" s="544" t="inlineStr">
        <is>
          <t>FY28E</t>
        </is>
      </c>
      <c r="E39" s="544" t="inlineStr">
        <is>
          <t>FY29E</t>
        </is>
      </c>
      <c r="F39" s="544" t="inlineStr">
        <is>
          <t>FY30E</t>
        </is>
      </c>
      <c r="G39" s="544" t="inlineStr">
        <is>
          <t>FY31E</t>
        </is>
      </c>
      <c r="H39" s="544" t="inlineStr">
        <is>
          <t>FY32E</t>
        </is>
      </c>
      <c r="I39" s="544" t="inlineStr">
        <is>
          <t>FY33E</t>
        </is>
      </c>
      <c r="J39" s="394" t="n"/>
      <c r="K39" s="394" t="n"/>
      <c r="L39" s="394" t="n"/>
      <c r="M39" s="394" t="n"/>
      <c r="N39" s="394" t="n"/>
    </row>
    <row r="40">
      <c r="A40" s="670" t="inlineStr">
        <is>
          <t>Maintenance Capex</t>
        </is>
      </c>
      <c r="B40" s="1097">
        <f>-C109</f>
        <v/>
      </c>
      <c r="C40" s="1097">
        <f>-D109</f>
        <v/>
      </c>
      <c r="D40" s="1097">
        <f>-E109</f>
        <v/>
      </c>
      <c r="E40" s="1097">
        <f>-F109</f>
        <v/>
      </c>
      <c r="F40" s="1097">
        <f>-G109</f>
        <v/>
      </c>
      <c r="G40" s="1097">
        <f>-H109</f>
        <v/>
      </c>
      <c r="H40" s="1097">
        <f>-I109</f>
        <v/>
      </c>
      <c r="I40" s="1097">
        <f>-J109</f>
        <v/>
      </c>
      <c r="J40" s="394" t="n"/>
      <c r="K40" s="394" t="n"/>
      <c r="L40" s="394" t="n"/>
      <c r="M40" s="394" t="n"/>
      <c r="N40" s="394" t="n"/>
    </row>
    <row r="41">
      <c r="A41" s="670" t="inlineStr">
        <is>
          <t>Expansion Capex</t>
        </is>
      </c>
      <c r="B41" s="1097">
        <f>-C107</f>
        <v/>
      </c>
      <c r="C41" s="1097">
        <f>-D107</f>
        <v/>
      </c>
      <c r="D41" s="1097">
        <f>-E107</f>
        <v/>
      </c>
      <c r="E41" s="1097">
        <f>-F107</f>
        <v/>
      </c>
      <c r="F41" s="1097">
        <f>-G107</f>
        <v/>
      </c>
      <c r="G41" s="1097">
        <f>-H107</f>
        <v/>
      </c>
      <c r="H41" s="1097">
        <f>-I107</f>
        <v/>
      </c>
      <c r="I41" s="1097">
        <f>-J107</f>
        <v/>
      </c>
      <c r="J41" s="394" t="n"/>
      <c r="K41" s="394" t="n"/>
      <c r="L41" s="394" t="n"/>
      <c r="M41" s="394" t="n"/>
      <c r="N41" s="394" t="n"/>
    </row>
    <row r="42">
      <c r="A42" s="670" t="inlineStr">
        <is>
          <t>Plant Upgrades</t>
        </is>
      </c>
      <c r="B42" s="1102" t="n">
        <v>0</v>
      </c>
      <c r="C42" s="1102" t="n">
        <v>0</v>
      </c>
      <c r="D42" s="1102" t="n">
        <v>0</v>
      </c>
      <c r="E42" s="1102" t="n">
        <v>0</v>
      </c>
      <c r="F42" s="1102" t="n">
        <v>0</v>
      </c>
      <c r="G42" s="1102" t="n">
        <v>0</v>
      </c>
      <c r="H42" s="1102" t="n">
        <v>0</v>
      </c>
      <c r="I42" s="1102" t="n">
        <v>0</v>
      </c>
      <c r="J42" s="394" t="n"/>
      <c r="K42" s="394" t="n"/>
      <c r="L42" s="394" t="n"/>
      <c r="M42" s="394" t="n"/>
      <c r="N42" s="394" t="n"/>
    </row>
    <row r="43">
      <c r="A43" s="670" t="inlineStr">
        <is>
          <t>Other Investments</t>
        </is>
      </c>
      <c r="B43" s="1102" t="n">
        <v>0</v>
      </c>
      <c r="C43" s="1102" t="n">
        <v>0</v>
      </c>
      <c r="D43" s="1102" t="n">
        <v>0</v>
      </c>
      <c r="E43" s="1102" t="n">
        <v>0</v>
      </c>
      <c r="F43" s="1102" t="n">
        <v>0</v>
      </c>
      <c r="G43" s="1102" t="n">
        <v>0</v>
      </c>
      <c r="H43" s="1102" t="n">
        <v>0</v>
      </c>
      <c r="I43" s="1102" t="n">
        <v>0</v>
      </c>
      <c r="J43" s="394" t="n"/>
      <c r="K43" s="394" t="n"/>
      <c r="L43" s="394" t="n"/>
      <c r="M43" s="394" t="n"/>
      <c r="N43" s="394" t="n"/>
    </row>
    <row r="44">
      <c r="A44" s="489" t="inlineStr">
        <is>
          <t>Total Investing Cash Flow</t>
        </is>
      </c>
      <c r="B44" s="1101">
        <f>SUM(B40:B43)</f>
        <v/>
      </c>
      <c r="C44" s="1101">
        <f>SUM(C40:C43)</f>
        <v/>
      </c>
      <c r="D44" s="1101">
        <f>SUM(D40:D43)</f>
        <v/>
      </c>
      <c r="E44" s="1101">
        <f>SUM(E40:E43)</f>
        <v/>
      </c>
      <c r="F44" s="1101">
        <f>SUM(F40:F43)</f>
        <v/>
      </c>
      <c r="G44" s="1101">
        <f>SUM(G40:G43)</f>
        <v/>
      </c>
      <c r="H44" s="1101">
        <f>SUM(H40:H43)</f>
        <v/>
      </c>
      <c r="I44" s="1097">
        <f>SUM(I40:I43)</f>
        <v/>
      </c>
      <c r="J44" s="394" t="n"/>
      <c r="K44" s="394" t="n"/>
      <c r="L44" s="394" t="n"/>
      <c r="M44" s="394" t="n"/>
      <c r="N44" s="394" t="n"/>
    </row>
    <row r="45">
      <c r="A45" s="394" t="n"/>
      <c r="B45" s="394" t="n"/>
      <c r="C45" s="394" t="n"/>
      <c r="D45" s="394" t="n"/>
      <c r="E45" s="394" t="n"/>
      <c r="F45" s="394" t="n"/>
      <c r="G45" s="394" t="n"/>
      <c r="H45" s="394" t="n"/>
      <c r="I45" s="394" t="n"/>
      <c r="J45" s="394" t="n"/>
      <c r="K45" s="394" t="n"/>
      <c r="L45" s="394" t="n"/>
      <c r="M45" s="394" t="n"/>
      <c r="N45" s="394" t="n"/>
    </row>
    <row r="46">
      <c r="A46" s="394" t="n"/>
      <c r="B46" s="394" t="n"/>
      <c r="C46" s="394" t="n"/>
      <c r="D46" s="394" t="n"/>
      <c r="E46" s="394" t="n"/>
      <c r="F46" s="394" t="n"/>
      <c r="G46" s="394" t="n"/>
      <c r="H46" s="394" t="n"/>
      <c r="I46" s="394" t="n"/>
      <c r="J46" s="394" t="n"/>
      <c r="K46" s="394" t="n"/>
      <c r="L46" s="394" t="n"/>
      <c r="M46" s="394" t="n"/>
      <c r="N46" s="394" t="n"/>
    </row>
    <row r="47" ht="15.6" customHeight="1" s="632">
      <c r="A47" s="612" t="inlineStr">
        <is>
          <t>Financing Cash Flow</t>
        </is>
      </c>
      <c r="J47" s="394" t="n"/>
      <c r="K47" s="394" t="n"/>
      <c r="L47" s="394" t="n"/>
      <c r="M47" s="394" t="n"/>
      <c r="N47" s="394" t="n"/>
    </row>
    <row r="48">
      <c r="A48" s="539" t="inlineStr">
        <is>
          <t>Item</t>
        </is>
      </c>
      <c r="B48" s="544" t="inlineStr">
        <is>
          <t>FY26A</t>
        </is>
      </c>
      <c r="C48" s="544" t="inlineStr">
        <is>
          <t>FY27E</t>
        </is>
      </c>
      <c r="D48" s="544" t="inlineStr">
        <is>
          <t>FY28E</t>
        </is>
      </c>
      <c r="E48" s="544" t="inlineStr">
        <is>
          <t>FY29E</t>
        </is>
      </c>
      <c r="F48" s="544" t="inlineStr">
        <is>
          <t>FY30E</t>
        </is>
      </c>
      <c r="G48" s="544" t="inlineStr">
        <is>
          <t>FY31E</t>
        </is>
      </c>
      <c r="H48" s="544" t="inlineStr">
        <is>
          <t>FY32E</t>
        </is>
      </c>
      <c r="I48" s="544" t="inlineStr">
        <is>
          <t>FY33E</t>
        </is>
      </c>
      <c r="J48" s="394" t="n"/>
      <c r="K48" s="707" t="inlineStr">
        <is>
          <t>Ref</t>
        </is>
      </c>
      <c r="L48" s="394" t="n"/>
      <c r="M48" s="394" t="n"/>
      <c r="N48" s="394" t="n"/>
    </row>
    <row r="49">
      <c r="A49" s="670" t="inlineStr">
        <is>
          <t>Debt Raised</t>
        </is>
      </c>
      <c r="B49" s="1102" t="n">
        <v>0</v>
      </c>
      <c r="C49" s="1102" t="n">
        <v>0</v>
      </c>
      <c r="D49" s="1102" t="n">
        <v>0</v>
      </c>
      <c r="E49" s="1102" t="n">
        <v>0</v>
      </c>
      <c r="F49" s="1102" t="n">
        <v>0</v>
      </c>
      <c r="G49" s="1102" t="n">
        <v>0</v>
      </c>
      <c r="H49" s="1102" t="n">
        <v>0</v>
      </c>
      <c r="I49" s="1102" t="n">
        <v>0</v>
      </c>
      <c r="J49" s="394" t="n"/>
      <c r="K49" s="708" t="inlineStr">
        <is>
          <t>CX02</t>
        </is>
      </c>
      <c r="L49" s="394" t="n"/>
      <c r="M49" s="394" t="n"/>
      <c r="N49" s="394" t="n"/>
    </row>
    <row r="50">
      <c r="A50" s="670" t="inlineStr">
        <is>
          <t>Debt Repaid</t>
        </is>
      </c>
      <c r="B50" s="1102" t="n">
        <v>0</v>
      </c>
      <c r="C50" s="1102" t="n">
        <v>0</v>
      </c>
      <c r="D50" s="1102" t="n">
        <v>0</v>
      </c>
      <c r="E50" s="1102" t="n">
        <v>0</v>
      </c>
      <c r="F50" s="1102" t="n">
        <v>0</v>
      </c>
      <c r="G50" s="1102" t="n">
        <v>0</v>
      </c>
      <c r="H50" s="1102" t="n">
        <v>0</v>
      </c>
      <c r="I50" s="1102" t="n">
        <v>0</v>
      </c>
      <c r="J50" s="394" t="n"/>
      <c r="K50" s="708" t="inlineStr">
        <is>
          <t>CX02</t>
        </is>
      </c>
      <c r="L50" s="394" t="n"/>
      <c r="M50" s="394" t="n"/>
      <c r="N50" s="394" t="n"/>
    </row>
    <row r="51">
      <c r="A51" s="670" t="inlineStr">
        <is>
          <t>Interest Paid</t>
        </is>
      </c>
      <c r="B51" s="1102" t="n">
        <v>0</v>
      </c>
      <c r="C51" s="1097">
        <f>-'Capital Allocation'!D79</f>
        <v/>
      </c>
      <c r="D51" s="1097">
        <f>-'Capital Allocation'!E79</f>
        <v/>
      </c>
      <c r="E51" s="1097">
        <f>-'Capital Allocation'!F79</f>
        <v/>
      </c>
      <c r="F51" s="1097">
        <f>-'Capital Allocation'!G79</f>
        <v/>
      </c>
      <c r="G51" s="1097">
        <f>-'Capital Allocation'!H79</f>
        <v/>
      </c>
      <c r="H51" s="1097">
        <f>-'Capital Allocation'!I79</f>
        <v/>
      </c>
      <c r="I51" s="1097">
        <f>-'Capital Allocation'!J79</f>
        <v/>
      </c>
      <c r="J51" s="394" t="n"/>
      <c r="K51" s="708" t="inlineStr">
        <is>
          <t>CX03</t>
        </is>
      </c>
      <c r="L51" s="394" t="n"/>
      <c r="M51" s="394" t="n"/>
      <c r="N51" s="394" t="n"/>
    </row>
    <row r="52">
      <c r="A52" s="670" t="inlineStr">
        <is>
          <t>Dividends</t>
        </is>
      </c>
      <c r="B52" s="1102" t="n">
        <v>0</v>
      </c>
      <c r="C52" s="1102" t="n">
        <v>0</v>
      </c>
      <c r="D52" s="1102" t="n">
        <v>0</v>
      </c>
      <c r="E52" s="1102" t="n">
        <v>0</v>
      </c>
      <c r="F52" s="1102" t="n">
        <v>0</v>
      </c>
      <c r="G52" s="1102" t="n">
        <v>0</v>
      </c>
      <c r="H52" s="1102" t="n">
        <v>0</v>
      </c>
      <c r="I52" s="1102" t="n">
        <v>0</v>
      </c>
      <c r="J52" s="394" t="n"/>
      <c r="K52" s="708" t="inlineStr">
        <is>
          <t>CX02</t>
        </is>
      </c>
      <c r="L52" s="394" t="n"/>
      <c r="M52" s="394" t="n"/>
      <c r="N52" s="394" t="n"/>
    </row>
    <row r="53">
      <c r="A53" s="670" t="inlineStr">
        <is>
          <t>Share Buybacks</t>
        </is>
      </c>
      <c r="B53" s="1102" t="n">
        <v>0</v>
      </c>
      <c r="C53" s="1102" t="n">
        <v>0</v>
      </c>
      <c r="D53" s="1102" t="n">
        <v>0</v>
      </c>
      <c r="E53" s="1102" t="n">
        <v>0</v>
      </c>
      <c r="F53" s="1102" t="n">
        <v>0</v>
      </c>
      <c r="G53" s="1102" t="n">
        <v>0</v>
      </c>
      <c r="H53" s="1102" t="n">
        <v>0</v>
      </c>
      <c r="I53" s="1102" t="n">
        <v>0</v>
      </c>
      <c r="J53" s="394" t="n"/>
      <c r="K53" s="708" t="inlineStr">
        <is>
          <t>CX02</t>
        </is>
      </c>
      <c r="L53" s="394" t="n"/>
      <c r="M53" s="394" t="n"/>
      <c r="N53" s="394" t="n"/>
    </row>
    <row r="54">
      <c r="A54" s="670" t="inlineStr">
        <is>
          <t>Equity Raised</t>
        </is>
      </c>
      <c r="B54" s="1102" t="n">
        <v>0</v>
      </c>
      <c r="C54" s="1102" t="n">
        <v>0</v>
      </c>
      <c r="D54" s="1102" t="n">
        <v>0</v>
      </c>
      <c r="E54" s="1102" t="n">
        <v>0</v>
      </c>
      <c r="F54" s="1102" t="n">
        <v>0</v>
      </c>
      <c r="G54" s="1102" t="n">
        <v>0</v>
      </c>
      <c r="H54" s="1102" t="n">
        <v>0</v>
      </c>
      <c r="I54" s="1102" t="n">
        <v>0</v>
      </c>
      <c r="J54" s="394" t="n"/>
      <c r="K54" s="708" t="inlineStr">
        <is>
          <t>CX02</t>
        </is>
      </c>
      <c r="L54" s="394" t="n"/>
      <c r="M54" s="394" t="n"/>
      <c r="N54" s="394" t="n"/>
    </row>
    <row r="55">
      <c r="A55" s="489" t="inlineStr">
        <is>
          <t>Net Financing Cash Flow</t>
        </is>
      </c>
      <c r="B55" s="1101">
        <f>SUM(B49:B54)</f>
        <v/>
      </c>
      <c r="C55" s="1101">
        <f>SUM(C49:C54)</f>
        <v/>
      </c>
      <c r="D55" s="1101">
        <f>SUM(D49:D54)</f>
        <v/>
      </c>
      <c r="E55" s="1101">
        <f>SUM(E49:E54)</f>
        <v/>
      </c>
      <c r="F55" s="1101">
        <f>SUM(F49:F54)</f>
        <v/>
      </c>
      <c r="G55" s="1101">
        <f>SUM(G49:G54)</f>
        <v/>
      </c>
      <c r="H55" s="1101">
        <f>SUM(H49:H54)</f>
        <v/>
      </c>
      <c r="I55" s="1097">
        <f>SUM(I49:I54)</f>
        <v/>
      </c>
      <c r="J55" s="394" t="n"/>
      <c r="K55" s="708" t="inlineStr">
        <is>
          <t>CX02</t>
        </is>
      </c>
      <c r="L55" s="394" t="n"/>
      <c r="M55" s="394" t="n"/>
      <c r="N55" s="394" t="n"/>
    </row>
    <row r="56">
      <c r="A56" s="678" t="n"/>
      <c r="I56" s="683" t="n"/>
      <c r="J56" s="394" t="n"/>
      <c r="K56" s="394" t="n"/>
      <c r="L56" s="394" t="n"/>
      <c r="M56" s="394" t="n"/>
      <c r="N56" s="394" t="n"/>
    </row>
    <row r="57">
      <c r="A57" s="678" t="n"/>
      <c r="I57" s="683" t="n"/>
      <c r="J57" s="394" t="n"/>
      <c r="K57" s="394" t="n"/>
      <c r="L57" s="394" t="n"/>
      <c r="M57" s="394" t="n"/>
      <c r="N57" s="394" t="n"/>
    </row>
    <row r="58" ht="15.6" customHeight="1" s="632">
      <c r="A58" s="612" t="inlineStr">
        <is>
          <t>Free Cash Flow Bridge</t>
        </is>
      </c>
      <c r="J58" s="394" t="n"/>
      <c r="K58" s="394" t="n"/>
      <c r="L58" s="394" t="n"/>
      <c r="M58" s="394" t="n"/>
      <c r="N58" s="394" t="n"/>
    </row>
    <row r="59">
      <c r="A59" s="539" t="inlineStr">
        <is>
          <t>Driver</t>
        </is>
      </c>
      <c r="B59" s="544" t="inlineStr">
        <is>
          <t>FY26A</t>
        </is>
      </c>
      <c r="C59" s="544" t="inlineStr">
        <is>
          <t>FY27E</t>
        </is>
      </c>
      <c r="D59" s="544" t="inlineStr">
        <is>
          <t>FY28E</t>
        </is>
      </c>
      <c r="E59" s="544" t="inlineStr">
        <is>
          <t>FY29E</t>
        </is>
      </c>
      <c r="F59" s="544" t="inlineStr">
        <is>
          <t>FY30E</t>
        </is>
      </c>
      <c r="G59" s="544" t="inlineStr">
        <is>
          <t>FY31E</t>
        </is>
      </c>
      <c r="H59" s="544" t="inlineStr">
        <is>
          <t>FY32E</t>
        </is>
      </c>
      <c r="I59" s="544" t="inlineStr">
        <is>
          <t>FY33E</t>
        </is>
      </c>
      <c r="J59" s="394" t="n"/>
      <c r="K59" s="707" t="inlineStr">
        <is>
          <t>Ref</t>
        </is>
      </c>
      <c r="L59" s="394" t="n"/>
      <c r="M59" s="394" t="n"/>
      <c r="N59" s="394" t="n"/>
    </row>
    <row r="60">
      <c r="A60" s="670" t="inlineStr">
        <is>
          <t>Previous FCF</t>
        </is>
      </c>
      <c r="B60" s="1103" t="n"/>
      <c r="C60" s="1097">
        <f>$C$114</f>
        <v/>
      </c>
      <c r="D60" s="1097">
        <f>$D$114</f>
        <v/>
      </c>
      <c r="E60" s="1097">
        <f>$E$114</f>
        <v/>
      </c>
      <c r="F60" s="1097">
        <f>$F$114</f>
        <v/>
      </c>
      <c r="G60" s="1097">
        <f>$G$114</f>
        <v/>
      </c>
      <c r="H60" s="1097">
        <f>$H$114</f>
        <v/>
      </c>
      <c r="I60" s="1097">
        <f>$I$114</f>
        <v/>
      </c>
      <c r="J60" s="394" t="n"/>
      <c r="K60" s="708" t="inlineStr">
        <is>
          <t>CX22</t>
        </is>
      </c>
      <c r="L60" s="394" t="n"/>
      <c r="M60" s="394" t="n"/>
      <c r="N60" s="394" t="n"/>
    </row>
    <row r="61">
      <c r="A61" s="670" t="inlineStr">
        <is>
          <t>EBITDA Effect</t>
        </is>
      </c>
      <c r="B61" s="1103" t="n"/>
      <c r="C61" s="1097">
        <f>D96-C96</f>
        <v/>
      </c>
      <c r="D61" s="1097">
        <f>E96-D96</f>
        <v/>
      </c>
      <c r="E61" s="1097">
        <f>F96-E96</f>
        <v/>
      </c>
      <c r="F61" s="1097">
        <f>G96-F96</f>
        <v/>
      </c>
      <c r="G61" s="1097">
        <f>H96-G96</f>
        <v/>
      </c>
      <c r="H61" s="1097">
        <f>I96-H96</f>
        <v/>
      </c>
      <c r="I61" s="1097">
        <f>J96-I96</f>
        <v/>
      </c>
      <c r="J61" s="394" t="n"/>
      <c r="K61" s="708" t="inlineStr">
        <is>
          <t>CX22</t>
        </is>
      </c>
      <c r="L61" s="394" t="n"/>
      <c r="M61" s="394" t="n"/>
      <c r="N61" s="394" t="n"/>
    </row>
    <row r="62">
      <c r="A62" s="670" t="inlineStr">
        <is>
          <t>Working Capital Effect</t>
        </is>
      </c>
      <c r="B62" s="1103" t="n"/>
      <c r="C62" s="1097">
        <f>-(D113-C113)</f>
        <v/>
      </c>
      <c r="D62" s="1097">
        <f>-(E113-D113)</f>
        <v/>
      </c>
      <c r="E62" s="1097">
        <f>-(F113-E113)</f>
        <v/>
      </c>
      <c r="F62" s="1097">
        <f>-(G113-F113)</f>
        <v/>
      </c>
      <c r="G62" s="1097">
        <f>-(H113-G113)</f>
        <v/>
      </c>
      <c r="H62" s="1097">
        <f>-(I113-H113)</f>
        <v/>
      </c>
      <c r="I62" s="1097">
        <f>-(J113-I113)</f>
        <v/>
      </c>
      <c r="J62" s="394" t="n"/>
      <c r="K62" s="708" t="inlineStr">
        <is>
          <t>CX22</t>
        </is>
      </c>
      <c r="L62" s="394" t="n"/>
      <c r="M62" s="394" t="n"/>
      <c r="N62" s="394" t="n"/>
    </row>
    <row r="63">
      <c r="A63" s="670" t="inlineStr">
        <is>
          <t>Capex Effect</t>
        </is>
      </c>
      <c r="B63" s="1103" t="n"/>
      <c r="C63" s="1097">
        <f>-(D110-C110)</f>
        <v/>
      </c>
      <c r="D63" s="1097">
        <f>-(E110-D110)</f>
        <v/>
      </c>
      <c r="E63" s="1097">
        <f>-(F110-E110)</f>
        <v/>
      </c>
      <c r="F63" s="1097">
        <f>-(G110-F110)</f>
        <v/>
      </c>
      <c r="G63" s="1097">
        <f>-(H110-G110)</f>
        <v/>
      </c>
      <c r="H63" s="1097">
        <f>-(I110-H110)</f>
        <v/>
      </c>
      <c r="I63" s="1097">
        <f>-(J110-I110)</f>
        <v/>
      </c>
      <c r="J63" s="394" t="n"/>
      <c r="K63" s="708" t="inlineStr">
        <is>
          <t>CX22</t>
        </is>
      </c>
      <c r="L63" s="394" t="n"/>
      <c r="M63" s="394" t="n"/>
      <c r="N63" s="394" t="n"/>
    </row>
    <row r="64">
      <c r="A64" s="670" t="inlineStr">
        <is>
          <t>Tax Effect</t>
        </is>
      </c>
      <c r="B64" s="1103" t="n"/>
      <c r="C64" s="1097">
        <f>-(D102-C102)</f>
        <v/>
      </c>
      <c r="D64" s="1097">
        <f>-(E102-D102)</f>
        <v/>
      </c>
      <c r="E64" s="1097">
        <f>-(F102-E102)</f>
        <v/>
      </c>
      <c r="F64" s="1097">
        <f>-(G102-F102)</f>
        <v/>
      </c>
      <c r="G64" s="1097">
        <f>-(H102-G102)</f>
        <v/>
      </c>
      <c r="H64" s="1097">
        <f>-(I102-H102)</f>
        <v/>
      </c>
      <c r="I64" s="1097">
        <f>-(J102-I102)</f>
        <v/>
      </c>
      <c r="J64" s="394" t="n"/>
      <c r="K64" s="708" t="inlineStr">
        <is>
          <t>CX22</t>
        </is>
      </c>
      <c r="L64" s="394" t="n"/>
      <c r="M64" s="394" t="n"/>
      <c r="N64" s="394" t="n"/>
    </row>
    <row r="65">
      <c r="A65" s="670" t="inlineStr">
        <is>
          <t>Other</t>
        </is>
      </c>
      <c r="B65" s="1103" t="n"/>
      <c r="C65" s="1102" t="n">
        <v>0</v>
      </c>
      <c r="D65" s="1102" t="n">
        <v>0</v>
      </c>
      <c r="E65" s="1102" t="n">
        <v>0</v>
      </c>
      <c r="F65" s="1102" t="n">
        <v>0</v>
      </c>
      <c r="G65" s="1102" t="n">
        <v>0</v>
      </c>
      <c r="H65" s="1102" t="n">
        <v>0</v>
      </c>
      <c r="I65" s="1102" t="n">
        <v>0</v>
      </c>
      <c r="J65" s="394" t="n"/>
      <c r="K65" s="708" t="inlineStr">
        <is>
          <t>CX22</t>
        </is>
      </c>
      <c r="L65" s="394" t="n"/>
      <c r="M65" s="394" t="n"/>
      <c r="N65" s="394" t="n"/>
    </row>
    <row r="66">
      <c r="A66" s="489" t="inlineStr">
        <is>
          <t>FCFF</t>
        </is>
      </c>
      <c r="B66" s="1104">
        <f>$C$114</f>
        <v/>
      </c>
      <c r="C66" s="1104">
        <f>$D$114</f>
        <v/>
      </c>
      <c r="D66" s="1104">
        <f>$E$114</f>
        <v/>
      </c>
      <c r="E66" s="1104">
        <f>$F$114</f>
        <v/>
      </c>
      <c r="F66" s="1104">
        <f>$G$114</f>
        <v/>
      </c>
      <c r="G66" s="1104">
        <f>$H$114</f>
        <v/>
      </c>
      <c r="H66" s="1104">
        <f>$I$114</f>
        <v/>
      </c>
      <c r="I66" s="1098">
        <f>$J$114</f>
        <v/>
      </c>
      <c r="J66" s="394" t="n"/>
      <c r="K66" s="708" t="inlineStr">
        <is>
          <t>CX04</t>
        </is>
      </c>
      <c r="L66" s="394" t="n"/>
      <c r="M66" s="394" t="n"/>
      <c r="N66" s="394" t="n"/>
    </row>
    <row r="67">
      <c r="A67" s="678" t="n"/>
      <c r="I67" s="683" t="n"/>
      <c r="J67" s="394" t="n"/>
      <c r="K67" s="394" t="n"/>
      <c r="L67" s="394" t="n"/>
      <c r="M67" s="394" t="n"/>
      <c r="N67" s="394" t="n"/>
    </row>
    <row r="68">
      <c r="A68" s="678" t="n"/>
      <c r="I68" s="683" t="n"/>
      <c r="J68" s="394" t="n"/>
      <c r="K68" s="394" t="n"/>
      <c r="L68" s="394" t="n"/>
      <c r="M68" s="394" t="n"/>
      <c r="N68" s="394" t="n"/>
    </row>
    <row r="69" ht="15.6" customHeight="1" s="632">
      <c r="A69" s="612" t="inlineStr">
        <is>
          <t>Cash Generation</t>
        </is>
      </c>
      <c r="J69" s="394" t="n"/>
      <c r="K69" s="394" t="n"/>
      <c r="L69" s="394" t="n"/>
      <c r="M69" s="394" t="n"/>
      <c r="N69" s="394" t="n"/>
    </row>
    <row r="70">
      <c r="A70" s="539" t="inlineStr">
        <is>
          <t>Item</t>
        </is>
      </c>
      <c r="B70" s="544" t="inlineStr">
        <is>
          <t>FY26A</t>
        </is>
      </c>
      <c r="C70" s="544" t="inlineStr">
        <is>
          <t>FY27E</t>
        </is>
      </c>
      <c r="D70" s="544" t="inlineStr">
        <is>
          <t>FY28E</t>
        </is>
      </c>
      <c r="E70" s="544" t="inlineStr">
        <is>
          <t>FY29E</t>
        </is>
      </c>
      <c r="F70" s="544" t="inlineStr">
        <is>
          <t>FY30E</t>
        </is>
      </c>
      <c r="G70" s="544" t="inlineStr">
        <is>
          <t>FY31E</t>
        </is>
      </c>
      <c r="H70" s="544" t="inlineStr">
        <is>
          <t>FY32E</t>
        </is>
      </c>
      <c r="I70" s="544" t="inlineStr">
        <is>
          <t>FY33E</t>
        </is>
      </c>
      <c r="J70" s="394" t="n"/>
      <c r="K70" s="394" t="n"/>
      <c r="L70" s="394" t="n"/>
      <c r="M70" s="394" t="n"/>
      <c r="N70" s="394" t="n"/>
    </row>
    <row r="71">
      <c r="A71" s="670" t="inlineStr">
        <is>
          <t>EBITDA</t>
        </is>
      </c>
      <c r="B71" s="1073">
        <f>$C$96</f>
        <v/>
      </c>
      <c r="C71" s="1073">
        <f>$D$96</f>
        <v/>
      </c>
      <c r="D71" s="1073">
        <f>$E$96</f>
        <v/>
      </c>
      <c r="E71" s="1073">
        <f>$F$96</f>
        <v/>
      </c>
      <c r="F71" s="1104">
        <f>$G$96</f>
        <v/>
      </c>
      <c r="G71" s="1104">
        <f>$H$96</f>
        <v/>
      </c>
      <c r="H71" s="1104">
        <f>$I$96</f>
        <v/>
      </c>
      <c r="I71" s="1098">
        <f>$J$96</f>
        <v/>
      </c>
      <c r="J71" s="394" t="n"/>
      <c r="K71" s="394" t="n"/>
      <c r="L71" s="394" t="n"/>
      <c r="M71" s="394" t="n"/>
      <c r="N71" s="394" t="n"/>
    </row>
    <row r="72">
      <c r="A72" s="670" t="inlineStr">
        <is>
          <t>Operating Cash Flow</t>
        </is>
      </c>
      <c r="B72" s="1079">
        <f>C96-C102-C113</f>
        <v/>
      </c>
      <c r="C72" s="1079">
        <f>D96-D102-D113</f>
        <v/>
      </c>
      <c r="D72" s="1079">
        <f>E96-E102-E113</f>
        <v/>
      </c>
      <c r="E72" s="1079">
        <f>F96-F102-F113</f>
        <v/>
      </c>
      <c r="F72" s="1101">
        <f>G96-G102-G113</f>
        <v/>
      </c>
      <c r="G72" s="1101">
        <f>H96-H102-H113</f>
        <v/>
      </c>
      <c r="H72" s="1101">
        <f>I96-I102-I113</f>
        <v/>
      </c>
      <c r="I72" s="1097">
        <f>J96-J102-J113</f>
        <v/>
      </c>
      <c r="J72" s="394" t="n"/>
      <c r="K72" s="394" t="n"/>
      <c r="L72" s="394" t="n"/>
      <c r="M72" s="394" t="n"/>
      <c r="N72" s="394" t="n"/>
    </row>
    <row r="73">
      <c r="A73" s="670" t="inlineStr">
        <is>
          <t>OCF / EBITDA</t>
        </is>
      </c>
      <c r="B73" s="954">
        <f>IFERROR(B72/B71,"")</f>
        <v/>
      </c>
      <c r="C73" s="954">
        <f>IFERROR(C72/C71,"")</f>
        <v/>
      </c>
      <c r="D73" s="954">
        <f>IFERROR(D72/D71,"")</f>
        <v/>
      </c>
      <c r="E73" s="954">
        <f>IFERROR(E72/E71,"")</f>
        <v/>
      </c>
      <c r="F73" s="1092">
        <f>IFERROR(F72/F71,"")</f>
        <v/>
      </c>
      <c r="G73" s="1092">
        <f>IFERROR(G72/G71,"")</f>
        <v/>
      </c>
      <c r="H73" s="1092">
        <f>IFERROR(H72/H71,"")</f>
        <v/>
      </c>
      <c r="I73" s="1090">
        <f>IFERROR(I72/I71,"")</f>
        <v/>
      </c>
      <c r="J73" s="394" t="n"/>
      <c r="K73" s="394" t="n"/>
      <c r="L73" s="394" t="n"/>
      <c r="M73" s="394" t="n"/>
      <c r="N73" s="394" t="n"/>
    </row>
    <row r="74">
      <c r="A74" s="489" t="inlineStr">
        <is>
          <t>FCFF</t>
        </is>
      </c>
      <c r="B74" s="1073">
        <f>$C$114</f>
        <v/>
      </c>
      <c r="C74" s="1073">
        <f>$D$114</f>
        <v/>
      </c>
      <c r="D74" s="1073">
        <f>$E$114</f>
        <v/>
      </c>
      <c r="E74" s="1073">
        <f>$F$114</f>
        <v/>
      </c>
      <c r="F74" s="1104">
        <f>$G$114</f>
        <v/>
      </c>
      <c r="G74" s="1104">
        <f>$H$114</f>
        <v/>
      </c>
      <c r="H74" s="1104">
        <f>$I$114</f>
        <v/>
      </c>
      <c r="I74" s="1098">
        <f>$J$114</f>
        <v/>
      </c>
      <c r="J74" s="394" t="n"/>
      <c r="K74" s="394" t="n"/>
      <c r="L74" s="394" t="n"/>
      <c r="M74" s="394" t="n"/>
      <c r="N74" s="394" t="n"/>
    </row>
    <row r="75">
      <c r="A75" s="683" t="n"/>
      <c r="B75" s="596" t="n"/>
      <c r="C75" s="596" t="n"/>
      <c r="D75" s="596" t="n"/>
      <c r="E75" s="596" t="n"/>
      <c r="I75" s="683" t="n"/>
      <c r="J75" s="394" t="n"/>
      <c r="K75" s="394" t="n"/>
      <c r="L75" s="394" t="n"/>
      <c r="M75" s="394" t="n"/>
      <c r="N75" s="394" t="n"/>
    </row>
    <row r="76">
      <c r="A76" s="683" t="n"/>
      <c r="B76" s="596" t="n"/>
      <c r="C76" s="596" t="n"/>
      <c r="D76" s="596" t="n"/>
      <c r="E76" s="596" t="n"/>
      <c r="I76" s="683" t="n"/>
      <c r="J76" s="394" t="n"/>
      <c r="K76" s="394" t="n"/>
      <c r="L76" s="394" t="n"/>
      <c r="M76" s="394" t="n"/>
      <c r="N76" s="394" t="n"/>
    </row>
    <row r="77" ht="15.6" customHeight="1" s="632">
      <c r="A77" s="612" t="inlineStr">
        <is>
          <t>Scenario Analysis</t>
        </is>
      </c>
      <c r="J77" s="394" t="n"/>
      <c r="K77" s="394" t="n"/>
      <c r="L77" s="394" t="n"/>
      <c r="M77" s="394" t="n"/>
      <c r="N77" s="394" t="n"/>
    </row>
    <row r="78">
      <c r="A78" s="506" t="inlineStr">
        <is>
          <t>Year FCFF</t>
        </is>
      </c>
      <c r="B78" s="506" t="inlineStr">
        <is>
          <t>Base</t>
        </is>
      </c>
      <c r="C78" s="506" t="inlineStr">
        <is>
          <t>Bull</t>
        </is>
      </c>
      <c r="D78" s="506" t="inlineStr">
        <is>
          <t>Bear</t>
        </is>
      </c>
      <c r="E78" s="506" t="inlineStr">
        <is>
          <t>Stress</t>
        </is>
      </c>
      <c r="F78" s="394" t="n"/>
      <c r="G78" s="707" t="inlineStr">
        <is>
          <t>Ref</t>
        </is>
      </c>
      <c r="H78" s="394" t="n"/>
      <c r="I78" s="394" t="n"/>
      <c r="J78" s="394" t="n"/>
      <c r="K78" s="394" t="n"/>
      <c r="L78" s="394" t="n"/>
      <c r="M78" s="394" t="n"/>
      <c r="N78" s="394" t="n"/>
    </row>
    <row r="79">
      <c r="A79" s="670" t="inlineStr">
        <is>
          <t>FY27</t>
        </is>
      </c>
      <c r="B79" s="1073">
        <f>'Scenario Manager'!$D$146</f>
        <v/>
      </c>
      <c r="C79" s="1073">
        <f>'Scenario Manager'!$D$222</f>
        <v/>
      </c>
      <c r="D79" s="1073">
        <f>'Scenario Manager'!$D$298</f>
        <v/>
      </c>
      <c r="E79" s="1073">
        <f>'Scenario Manager'!$D$374</f>
        <v/>
      </c>
      <c r="F79" s="394" t="n"/>
      <c r="G79" s="394" t="n"/>
      <c r="H79" s="394" t="n"/>
      <c r="I79" s="394" t="n"/>
      <c r="J79" s="394" t="n"/>
      <c r="K79" s="394" t="n"/>
      <c r="L79" s="394" t="n"/>
      <c r="M79" s="394" t="n"/>
      <c r="N79" s="394" t="n"/>
    </row>
    <row r="80">
      <c r="A80" s="670" t="inlineStr">
        <is>
          <t>FY28</t>
        </is>
      </c>
      <c r="B80" s="1073">
        <f>'Scenario Manager'!$E$146</f>
        <v/>
      </c>
      <c r="C80" s="1073">
        <f>'Scenario Manager'!$E$222</f>
        <v/>
      </c>
      <c r="D80" s="1073">
        <f>'Scenario Manager'!$E$298</f>
        <v/>
      </c>
      <c r="E80" s="1073">
        <f>'Scenario Manager'!$E$374</f>
        <v/>
      </c>
      <c r="F80" s="394" t="n"/>
      <c r="G80" s="394" t="n"/>
      <c r="H80" s="394" t="n"/>
      <c r="I80" s="394" t="n"/>
      <c r="J80" s="394" t="n"/>
      <c r="K80" s="394" t="n"/>
      <c r="L80" s="394" t="n"/>
      <c r="M80" s="394" t="n"/>
      <c r="N80" s="394" t="n"/>
    </row>
    <row r="81">
      <c r="A81" s="670" t="inlineStr">
        <is>
          <t>FY29</t>
        </is>
      </c>
      <c r="B81" s="1073">
        <f>'Scenario Manager'!$F$146</f>
        <v/>
      </c>
      <c r="C81" s="1073">
        <f>'Scenario Manager'!$F$222</f>
        <v/>
      </c>
      <c r="D81" s="1073">
        <f>'Scenario Manager'!$F$298</f>
        <v/>
      </c>
      <c r="E81" s="1073">
        <f>'Scenario Manager'!$F$374</f>
        <v/>
      </c>
      <c r="F81" s="394" t="n"/>
      <c r="G81" s="394" t="n"/>
      <c r="H81" s="394" t="n"/>
      <c r="I81" s="394" t="n"/>
      <c r="J81" s="394" t="n"/>
      <c r="K81" s="394" t="n"/>
      <c r="L81" s="394" t="n"/>
      <c r="M81" s="394" t="n"/>
      <c r="N81" s="394" t="n"/>
    </row>
    <row r="82">
      <c r="A82" s="670" t="inlineStr">
        <is>
          <t>FY30</t>
        </is>
      </c>
      <c r="B82" s="1073">
        <f>'Scenario Manager'!$G$146</f>
        <v/>
      </c>
      <c r="C82" s="1073">
        <f>'Scenario Manager'!$G$222</f>
        <v/>
      </c>
      <c r="D82" s="1073">
        <f>'Scenario Manager'!$G$298</f>
        <v/>
      </c>
      <c r="E82" s="1073">
        <f>'Scenario Manager'!$G$374</f>
        <v/>
      </c>
      <c r="F82" s="394" t="n"/>
      <c r="G82" s="394" t="n"/>
      <c r="H82" s="394" t="n"/>
      <c r="I82" s="394" t="n"/>
      <c r="J82" s="394" t="n"/>
      <c r="K82" s="394" t="n"/>
      <c r="L82" s="394" t="n"/>
      <c r="M82" s="394" t="n"/>
      <c r="N82" s="394" t="n"/>
    </row>
    <row r="83">
      <c r="A83" s="670" t="inlineStr">
        <is>
          <t>FY31</t>
        </is>
      </c>
      <c r="B83" s="1073">
        <f>'Scenario Manager'!$H$146</f>
        <v/>
      </c>
      <c r="C83" s="1073">
        <f>'Scenario Manager'!$H$222</f>
        <v/>
      </c>
      <c r="D83" s="1073">
        <f>'Scenario Manager'!$H$298</f>
        <v/>
      </c>
      <c r="E83" s="1073">
        <f>'Scenario Manager'!$H$374</f>
        <v/>
      </c>
      <c r="F83" s="394" t="n"/>
      <c r="G83" s="394" t="n"/>
      <c r="H83" s="394" t="n"/>
      <c r="I83" s="394" t="n"/>
      <c r="J83" s="394" t="n"/>
      <c r="K83" s="394" t="n"/>
      <c r="L83" s="394" t="n"/>
      <c r="M83" s="394" t="n"/>
      <c r="N83" s="394" t="n"/>
    </row>
    <row r="84">
      <c r="A84" s="670" t="inlineStr">
        <is>
          <t>FY32</t>
        </is>
      </c>
      <c r="B84" s="1073">
        <f>'Scenario Manager'!$I$146</f>
        <v/>
      </c>
      <c r="C84" s="1073">
        <f>'Scenario Manager'!$I$222</f>
        <v/>
      </c>
      <c r="D84" s="1073">
        <f>'Scenario Manager'!$I$298</f>
        <v/>
      </c>
      <c r="E84" s="1073">
        <f>'Scenario Manager'!$I$374</f>
        <v/>
      </c>
      <c r="F84" s="394" t="n"/>
      <c r="G84" s="394" t="n"/>
      <c r="H84" s="394" t="n"/>
      <c r="I84" s="394" t="n"/>
      <c r="J84" s="394" t="n"/>
      <c r="K84" s="394" t="n"/>
      <c r="L84" s="394" t="n"/>
      <c r="M84" s="394" t="n"/>
      <c r="N84" s="394" t="n"/>
    </row>
    <row r="85">
      <c r="A85" s="670" t="inlineStr">
        <is>
          <t>FY33</t>
        </is>
      </c>
      <c r="B85" s="1073">
        <f>'Scenario Manager'!$J$146</f>
        <v/>
      </c>
      <c r="C85" s="1073">
        <f>'Scenario Manager'!$J$222</f>
        <v/>
      </c>
      <c r="D85" s="1073">
        <f>'Scenario Manager'!$J$298</f>
        <v/>
      </c>
      <c r="E85" s="1073">
        <f>'Scenario Manager'!$J$374</f>
        <v/>
      </c>
      <c r="F85" s="394" t="n"/>
      <c r="G85" s="708" t="inlineStr">
        <is>
          <t>CX05</t>
        </is>
      </c>
      <c r="H85" s="394" t="n"/>
      <c r="I85" s="394" t="n"/>
      <c r="J85" s="394" t="n"/>
      <c r="K85" s="394" t="n"/>
      <c r="L85" s="394" t="n"/>
      <c r="M85" s="394" t="n"/>
      <c r="N85" s="394" t="n"/>
    </row>
    <row r="86">
      <c r="A86" s="678" t="n"/>
      <c r="I86" s="683" t="n"/>
      <c r="J86" s="394" t="n"/>
      <c r="K86" s="394" t="n"/>
      <c r="L86" s="394" t="n"/>
      <c r="M86" s="394" t="n"/>
      <c r="N86" s="394" t="n"/>
    </row>
    <row r="87">
      <c r="A87" s="678" t="n"/>
      <c r="I87" s="683" t="n"/>
      <c r="J87" s="394" t="n"/>
      <c r="K87" s="394" t="n"/>
      <c r="L87" s="394" t="n"/>
      <c r="M87" s="394" t="n"/>
      <c r="N87" s="394" t="n"/>
    </row>
    <row r="88">
      <c r="A88" s="678" t="n"/>
      <c r="I88" s="683" t="n"/>
      <c r="J88" s="394" t="n"/>
      <c r="K88" s="394" t="n"/>
      <c r="L88" s="394" t="n"/>
      <c r="M88" s="394" t="n"/>
      <c r="N88" s="394" t="n"/>
    </row>
    <row r="89">
      <c r="A89" s="678" t="n"/>
      <c r="I89" s="683" t="n"/>
      <c r="J89" s="394" t="n"/>
      <c r="K89" s="394" t="n"/>
      <c r="L89" s="394" t="n"/>
      <c r="M89" s="394" t="n"/>
      <c r="N89" s="394" t="n"/>
    </row>
    <row r="90">
      <c r="A90" s="678" t="n"/>
      <c r="I90" s="683" t="n"/>
      <c r="J90" s="394" t="n"/>
      <c r="K90" s="394" t="n"/>
      <c r="L90" s="394" t="n"/>
      <c r="M90" s="394" t="n"/>
      <c r="N90" s="394" t="n"/>
    </row>
    <row r="91">
      <c r="A91" s="678" t="n"/>
      <c r="I91" s="683" t="n"/>
      <c r="J91" s="394" t="n"/>
      <c r="K91" s="394" t="n"/>
      <c r="L91" s="394" t="n"/>
      <c r="M91" s="394" t="n"/>
      <c r="N91" s="394" t="n"/>
    </row>
    <row r="92">
      <c r="A92" s="394" t="n"/>
      <c r="B92" s="394" t="n"/>
      <c r="C92" s="394" t="n"/>
      <c r="D92" s="394" t="n"/>
      <c r="E92" s="394" t="n"/>
      <c r="F92" s="394" t="n"/>
      <c r="G92" s="394" t="n"/>
      <c r="H92" s="394" t="n"/>
      <c r="I92" s="394" t="n"/>
      <c r="J92" s="394" t="n"/>
      <c r="K92" s="394" t="n"/>
      <c r="L92" s="394" t="n"/>
      <c r="M92" s="394" t="n"/>
      <c r="N92" s="394" t="n"/>
    </row>
    <row r="93">
      <c r="A93" s="394" t="n"/>
      <c r="B93" s="394" t="n"/>
      <c r="C93" s="394" t="n"/>
      <c r="D93" s="394" t="n"/>
      <c r="E93" s="394" t="n"/>
      <c r="F93" s="394" t="n"/>
      <c r="G93" s="394" t="n"/>
      <c r="H93" s="394" t="n"/>
      <c r="I93" s="394" t="n"/>
      <c r="J93" s="394" t="n"/>
      <c r="K93" s="394" t="n"/>
      <c r="L93" s="394" t="n"/>
      <c r="M93" s="394" t="n"/>
      <c r="N93" s="394" t="n"/>
    </row>
    <row r="94" ht="15" customHeight="1" s="632" thickBot="1">
      <c r="A94" s="415" t="n"/>
      <c r="K94" s="129" t="n"/>
    </row>
    <row r="95" ht="30" customHeight="1" s="632">
      <c r="A95" s="63" t="inlineStr">
        <is>
          <t>Line item</t>
        </is>
      </c>
      <c r="B95" s="65" t="inlineStr">
        <is>
          <t>Unit</t>
        </is>
      </c>
      <c r="C95" s="65" t="inlineStr">
        <is>
          <t>FY2026A</t>
        </is>
      </c>
      <c r="D95" s="65" t="inlineStr">
        <is>
          <t>FY2027E</t>
        </is>
      </c>
      <c r="E95" s="65" t="inlineStr">
        <is>
          <t>FY2028E</t>
        </is>
      </c>
      <c r="F95" s="65" t="inlineStr">
        <is>
          <t>FY2029E</t>
        </is>
      </c>
      <c r="G95" s="65" t="inlineStr">
        <is>
          <t>FY2030E</t>
        </is>
      </c>
      <c r="H95" s="65" t="inlineStr">
        <is>
          <t>FY2031E</t>
        </is>
      </c>
      <c r="I95" s="65" t="inlineStr">
        <is>
          <t>FY2032E</t>
        </is>
      </c>
      <c r="J95" s="65" t="inlineStr">
        <is>
          <t>FY2033E</t>
        </is>
      </c>
      <c r="K95" s="65" t="inlineStr">
        <is>
          <t>CAGR</t>
        </is>
      </c>
      <c r="L95" s="409" t="inlineStr">
        <is>
          <t>Source</t>
        </is>
      </c>
      <c r="M95" s="65" t="inlineStr">
        <is>
          <t>Conf.</t>
        </is>
      </c>
      <c r="N95" s="410" t="inlineStr">
        <is>
          <t>Notes / methodology</t>
        </is>
      </c>
      <c r="P95" s="707" t="inlineStr">
        <is>
          <t>Ref</t>
        </is>
      </c>
    </row>
    <row r="96">
      <c r="A96" s="76" t="inlineStr">
        <is>
          <t>Industry EBITDA</t>
        </is>
      </c>
      <c r="B96" s="78" t="inlineStr">
        <is>
          <t>Rs cr</t>
        </is>
      </c>
      <c r="C96" s="1023" t="n">
        <v>172736.902</v>
      </c>
      <c r="D96" s="1023">
        <f>'EBITDA Model'!D$103</f>
        <v/>
      </c>
      <c r="E96" s="1023">
        <f>'EBITDA Model'!E$103</f>
        <v/>
      </c>
      <c r="F96" s="1023">
        <f>'EBITDA Model'!F$103</f>
        <v/>
      </c>
      <c r="G96" s="1023">
        <f>'EBITDA Model'!G$103</f>
        <v/>
      </c>
      <c r="H96" s="1023">
        <f>'EBITDA Model'!H$103</f>
        <v/>
      </c>
      <c r="I96" s="1023">
        <f>'EBITDA Model'!I$103</f>
        <v/>
      </c>
      <c r="J96" s="1023">
        <f>'EBITDA Model'!J$103</f>
        <v/>
      </c>
      <c r="K96" s="139">
        <f>IFERROR(IF(AND(ISNUMBER(C96),ISNUMBER(J96),C96&gt;0),(J96/C96)^(1/7)-1,""),"")</f>
        <v/>
      </c>
      <c r="L96" s="344" t="inlineStr">
        <is>
          <t>13 EBITDA</t>
        </is>
      </c>
      <c r="M96" s="352" t="inlineStr">
        <is>
          <t>Medium</t>
        </is>
      </c>
      <c r="N96" s="68" t="n"/>
      <c r="P96" s="708" t="inlineStr">
        <is>
          <t>CX06</t>
        </is>
      </c>
    </row>
    <row r="97">
      <c r="A97" s="69" t="inlineStr">
        <is>
          <t>Industry revenue</t>
        </is>
      </c>
      <c r="B97" s="78" t="inlineStr">
        <is>
          <t>Rs cr</t>
        </is>
      </c>
      <c r="C97" s="1022" t="n">
        <v>965221.5560000001</v>
      </c>
      <c r="D97" s="1022">
        <f>'Revenue Forecast'!D$96</f>
        <v/>
      </c>
      <c r="E97" s="1022">
        <f>'Revenue Forecast'!E$96</f>
        <v/>
      </c>
      <c r="F97" s="1022">
        <f>'Revenue Forecast'!F$96</f>
        <v/>
      </c>
      <c r="G97" s="1022">
        <f>'Revenue Forecast'!G$96</f>
        <v/>
      </c>
      <c r="H97" s="1022">
        <f>'Revenue Forecast'!H$96</f>
        <v/>
      </c>
      <c r="I97" s="1022">
        <f>'Revenue Forecast'!I$96</f>
        <v/>
      </c>
      <c r="J97" s="1022">
        <f>'Revenue Forecast'!J$96</f>
        <v/>
      </c>
      <c r="K97" s="139">
        <f>IFERROR(IF(AND(ISNUMBER(C97),ISNUMBER(J97),C97&gt;0),(J97/C97)^(1/7)-1,""),"")</f>
        <v/>
      </c>
      <c r="L97" s="344" t="inlineStr">
        <is>
          <t>12 Revenue</t>
        </is>
      </c>
      <c r="M97" s="352" t="inlineStr">
        <is>
          <t>Medium</t>
        </is>
      </c>
      <c r="N97" s="68" t="n"/>
      <c r="P97" s="708" t="inlineStr">
        <is>
          <t>CX07</t>
        </is>
      </c>
    </row>
    <row r="98" ht="48" customHeight="1" s="632">
      <c r="A98" s="69" t="inlineStr">
        <is>
          <t>Depreciation and amortisation</t>
        </is>
      </c>
      <c r="B98" s="78" t="inlineStr">
        <is>
          <t>% of revenue</t>
        </is>
      </c>
      <c r="C98" s="904" t="n">
        <v>0.0528</v>
      </c>
      <c r="D98" s="904">
        <f>'Model Assumptions'!E$33</f>
        <v/>
      </c>
      <c r="E98" s="904">
        <f>'Model Assumptions'!F$33</f>
        <v/>
      </c>
      <c r="F98" s="904">
        <f>'Model Assumptions'!G$33</f>
        <v/>
      </c>
      <c r="G98" s="904">
        <f>'Model Assumptions'!H$33</f>
        <v/>
      </c>
      <c r="H98" s="904">
        <f>'Model Assumptions'!I$33</f>
        <v/>
      </c>
      <c r="I98" s="904">
        <f>'Model Assumptions'!J$33</f>
        <v/>
      </c>
      <c r="J98" s="904">
        <f>'Model Assumptions'!K$33</f>
        <v/>
      </c>
      <c r="K98" s="83" t="n"/>
      <c r="L98" s="344" t="inlineStr">
        <is>
          <t>Derived from Master DB</t>
        </is>
      </c>
      <c r="M98" s="352" t="inlineStr">
        <is>
          <t>High</t>
        </is>
      </c>
      <c r="N98" s="345" t="inlineStr">
        <is>
          <t>FY2026A of 5.28% is derived: Rs 30,715 cr of D&amp;A on Rs 5,81,646 cr of consolidated revenue for the four majors. Tight across companies - Tata 5.15%, JSW 5.18%, SAIL 5.40%, Jindal Steel 5.96%.</t>
        </is>
      </c>
      <c r="P98" s="708" t="inlineStr">
        <is>
          <t>CX08</t>
        </is>
      </c>
    </row>
    <row r="99">
      <c r="A99" s="69" t="inlineStr">
        <is>
          <t>Depreciation and amortisation</t>
        </is>
      </c>
      <c r="B99" s="78" t="inlineStr">
        <is>
          <t>Rs cr</t>
        </is>
      </c>
      <c r="C99" s="1022">
        <f>C97*C98</f>
        <v/>
      </c>
      <c r="D99" s="1022">
        <f>D97*D98</f>
        <v/>
      </c>
      <c r="E99" s="1022">
        <f>E97*E98</f>
        <v/>
      </c>
      <c r="F99" s="1022">
        <f>F97*F98</f>
        <v/>
      </c>
      <c r="G99" s="1022">
        <f>G97*G98</f>
        <v/>
      </c>
      <c r="H99" s="1022">
        <f>H97*H98</f>
        <v/>
      </c>
      <c r="I99" s="1022">
        <f>I97*I98</f>
        <v/>
      </c>
      <c r="J99" s="1022">
        <f>J97*J98</f>
        <v/>
      </c>
      <c r="K99" s="83" t="n"/>
      <c r="L99" s="344" t="inlineStr">
        <is>
          <t>Computed</t>
        </is>
      </c>
      <c r="M99" s="352" t="inlineStr">
        <is>
          <t>High</t>
        </is>
      </c>
      <c r="N99" s="68" t="n"/>
      <c r="P99" s="708" t="inlineStr">
        <is>
          <t>CX09</t>
        </is>
      </c>
    </row>
    <row r="100">
      <c r="A100" s="69" t="inlineStr">
        <is>
          <t>EBIT</t>
        </is>
      </c>
      <c r="B100" s="78" t="inlineStr">
        <is>
          <t>Rs cr</t>
        </is>
      </c>
      <c r="C100" s="1022">
        <f>C96-C99</f>
        <v/>
      </c>
      <c r="D100" s="1022">
        <f>D96-D99</f>
        <v/>
      </c>
      <c r="E100" s="1022">
        <f>E96-E99</f>
        <v/>
      </c>
      <c r="F100" s="1022">
        <f>F96-F99</f>
        <v/>
      </c>
      <c r="G100" s="1022">
        <f>G96-G99</f>
        <v/>
      </c>
      <c r="H100" s="1022">
        <f>H96-H99</f>
        <v/>
      </c>
      <c r="I100" s="1022">
        <f>I96-I99</f>
        <v/>
      </c>
      <c r="J100" s="1022">
        <f>J96-J99</f>
        <v/>
      </c>
      <c r="K100" s="139">
        <f>IFERROR(IF(AND(ISNUMBER(C100),ISNUMBER(J100),C100&gt;0),(J100/C100)^(1/7)-1,""),"")</f>
        <v/>
      </c>
      <c r="L100" s="344" t="inlineStr">
        <is>
          <t>Computed</t>
        </is>
      </c>
      <c r="M100" s="352" t="inlineStr">
        <is>
          <t>Medium</t>
        </is>
      </c>
      <c r="N100" s="68" t="n"/>
      <c r="P100" s="708" t="inlineStr">
        <is>
          <t>CX10</t>
        </is>
      </c>
    </row>
    <row r="101" ht="48" customHeight="1" s="632">
      <c r="A101" s="69" t="inlineStr">
        <is>
          <t>Effective tax rate</t>
        </is>
      </c>
      <c r="B101" s="78" t="inlineStr">
        <is>
          <t>%</t>
        </is>
      </c>
      <c r="C101" s="904" t="n">
        <v>0.2517</v>
      </c>
      <c r="D101" s="904">
        <f>'Model Assumptions'!E$22</f>
        <v/>
      </c>
      <c r="E101" s="904">
        <f>'Model Assumptions'!F$22</f>
        <v/>
      </c>
      <c r="F101" s="904">
        <f>'Model Assumptions'!G$22</f>
        <v/>
      </c>
      <c r="G101" s="904">
        <f>'Model Assumptions'!H$22</f>
        <v/>
      </c>
      <c r="H101" s="904">
        <f>'Model Assumptions'!I$22</f>
        <v/>
      </c>
      <c r="I101" s="904">
        <f>'Model Assumptions'!J$22</f>
        <v/>
      </c>
      <c r="J101" s="904">
        <f>'Model Assumptions'!K$22</f>
        <v/>
      </c>
      <c r="K101" s="83" t="n"/>
      <c r="L101" s="344" t="inlineStr">
        <is>
          <t>Statutory 115BAA</t>
        </is>
      </c>
      <c r="M101" s="352" t="inlineStr">
        <is>
          <t>Medium</t>
        </is>
      </c>
      <c r="N101" s="345" t="inlineStr">
        <is>
          <t>22% plus surcharge and cess. Company-specific effective rates differ because of MAT credits and deferred tax - the database flags Kirloskar Ferrous FY2026 net profit exceeding PBT on a write-back (Conflict C12).</t>
        </is>
      </c>
      <c r="P101" s="708" t="inlineStr">
        <is>
          <t>CX11</t>
        </is>
      </c>
    </row>
    <row r="102" ht="36" customHeight="1" s="632">
      <c r="A102" s="69" t="inlineStr">
        <is>
          <t>Cash tax</t>
        </is>
      </c>
      <c r="B102" s="78" t="inlineStr">
        <is>
          <t>Rs cr</t>
        </is>
      </c>
      <c r="C102" s="1022">
        <f>MAX(0,C100)*C101</f>
        <v/>
      </c>
      <c r="D102" s="1022">
        <f>MAX(0,D100)*D101</f>
        <v/>
      </c>
      <c r="E102" s="1022">
        <f>MAX(0,E100)*E101</f>
        <v/>
      </c>
      <c r="F102" s="1022">
        <f>MAX(0,F100)*F101</f>
        <v/>
      </c>
      <c r="G102" s="1022">
        <f>MAX(0,G100)*G101</f>
        <v/>
      </c>
      <c r="H102" s="1022">
        <f>MAX(0,H100)*H101</f>
        <v/>
      </c>
      <c r="I102" s="1022">
        <f>MAX(0,I100)*I101</f>
        <v/>
      </c>
      <c r="J102" s="1022">
        <f>MAX(0,J100)*J101</f>
        <v/>
      </c>
      <c r="K102" s="83" t="n"/>
      <c r="L102" s="344" t="inlineStr">
        <is>
          <t>Computed</t>
        </is>
      </c>
      <c r="M102" s="352" t="inlineStr">
        <is>
          <t>Medium</t>
        </is>
      </c>
      <c r="N102" s="345" t="inlineStr">
        <is>
          <t>Floored at zero. No loss carry-forward is modelled, which understates cash flow in any recovery following a loss year - conservative and disclosed.</t>
        </is>
      </c>
      <c r="P102" s="708" t="inlineStr">
        <is>
          <t>CX12</t>
        </is>
      </c>
    </row>
    <row r="103">
      <c r="A103" s="71" t="n"/>
      <c r="B103" s="83" t="n"/>
      <c r="C103" s="83" t="n"/>
      <c r="D103" s="83" t="n"/>
      <c r="E103" s="83" t="n"/>
      <c r="F103" s="83" t="n"/>
      <c r="G103" s="83" t="n"/>
      <c r="H103" s="83" t="n"/>
      <c r="I103" s="83" t="n"/>
      <c r="J103" s="83" t="n"/>
      <c r="K103" s="83" t="n"/>
      <c r="L103" s="45" t="n"/>
      <c r="M103" s="83" t="n"/>
      <c r="N103" s="68" t="n"/>
    </row>
    <row r="104">
      <c r="A104" s="836" t="inlineStr">
        <is>
          <t>CAPITAL EXPENDITURE</t>
        </is>
      </c>
      <c r="B104" s="837" t="n"/>
      <c r="C104" s="837" t="n"/>
      <c r="D104" s="837" t="n"/>
      <c r="E104" s="837" t="n"/>
      <c r="F104" s="837" t="n"/>
      <c r="G104" s="837" t="n"/>
      <c r="H104" s="837" t="n"/>
      <c r="I104" s="837" t="n"/>
      <c r="J104" s="837" t="n"/>
      <c r="K104" s="837" t="n"/>
      <c r="L104" s="837" t="n"/>
      <c r="M104" s="837" t="n"/>
      <c r="N104" s="838" t="n"/>
    </row>
    <row r="105">
      <c r="A105" s="69" t="inlineStr">
        <is>
          <t>Capacity added</t>
        </is>
      </c>
      <c r="B105" s="78" t="inlineStr">
        <is>
          <t>Mtpa</t>
        </is>
      </c>
      <c r="C105" s="907" t="n">
        <v>20.07</v>
      </c>
      <c r="D105" s="907">
        <f>'Capacity Forecast'!D$100</f>
        <v/>
      </c>
      <c r="E105" s="907">
        <f>'Capacity Forecast'!E$100</f>
        <v/>
      </c>
      <c r="F105" s="907">
        <f>'Capacity Forecast'!F$100</f>
        <v/>
      </c>
      <c r="G105" s="907">
        <f>'Capacity Forecast'!G$100</f>
        <v/>
      </c>
      <c r="H105" s="907">
        <f>'Capacity Forecast'!H$100</f>
        <v/>
      </c>
      <c r="I105" s="907">
        <f>'Capacity Forecast'!I$100</f>
        <v/>
      </c>
      <c r="J105" s="907">
        <f>'Capacity Forecast'!J$100</f>
        <v/>
      </c>
      <c r="K105" s="83" t="n"/>
      <c r="L105" s="344" t="inlineStr">
        <is>
          <t>06 Capacity</t>
        </is>
      </c>
      <c r="M105" s="352" t="inlineStr">
        <is>
          <t>Medium</t>
        </is>
      </c>
      <c r="N105" s="68" t="n"/>
      <c r="P105" s="708" t="inlineStr">
        <is>
          <t>CX13</t>
        </is>
      </c>
    </row>
    <row r="106" ht="48" customHeight="1" s="632">
      <c r="A106" s="69" t="inlineStr">
        <is>
          <t>Capex intensity</t>
        </is>
      </c>
      <c r="B106" s="78" t="inlineStr">
        <is>
          <t>Rs/t of capacity</t>
        </is>
      </c>
      <c r="C106" s="1105">
        <f>'Model Assumptions'!$D$23</f>
        <v/>
      </c>
      <c r="D106" s="1022">
        <f>'Model Assumptions'!E$23</f>
        <v/>
      </c>
      <c r="E106" s="1022">
        <f>'Model Assumptions'!F$23</f>
        <v/>
      </c>
      <c r="F106" s="1022">
        <f>'Model Assumptions'!G$23</f>
        <v/>
      </c>
      <c r="G106" s="1022">
        <f>'Model Assumptions'!H$23</f>
        <v/>
      </c>
      <c r="H106" s="1022">
        <f>'Model Assumptions'!I$23</f>
        <v/>
      </c>
      <c r="I106" s="1022">
        <f>'Model Assumptions'!J$23</f>
        <v/>
      </c>
      <c r="J106" s="1022">
        <f>'Model Assumptions'!K$23</f>
        <v/>
      </c>
      <c r="K106" s="83" t="n"/>
      <c r="L106" s="344" t="inlineStr">
        <is>
          <t>Derived from Master DB</t>
        </is>
      </c>
      <c r="M106" s="352" t="inlineStr">
        <is>
          <t>Medium</t>
        </is>
      </c>
      <c r="N106" s="345" t="inlineStr">
        <is>
          <t>Rs 55,000/t base. Cross-checks: JSW JVML 5 Mtpa at Rs 26,000 cr = Rs 52,000/t; SAIL roughly Rs 1 lakh cr for about 15 Mtpa = roughly Rs 67,000/t; Tata Ludhiana 0.75 Mtpa EAF at Rs 3,200 cr = Rs 42,700/t (lower, no ironmaking).</t>
        </is>
      </c>
      <c r="P106" s="708" t="inlineStr">
        <is>
          <t>CX14</t>
        </is>
      </c>
    </row>
    <row r="107">
      <c r="A107" s="69" t="inlineStr">
        <is>
          <t>Growth capex</t>
        </is>
      </c>
      <c r="B107" s="78" t="inlineStr">
        <is>
          <t>Rs cr</t>
        </is>
      </c>
      <c r="C107" s="1106">
        <f>C105*C106/10</f>
        <v/>
      </c>
      <c r="D107" s="1022">
        <f>D105*D106/10</f>
        <v/>
      </c>
      <c r="E107" s="1022">
        <f>E105*E106/10</f>
        <v/>
      </c>
      <c r="F107" s="1022">
        <f>F105*F106/10</f>
        <v/>
      </c>
      <c r="G107" s="1022">
        <f>G105*G106/10</f>
        <v/>
      </c>
      <c r="H107" s="1022">
        <f>H105*H106/10</f>
        <v/>
      </c>
      <c r="I107" s="1022">
        <f>I105*I106/10</f>
        <v/>
      </c>
      <c r="J107" s="1022">
        <f>J105*J106/10</f>
        <v/>
      </c>
      <c r="K107" s="83" t="n"/>
      <c r="L107" s="344" t="inlineStr">
        <is>
          <t>Computed</t>
        </is>
      </c>
      <c r="M107" s="352" t="inlineStr">
        <is>
          <t>Medium</t>
        </is>
      </c>
      <c r="N107" s="345" t="inlineStr">
        <is>
          <t>Unit bridge: Mtpa x Rs/t / 10 = Rs crore.</t>
        </is>
      </c>
      <c r="P107" s="708" t="inlineStr">
        <is>
          <t>CX15</t>
        </is>
      </c>
    </row>
    <row r="108" ht="48" customHeight="1" s="632">
      <c r="A108" s="69" t="inlineStr">
        <is>
          <t>Maintenance capex</t>
        </is>
      </c>
      <c r="B108" s="78" t="inlineStr">
        <is>
          <t>% of revenue</t>
        </is>
      </c>
      <c r="C108" s="1107">
        <f>'Model Assumptions'!$D$24</f>
        <v/>
      </c>
      <c r="D108" s="904">
        <f>'Model Assumptions'!E$24</f>
        <v/>
      </c>
      <c r="E108" s="904">
        <f>'Model Assumptions'!F$24</f>
        <v/>
      </c>
      <c r="F108" s="904">
        <f>'Model Assumptions'!G$24</f>
        <v/>
      </c>
      <c r="G108" s="904">
        <f>'Model Assumptions'!H$24</f>
        <v/>
      </c>
      <c r="H108" s="904">
        <f>'Model Assumptions'!I$24</f>
        <v/>
      </c>
      <c r="I108" s="904">
        <f>'Model Assumptions'!J$24</f>
        <v/>
      </c>
      <c r="J108" s="904">
        <f>'Model Assumptions'!K$24</f>
        <v/>
      </c>
      <c r="K108" s="83" t="n"/>
      <c r="L108" s="344" t="inlineStr">
        <is>
          <t>Indicative</t>
        </is>
      </c>
      <c r="M108" s="352" t="inlineStr">
        <is>
          <t>Low</t>
        </is>
      </c>
      <c r="N108" s="345" t="inlineStr">
        <is>
          <t>3.0% of revenue. Cross-check: Tata Steel FY2026 total capex of Rs 14,026 cr on Rs 2,32,140 cr revenue is 6.0%, but that includes growth capex, so 3.0% sustaining implies a roughly 50/50 split.</t>
        </is>
      </c>
      <c r="P108" s="708" t="inlineStr">
        <is>
          <t>CX16</t>
        </is>
      </c>
    </row>
    <row r="109">
      <c r="A109" s="69" t="inlineStr">
        <is>
          <t>Maintenance capex</t>
        </is>
      </c>
      <c r="B109" s="78" t="inlineStr">
        <is>
          <t>Rs cr</t>
        </is>
      </c>
      <c r="C109" s="1106">
        <f>C97*C108</f>
        <v/>
      </c>
      <c r="D109" s="1022">
        <f>D97*D108</f>
        <v/>
      </c>
      <c r="E109" s="1022">
        <f>E97*E108</f>
        <v/>
      </c>
      <c r="F109" s="1022">
        <f>F97*F108</f>
        <v/>
      </c>
      <c r="G109" s="1022">
        <f>G97*G108</f>
        <v/>
      </c>
      <c r="H109" s="1022">
        <f>H97*H108</f>
        <v/>
      </c>
      <c r="I109" s="1022">
        <f>I97*I108</f>
        <v/>
      </c>
      <c r="J109" s="1022">
        <f>J97*J108</f>
        <v/>
      </c>
      <c r="K109" s="83" t="n"/>
      <c r="L109" s="344" t="inlineStr">
        <is>
          <t>Computed</t>
        </is>
      </c>
      <c r="M109" s="352" t="inlineStr">
        <is>
          <t>Low</t>
        </is>
      </c>
      <c r="N109" s="68" t="n"/>
      <c r="P109" s="708" t="inlineStr">
        <is>
          <t>CX17</t>
        </is>
      </c>
    </row>
    <row r="110">
      <c r="A110" s="76" t="inlineStr">
        <is>
          <t>Total capex</t>
        </is>
      </c>
      <c r="B110" s="78" t="inlineStr">
        <is>
          <t>Rs cr</t>
        </is>
      </c>
      <c r="C110" s="1106">
        <f>C107+C109</f>
        <v/>
      </c>
      <c r="D110" s="1023">
        <f>D107+D109</f>
        <v/>
      </c>
      <c r="E110" s="1023">
        <f>E107+E109</f>
        <v/>
      </c>
      <c r="F110" s="1023">
        <f>F107+F109</f>
        <v/>
      </c>
      <c r="G110" s="1023">
        <f>G107+G109</f>
        <v/>
      </c>
      <c r="H110" s="1023">
        <f>H107+H109</f>
        <v/>
      </c>
      <c r="I110" s="1023">
        <f>I107+I109</f>
        <v/>
      </c>
      <c r="J110" s="1023">
        <f>J107+J109</f>
        <v/>
      </c>
      <c r="K110" s="83" t="n"/>
      <c r="L110" s="344" t="inlineStr">
        <is>
          <t>Computed</t>
        </is>
      </c>
      <c r="M110" s="352" t="inlineStr">
        <is>
          <t>Medium</t>
        </is>
      </c>
      <c r="N110" s="68" t="n"/>
      <c r="P110" s="708" t="inlineStr">
        <is>
          <t>CX18</t>
        </is>
      </c>
    </row>
    <row r="111">
      <c r="A111" s="71" t="n"/>
      <c r="B111" s="83" t="n"/>
      <c r="C111" s="83" t="n"/>
      <c r="D111" s="83" t="n"/>
      <c r="E111" s="83" t="n"/>
      <c r="F111" s="83" t="n"/>
      <c r="G111" s="83" t="n"/>
      <c r="H111" s="83" t="n"/>
      <c r="I111" s="83" t="n"/>
      <c r="J111" s="83" t="n"/>
      <c r="K111" s="83" t="n"/>
      <c r="L111" s="45" t="n"/>
      <c r="M111" s="83" t="n"/>
      <c r="N111" s="68" t="n"/>
    </row>
    <row r="112">
      <c r="A112" s="836" t="inlineStr">
        <is>
          <t>FREE CASH FLOW</t>
        </is>
      </c>
      <c r="B112" s="837" t="n"/>
      <c r="C112" s="837" t="n"/>
      <c r="D112" s="837" t="n"/>
      <c r="E112" s="837" t="n"/>
      <c r="F112" s="837" t="n"/>
      <c r="G112" s="837" t="n"/>
      <c r="H112" s="837" t="n"/>
      <c r="I112" s="837" t="n"/>
      <c r="J112" s="837" t="n"/>
      <c r="K112" s="837" t="n"/>
      <c r="L112" s="837" t="n"/>
      <c r="M112" s="837" t="n"/>
      <c r="N112" s="838" t="n"/>
    </row>
    <row r="113">
      <c r="A113" s="69" t="inlineStr">
        <is>
          <t>Change in net working capital</t>
        </is>
      </c>
      <c r="B113" s="78" t="inlineStr">
        <is>
          <t>Rs cr</t>
        </is>
      </c>
      <c r="C113" s="1108" t="n">
        <v>0</v>
      </c>
      <c r="D113" s="1022">
        <f>'Working Capital Model'!D$73</f>
        <v/>
      </c>
      <c r="E113" s="1022">
        <f>'Working Capital Model'!E$73</f>
        <v/>
      </c>
      <c r="F113" s="1022">
        <f>'Working Capital Model'!F$73</f>
        <v/>
      </c>
      <c r="G113" s="1022">
        <f>'Working Capital Model'!G$73</f>
        <v/>
      </c>
      <c r="H113" s="1022">
        <f>'Working Capital Model'!H$73</f>
        <v/>
      </c>
      <c r="I113" s="1022">
        <f>'Working Capital Model'!I$73</f>
        <v/>
      </c>
      <c r="J113" s="1022">
        <f>'Working Capital Model'!J$73</f>
        <v/>
      </c>
      <c r="K113" s="83" t="n"/>
      <c r="L113" s="344" t="inlineStr">
        <is>
          <t>15 WC</t>
        </is>
      </c>
      <c r="M113" s="352" t="inlineStr">
        <is>
          <t>Low</t>
        </is>
      </c>
      <c r="N113" s="68" t="n"/>
      <c r="P113" s="708" t="inlineStr">
        <is>
          <t>CX19</t>
        </is>
      </c>
    </row>
    <row r="114" ht="36" customHeight="1" s="632">
      <c r="A114" s="76" t="inlineStr">
        <is>
          <t>UNLEVERED FREE CASH FLOW</t>
        </is>
      </c>
      <c r="B114" s="78" t="inlineStr">
        <is>
          <t>Rs cr</t>
        </is>
      </c>
      <c r="C114" s="1106">
        <f>C96-C102-C110-C113</f>
        <v/>
      </c>
      <c r="D114" s="1023">
        <f>D96-D102-D110-D113</f>
        <v/>
      </c>
      <c r="E114" s="1023">
        <f>E96-E102-E110-E113</f>
        <v/>
      </c>
      <c r="F114" s="1023">
        <f>F96-F102-F110-F113</f>
        <v/>
      </c>
      <c r="G114" s="1023">
        <f>G96-G102-G110-G113</f>
        <v/>
      </c>
      <c r="H114" s="1023">
        <f>H96-H102-H110-H113</f>
        <v/>
      </c>
      <c r="I114" s="1023">
        <f>I96-I102-I110-I113</f>
        <v/>
      </c>
      <c r="J114" s="1023">
        <f>J96-J102-J110-J113</f>
        <v/>
      </c>
      <c r="K114" s="83" t="n"/>
      <c r="L114" s="344" t="inlineStr">
        <is>
          <t>Computed</t>
        </is>
      </c>
      <c r="M114" s="352" t="inlineStr">
        <is>
          <t>Medium</t>
        </is>
      </c>
      <c r="N114" s="345" t="inlineStr">
        <is>
          <t>EBITDA less cash tax less total capex less the change in working capital. Pre-financing, which is what an enterprise DCF discounts.</t>
        </is>
      </c>
      <c r="P114" s="708" t="inlineStr">
        <is>
          <t>CX20</t>
        </is>
      </c>
    </row>
    <row r="115" ht="48.6" customHeight="1" s="632" thickBot="1">
      <c r="A115" s="72" t="inlineStr">
        <is>
          <t>FCF conversion</t>
        </is>
      </c>
      <c r="B115" s="79" t="inlineStr">
        <is>
          <t>% of EBITDA</t>
        </is>
      </c>
      <c r="C115" s="1109">
        <f>IFERROR(C114/C96,"")</f>
        <v/>
      </c>
      <c r="D115" s="910">
        <f>IFERROR(D114/D96,"")</f>
        <v/>
      </c>
      <c r="E115" s="910">
        <f>IFERROR(E114/E96,"")</f>
        <v/>
      </c>
      <c r="F115" s="910">
        <f>IFERROR(F114/F96,"")</f>
        <v/>
      </c>
      <c r="G115" s="910">
        <f>IFERROR(G114/G96,"")</f>
        <v/>
      </c>
      <c r="H115" s="910">
        <f>IFERROR(H114/H96,"")</f>
        <v/>
      </c>
      <c r="I115" s="910">
        <f>IFERROR(I114/I96,"")</f>
        <v/>
      </c>
      <c r="J115" s="910">
        <f>IFERROR(J114/J96,"")</f>
        <v/>
      </c>
      <c r="K115" s="97" t="n"/>
      <c r="L115" s="346" t="inlineStr">
        <is>
          <t>Computed</t>
        </is>
      </c>
      <c r="M115" s="353" t="inlineStr">
        <is>
          <t>Medium</t>
        </is>
      </c>
      <c r="N115" s="347" t="inlineStr">
        <is>
          <t>Low or negative conversion in the early years is the signature of an industry in heavy build-out - roughly 20 Mtpa a year of capacity at Rs 55,000/t is about Rs 1.1 lakh crore of growth capex annually.</t>
        </is>
      </c>
      <c r="P115" s="708" t="inlineStr">
        <is>
          <t>CX21</t>
        </is>
      </c>
    </row>
    <row r="116"/>
    <row r="117">
      <c r="A117" s="393" t="inlineStr">
        <is>
          <t>This is an INDUSTRY aggregate. For a single-name DCF, substitute that company's volume, realisation spread, cost spread, capex programme and working capital, all of which are already isolated as separate lines in this workbook.</t>
        </is>
      </c>
    </row>
  </sheetData>
  <mergeCells count="14">
    <mergeCell ref="A29:I29"/>
    <mergeCell ref="A7:I7"/>
    <mergeCell ref="A47:I47"/>
    <mergeCell ref="A104:N104"/>
    <mergeCell ref="A5:N5"/>
    <mergeCell ref="A112:N112"/>
    <mergeCell ref="A2:G2"/>
    <mergeCell ref="A18:I18"/>
    <mergeCell ref="A58:I58"/>
    <mergeCell ref="A77:I77"/>
    <mergeCell ref="A69:I69"/>
    <mergeCell ref="A117:N117"/>
    <mergeCell ref="A38:I38"/>
    <mergeCell ref="A1:N1"/>
  </mergeCells>
  <hyperlinks>
    <hyperlink ref="K26" location="'Audit Checks'!A525" tooltip="Open the reference register on 25 Audit Checks"/>
    <hyperlink ref="K49" location="'Audit Checks'!A525" tooltip="Open the reference register on 25 Audit Checks"/>
    <hyperlink ref="K50" location="'Audit Checks'!A525" tooltip="Open the reference register on 25 Audit Checks"/>
    <hyperlink ref="K51" location="'Audit Checks'!A525" tooltip="Open the reference register on 25 Audit Checks"/>
    <hyperlink ref="K52" location="'Audit Checks'!A525" tooltip="Open the reference register on 25 Audit Checks"/>
    <hyperlink ref="K53" location="'Audit Checks'!A525" tooltip="Open the reference register on 25 Audit Checks"/>
    <hyperlink ref="K54" location="'Audit Checks'!A525" tooltip="Open the reference register on 25 Audit Checks"/>
    <hyperlink ref="K55" location="'Audit Checks'!A525" tooltip="Open the reference register on 25 Audit Checks"/>
    <hyperlink ref="K60" location="'Audit Checks'!A525" tooltip="Open the reference register on 25 Audit Checks"/>
    <hyperlink ref="K61" location="'Audit Checks'!A525" tooltip="Open the reference register on 25 Audit Checks"/>
    <hyperlink ref="K62" location="'Audit Checks'!A525" tooltip="Open the reference register on 25 Audit Checks"/>
    <hyperlink ref="K63" location="'Audit Checks'!A525" tooltip="Open the reference register on 25 Audit Checks"/>
    <hyperlink ref="K64" location="'Audit Checks'!A525" tooltip="Open the reference register on 25 Audit Checks"/>
    <hyperlink ref="K65" location="'Audit Checks'!A525" tooltip="Open the reference register on 25 Audit Checks"/>
    <hyperlink ref="K66" location="'Audit Checks'!A525" tooltip="Open the reference register on 25 Audit Checks"/>
    <hyperlink ref="G85" location="'Audit Checks'!A525" tooltip="Open the reference register on 25 Audit Checks"/>
    <hyperlink ref="P96" location="'Audit Checks'!A525" tooltip="Open the reference register on 25 Audit Checks"/>
    <hyperlink ref="P97" location="'Audit Checks'!A525" tooltip="Open the reference register on 25 Audit Checks"/>
    <hyperlink ref="P98" location="'Audit Checks'!A525" tooltip="Open the reference register on 25 Audit Checks"/>
    <hyperlink ref="P99" location="'Audit Checks'!A525" tooltip="Open the reference register on 25 Audit Checks"/>
    <hyperlink ref="P100" location="'Audit Checks'!A525" tooltip="Open the reference register on 25 Audit Checks"/>
    <hyperlink ref="P101" location="'Audit Checks'!A525" tooltip="Open the reference register on 25 Audit Checks"/>
    <hyperlink ref="P102" location="'Audit Checks'!A525" tooltip="Open the reference register on 25 Audit Checks"/>
    <hyperlink ref="P105" location="'Audit Checks'!A525" tooltip="Open the reference register on 25 Audit Checks"/>
    <hyperlink ref="P106" location="'Audit Checks'!A525" tooltip="Open the reference register on 25 Audit Checks"/>
    <hyperlink ref="P107" location="'Audit Checks'!A525" tooltip="Open the reference register on 25 Audit Checks"/>
    <hyperlink ref="P108" location="'Audit Checks'!A525" tooltip="Open the reference register on 25 Audit Checks"/>
    <hyperlink ref="P109" location="'Audit Checks'!A525" tooltip="Open the reference register on 25 Audit Checks"/>
    <hyperlink ref="P110" location="'Audit Checks'!A525" tooltip="Open the reference register on 25 Audit Checks"/>
    <hyperlink ref="P113" location="'Audit Checks'!A525" tooltip="Open the reference register on 25 Audit Checks"/>
    <hyperlink ref="P114" location="'Audit Checks'!A525" tooltip="Open the reference register on 25 Audit Checks"/>
    <hyperlink ref="P115" location="'Audit Checks'!A525" tooltip="Open the reference register on 25 Audit Checks"/>
  </hyperlink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codeName="Sheet22">
    <tabColor rgb="FF002060"/>
    <outlinePr summaryBelow="1" summaryRight="1"/>
    <pageSetUpPr/>
  </sheetPr>
  <dimension ref="A1:P91"/>
  <sheetViews>
    <sheetView showGridLines="0" workbookViewId="0">
      <selection activeCell="A7" sqref="A7:I16"/>
    </sheetView>
  </sheetViews>
  <sheetFormatPr baseColWidth="8" defaultRowHeight="14.4"/>
  <cols>
    <col width="30.6640625" customWidth="1" style="690" min="1" max="1"/>
    <col width="12.5546875" customWidth="1" style="129" min="2" max="8"/>
    <col width="7" customWidth="1" style="632" min="7" max="7"/>
    <col width="7" customWidth="1" style="632" min="8" max="8"/>
    <col width="13" customWidth="1" style="690" min="9" max="9"/>
    <col width="10.109375" customWidth="1" style="690" min="10" max="11"/>
    <col width="7" customWidth="1" style="632" min="11" max="11"/>
    <col width="16.109375" customWidth="1" style="690" min="12" max="12"/>
    <col width="6.5546875" bestFit="1" customWidth="1" style="129" min="13" max="13"/>
    <col width="52" customWidth="1" style="690" min="14" max="14"/>
    <col width="8.88671875" customWidth="1" style="690" min="15" max="16384"/>
    <col width="7" customWidth="1" style="632" min="16" max="16"/>
  </cols>
  <sheetData>
    <row r="1" ht="25.8" customHeight="1" s="632">
      <c r="A1" s="365" t="inlineStr">
        <is>
          <t>CAPITAL ALLOCATION</t>
        </is>
      </c>
    </row>
    <row r="2">
      <c r="A2" s="494" t="inlineStr">
        <is>
          <t>Industry Financial Model  |  Indian Steel Industry  |  Horizon FY2027E-FY2033E  |  Base year FY2026A</t>
        </is>
      </c>
    </row>
    <row r="3">
      <c r="A3" s="415" t="n"/>
    </row>
    <row r="4">
      <c r="A4" s="411" t="inlineStr">
        <is>
          <t>OBJECTIVE</t>
        </is>
      </c>
    </row>
    <row r="5">
      <c r="A5" s="394" t="inlineStr">
        <is>
          <t>Forecast how the Indian steel industry allocates free cash flow across growth investments, debt reduction, shareholder returns, acquisitions, and liquidity.</t>
        </is>
      </c>
    </row>
    <row r="6">
      <c r="A6" s="394" t="n"/>
      <c r="B6" s="617" t="n"/>
      <c r="C6" s="617" t="n"/>
      <c r="D6" s="617" t="n"/>
      <c r="E6" s="617" t="n"/>
      <c r="F6" s="617" t="n"/>
      <c r="G6" s="617" t="n"/>
      <c r="H6" s="617" t="n"/>
      <c r="I6" s="394" t="n"/>
      <c r="J6" s="394" t="n"/>
      <c r="K6" s="394" t="n"/>
      <c r="L6" s="394" t="n"/>
      <c r="M6" s="394" t="n"/>
      <c r="N6" s="394" t="n"/>
    </row>
    <row r="7" ht="15.6" customHeight="1" s="632">
      <c r="A7" s="612" t="inlineStr">
        <is>
          <t>Executive Summary</t>
        </is>
      </c>
      <c r="J7" s="394" t="n"/>
      <c r="K7" s="394" t="n"/>
      <c r="L7" s="394" t="n"/>
      <c r="M7" s="394" t="n"/>
      <c r="N7" s="394" t="n"/>
    </row>
    <row r="8">
      <c r="A8" s="539" t="inlineStr">
        <is>
          <t>KPI</t>
        </is>
      </c>
      <c r="B8" s="544" t="inlineStr">
        <is>
          <t>FY26A</t>
        </is>
      </c>
      <c r="C8" s="544" t="inlineStr">
        <is>
          <t>FY27E</t>
        </is>
      </c>
      <c r="D8" s="544" t="inlineStr">
        <is>
          <t>FY28E</t>
        </is>
      </c>
      <c r="E8" s="544" t="inlineStr">
        <is>
          <t>FY29E</t>
        </is>
      </c>
      <c r="F8" s="544" t="inlineStr">
        <is>
          <t>FY30E</t>
        </is>
      </c>
      <c r="G8" s="544" t="inlineStr">
        <is>
          <t>FY31E</t>
        </is>
      </c>
      <c r="H8" s="544" t="inlineStr">
        <is>
          <t>FY32E</t>
        </is>
      </c>
      <c r="I8" s="544" t="inlineStr">
        <is>
          <t>FY33E</t>
        </is>
      </c>
      <c r="J8" s="394" t="n"/>
      <c r="K8" s="707" t="inlineStr">
        <is>
          <t>Ref</t>
        </is>
      </c>
      <c r="L8" s="394" t="n"/>
      <c r="M8" s="394" t="n"/>
      <c r="N8" s="394" t="n"/>
    </row>
    <row r="9">
      <c r="A9" s="670" t="inlineStr">
        <is>
          <t>Free Cash Flow (₹ Cr)</t>
        </is>
      </c>
      <c r="B9" s="1082">
        <f>'Cash Flow Model'!$C$114</f>
        <v/>
      </c>
      <c r="C9" s="1082">
        <f>'Cash Flow Model'!$D$114</f>
        <v/>
      </c>
      <c r="D9" s="1082">
        <f>'Cash Flow Model'!$E$114</f>
        <v/>
      </c>
      <c r="E9" s="1082">
        <f>'Cash Flow Model'!$F$114</f>
        <v/>
      </c>
      <c r="F9" s="1082">
        <f>'Cash Flow Model'!$G$114</f>
        <v/>
      </c>
      <c r="G9" s="1082">
        <f>'Cash Flow Model'!$H$114</f>
        <v/>
      </c>
      <c r="H9" s="1082">
        <f>'Cash Flow Model'!$I$114</f>
        <v/>
      </c>
      <c r="I9" s="1098">
        <f>'Cash Flow Model'!$J$114</f>
        <v/>
      </c>
      <c r="J9" s="394" t="n"/>
      <c r="K9" s="394" t="n"/>
      <c r="L9" s="394" t="n"/>
      <c r="M9" s="394" t="n"/>
      <c r="N9" s="394" t="n"/>
    </row>
    <row r="10">
      <c r="A10" s="670" t="inlineStr">
        <is>
          <t>Growth Capex</t>
        </is>
      </c>
      <c r="B10" s="1082">
        <f>'Cash Flow Model'!$C$107</f>
        <v/>
      </c>
      <c r="C10" s="1082">
        <f>'Cash Flow Model'!$D$107</f>
        <v/>
      </c>
      <c r="D10" s="1082">
        <f>'Cash Flow Model'!$E$107</f>
        <v/>
      </c>
      <c r="E10" s="1082">
        <f>'Cash Flow Model'!$F$107</f>
        <v/>
      </c>
      <c r="F10" s="1082">
        <f>'Cash Flow Model'!$G$107</f>
        <v/>
      </c>
      <c r="G10" s="1082">
        <f>'Cash Flow Model'!$H$107</f>
        <v/>
      </c>
      <c r="H10" s="1082">
        <f>'Cash Flow Model'!$I$107</f>
        <v/>
      </c>
      <c r="I10" s="1098">
        <f>'Cash Flow Model'!$J$107</f>
        <v/>
      </c>
      <c r="J10" s="394" t="n"/>
      <c r="K10" s="394" t="n"/>
      <c r="L10" s="394" t="n"/>
      <c r="M10" s="394" t="n"/>
      <c r="N10" s="394" t="n"/>
    </row>
    <row r="11">
      <c r="A11" s="670" t="inlineStr">
        <is>
          <t>Maintenance Capex</t>
        </is>
      </c>
      <c r="B11" s="1082">
        <f>'Cash Flow Model'!$C$109</f>
        <v/>
      </c>
      <c r="C11" s="1082">
        <f>'Cash Flow Model'!$D$109</f>
        <v/>
      </c>
      <c r="D11" s="1082">
        <f>'Cash Flow Model'!$E$109</f>
        <v/>
      </c>
      <c r="E11" s="1082">
        <f>'Cash Flow Model'!$F$109</f>
        <v/>
      </c>
      <c r="F11" s="1082">
        <f>'Cash Flow Model'!$G$109</f>
        <v/>
      </c>
      <c r="G11" s="1082">
        <f>'Cash Flow Model'!$H$109</f>
        <v/>
      </c>
      <c r="H11" s="1082">
        <f>'Cash Flow Model'!$I$109</f>
        <v/>
      </c>
      <c r="I11" s="1098">
        <f>'Cash Flow Model'!$J$109</f>
        <v/>
      </c>
      <c r="J11" s="394" t="n"/>
      <c r="K11" s="394" t="n"/>
      <c r="L11" s="394" t="n"/>
      <c r="M11" s="394" t="n"/>
      <c r="N11" s="394" t="n"/>
    </row>
    <row r="12">
      <c r="A12" s="670" t="inlineStr">
        <is>
          <t>Debt Reduction</t>
        </is>
      </c>
      <c r="B12" s="1084">
        <f>0</f>
        <v/>
      </c>
      <c r="C12" s="1084">
        <f>D77-D80</f>
        <v/>
      </c>
      <c r="D12" s="1084">
        <f>E77-E80</f>
        <v/>
      </c>
      <c r="E12" s="1084">
        <f>F77-F80</f>
        <v/>
      </c>
      <c r="F12" s="1084">
        <f>G77-G80</f>
        <v/>
      </c>
      <c r="G12" s="1084">
        <f>H77-H80</f>
        <v/>
      </c>
      <c r="H12" s="1084">
        <f>I77-I80</f>
        <v/>
      </c>
      <c r="I12" s="1097">
        <f>J77-J80</f>
        <v/>
      </c>
      <c r="J12" s="394" t="n"/>
      <c r="K12" s="394" t="n"/>
      <c r="L12" s="394" t="n"/>
      <c r="M12" s="394" t="n"/>
      <c r="N12" s="394" t="n"/>
    </row>
    <row r="13">
      <c r="A13" s="670" t="inlineStr">
        <is>
          <t>Dividends</t>
        </is>
      </c>
      <c r="B13" s="1110" t="n">
        <v>0</v>
      </c>
      <c r="C13" s="1110" t="n">
        <v>0</v>
      </c>
      <c r="D13" s="1110" t="n">
        <v>0</v>
      </c>
      <c r="E13" s="1110" t="n">
        <v>0</v>
      </c>
      <c r="F13" s="1110" t="n">
        <v>0</v>
      </c>
      <c r="G13" s="1110" t="n">
        <v>0</v>
      </c>
      <c r="H13" s="1110" t="n">
        <v>0</v>
      </c>
      <c r="I13" s="1102" t="n">
        <v>0</v>
      </c>
      <c r="J13" s="394" t="n"/>
      <c r="K13" s="708" t="inlineStr">
        <is>
          <t>CA01</t>
        </is>
      </c>
      <c r="L13" s="394" t="n"/>
      <c r="M13" s="394" t="n"/>
      <c r="N13" s="394" t="n"/>
    </row>
    <row r="14">
      <c r="A14" s="670" t="inlineStr">
        <is>
          <t>Share Buybacks</t>
        </is>
      </c>
      <c r="B14" s="1110" t="n">
        <v>0</v>
      </c>
      <c r="C14" s="1110" t="n">
        <v>0</v>
      </c>
      <c r="D14" s="1110" t="n">
        <v>0</v>
      </c>
      <c r="E14" s="1110" t="n">
        <v>0</v>
      </c>
      <c r="F14" s="1110" t="n">
        <v>0</v>
      </c>
      <c r="G14" s="1110" t="n">
        <v>0</v>
      </c>
      <c r="H14" s="1110" t="n">
        <v>0</v>
      </c>
      <c r="I14" s="1102" t="n">
        <v>0</v>
      </c>
      <c r="J14" s="394" t="n"/>
      <c r="K14" s="708" t="inlineStr">
        <is>
          <t>CA01</t>
        </is>
      </c>
      <c r="L14" s="394" t="n"/>
      <c r="M14" s="394" t="n"/>
      <c r="N14" s="394" t="n"/>
    </row>
    <row r="15">
      <c r="A15" s="670" t="inlineStr">
        <is>
          <t>M&amp;A Investment</t>
        </is>
      </c>
      <c r="B15" s="1110" t="n">
        <v>0</v>
      </c>
      <c r="C15" s="1110" t="n">
        <v>0</v>
      </c>
      <c r="D15" s="1110" t="n">
        <v>0</v>
      </c>
      <c r="E15" s="1110" t="n">
        <v>0</v>
      </c>
      <c r="F15" s="1110" t="n">
        <v>0</v>
      </c>
      <c r="G15" s="1110" t="n">
        <v>0</v>
      </c>
      <c r="H15" s="1110" t="n">
        <v>0</v>
      </c>
      <c r="I15" s="1102" t="n">
        <v>0</v>
      </c>
      <c r="J15" s="394" t="n"/>
      <c r="K15" s="708" t="inlineStr">
        <is>
          <t>CA01</t>
        </is>
      </c>
      <c r="L15" s="394" t="n"/>
      <c r="M15" s="394" t="n"/>
      <c r="N15" s="394" t="n"/>
    </row>
    <row r="16">
      <c r="A16" s="670" t="inlineStr">
        <is>
          <t>Cash Retained</t>
        </is>
      </c>
      <c r="B16" s="1083">
        <f>B9-B10-B11</f>
        <v/>
      </c>
      <c r="C16" s="1083">
        <f>D78-D79-(D77-D80)</f>
        <v/>
      </c>
      <c r="D16" s="1083">
        <f>E78-E79-(E77-E80)</f>
        <v/>
      </c>
      <c r="E16" s="1083">
        <f>F78-F79-(F77-F80)</f>
        <v/>
      </c>
      <c r="F16" s="1083">
        <f>G78-G79-(G77-G80)</f>
        <v/>
      </c>
      <c r="G16" s="1083">
        <f>H78-H79-(H77-H80)</f>
        <v/>
      </c>
      <c r="H16" s="1083">
        <f>I78-I79-(I77-I80)</f>
        <v/>
      </c>
      <c r="I16" s="1101">
        <f>J78-J79-(J77-J80)</f>
        <v/>
      </c>
      <c r="J16" s="394" t="n"/>
      <c r="K16" s="394" t="n"/>
      <c r="L16" s="394" t="n"/>
      <c r="M16" s="394" t="n"/>
      <c r="N16" s="394" t="n"/>
    </row>
    <row r="17">
      <c r="A17" s="394" t="n"/>
      <c r="B17" s="617" t="n"/>
      <c r="C17" s="617" t="n"/>
      <c r="D17" s="617" t="n"/>
      <c r="E17" s="617" t="n"/>
      <c r="F17" s="617" t="n"/>
      <c r="G17" s="617" t="n"/>
      <c r="H17" s="617" t="n"/>
      <c r="I17" s="394" t="n"/>
      <c r="J17" s="394" t="n"/>
      <c r="K17" s="394" t="n"/>
      <c r="L17" s="394" t="n"/>
      <c r="M17" s="394" t="n"/>
      <c r="N17" s="394" t="n"/>
    </row>
    <row r="18">
      <c r="A18" s="394" t="n"/>
      <c r="B18" s="617" t="n"/>
      <c r="C18" s="617" t="n"/>
      <c r="D18" s="617" t="n"/>
      <c r="E18" s="617" t="n"/>
      <c r="F18" s="617" t="n"/>
      <c r="G18" s="617" t="n"/>
      <c r="H18" s="617" t="n"/>
      <c r="I18" s="394" t="n"/>
      <c r="J18" s="394" t="n"/>
      <c r="K18" s="394" t="n"/>
      <c r="L18" s="394" t="n"/>
      <c r="M18" s="394" t="n"/>
      <c r="N18" s="394" t="n"/>
    </row>
    <row r="19" ht="15.6" customHeight="1" s="632">
      <c r="A19" s="612" t="inlineStr">
        <is>
          <t>Capital Allocation Waterfall</t>
        </is>
      </c>
      <c r="J19" s="394" t="n"/>
      <c r="K19" s="394" t="n"/>
      <c r="L19" s="394" t="n"/>
      <c r="M19" s="394" t="n"/>
      <c r="N19" s="394" t="n"/>
    </row>
    <row r="20">
      <c r="A20" s="539" t="inlineStr">
        <is>
          <t>Item</t>
        </is>
      </c>
      <c r="B20" s="544" t="inlineStr">
        <is>
          <t>FY27E</t>
        </is>
      </c>
      <c r="C20" s="544" t="inlineStr">
        <is>
          <t>FY28E</t>
        </is>
      </c>
      <c r="D20" s="544" t="inlineStr">
        <is>
          <t>FY29E</t>
        </is>
      </c>
      <c r="E20" s="544" t="inlineStr">
        <is>
          <t>FY30E</t>
        </is>
      </c>
      <c r="F20" s="544" t="inlineStr">
        <is>
          <t>FY31E</t>
        </is>
      </c>
      <c r="G20" s="544" t="inlineStr">
        <is>
          <t>FY32E</t>
        </is>
      </c>
      <c r="H20" s="544" t="inlineStr">
        <is>
          <t>FY33E</t>
        </is>
      </c>
      <c r="I20" s="394" t="n"/>
      <c r="J20" s="707" t="inlineStr">
        <is>
          <t>Ref</t>
        </is>
      </c>
      <c r="K20" s="394" t="n"/>
      <c r="L20" s="394" t="n"/>
      <c r="M20" s="394" t="n"/>
      <c r="N20" s="394" t="n"/>
    </row>
    <row r="21">
      <c r="A21" s="670" t="inlineStr">
        <is>
          <t>Opening Free Cash Flow</t>
        </is>
      </c>
      <c r="B21" s="1084">
        <f>'Cash Flow Model'!D96-'Cash Flow Model'!D102-'Cash Flow Model'!D113</f>
        <v/>
      </c>
      <c r="C21" s="1084">
        <f>'Cash Flow Model'!E96-'Cash Flow Model'!E102-'Cash Flow Model'!E113</f>
        <v/>
      </c>
      <c r="D21" s="1084">
        <f>'Cash Flow Model'!F96-'Cash Flow Model'!F102-'Cash Flow Model'!F113</f>
        <v/>
      </c>
      <c r="E21" s="1084">
        <f>'Cash Flow Model'!G96-'Cash Flow Model'!G102-'Cash Flow Model'!G113</f>
        <v/>
      </c>
      <c r="F21" s="1084">
        <f>'Cash Flow Model'!H96-'Cash Flow Model'!H102-'Cash Flow Model'!H113</f>
        <v/>
      </c>
      <c r="G21" s="1084">
        <f>'Cash Flow Model'!I96-'Cash Flow Model'!I102-'Cash Flow Model'!I113</f>
        <v/>
      </c>
      <c r="H21" s="1084">
        <f>'Cash Flow Model'!J96-'Cash Flow Model'!J102-'Cash Flow Model'!J113</f>
        <v/>
      </c>
      <c r="I21" s="394" t="n"/>
      <c r="J21" s="394" t="n"/>
      <c r="K21" s="394" t="n"/>
      <c r="L21" s="394" t="n"/>
      <c r="M21" s="394" t="n"/>
      <c r="N21" s="394" t="n"/>
    </row>
    <row r="22">
      <c r="A22" s="670" t="inlineStr">
        <is>
          <t>Growth Capex</t>
        </is>
      </c>
      <c r="B22" s="1084">
        <f>-'Cash Flow Model'!D107</f>
        <v/>
      </c>
      <c r="C22" s="1084">
        <f>-'Cash Flow Model'!E107</f>
        <v/>
      </c>
      <c r="D22" s="1084">
        <f>-'Cash Flow Model'!F107</f>
        <v/>
      </c>
      <c r="E22" s="1084">
        <f>-'Cash Flow Model'!G107</f>
        <v/>
      </c>
      <c r="F22" s="1084">
        <f>-'Cash Flow Model'!H107</f>
        <v/>
      </c>
      <c r="G22" s="1084">
        <f>-'Cash Flow Model'!I107</f>
        <v/>
      </c>
      <c r="H22" s="1084">
        <f>-'Cash Flow Model'!J107</f>
        <v/>
      </c>
      <c r="I22" s="394" t="n"/>
      <c r="J22" s="394" t="n"/>
      <c r="K22" s="394" t="n"/>
      <c r="L22" s="394" t="n"/>
      <c r="M22" s="394" t="n"/>
      <c r="N22" s="394" t="n"/>
    </row>
    <row r="23">
      <c r="A23" s="670" t="inlineStr">
        <is>
          <t>Maintenance Capex</t>
        </is>
      </c>
      <c r="B23" s="1084">
        <f>-'Cash Flow Model'!D109</f>
        <v/>
      </c>
      <c r="C23" s="1084">
        <f>-'Cash Flow Model'!E109</f>
        <v/>
      </c>
      <c r="D23" s="1084">
        <f>-'Cash Flow Model'!F109</f>
        <v/>
      </c>
      <c r="E23" s="1084">
        <f>-'Cash Flow Model'!G109</f>
        <v/>
      </c>
      <c r="F23" s="1084">
        <f>-'Cash Flow Model'!H109</f>
        <v/>
      </c>
      <c r="G23" s="1084">
        <f>-'Cash Flow Model'!I109</f>
        <v/>
      </c>
      <c r="H23" s="1084">
        <f>-'Cash Flow Model'!J109</f>
        <v/>
      </c>
      <c r="I23" s="394" t="n"/>
      <c r="J23" s="394" t="n"/>
      <c r="K23" s="394" t="n"/>
      <c r="L23" s="394" t="n"/>
      <c r="M23" s="394" t="n"/>
      <c r="N23" s="394" t="n"/>
    </row>
    <row r="24">
      <c r="A24" s="670" t="inlineStr">
        <is>
          <t>Debt Repayment</t>
        </is>
      </c>
      <c r="B24" s="1084">
        <f>-(D77-D80)</f>
        <v/>
      </c>
      <c r="C24" s="1084">
        <f>-(E77-E80)</f>
        <v/>
      </c>
      <c r="D24" s="1084">
        <f>-(F77-F80)</f>
        <v/>
      </c>
      <c r="E24" s="1084">
        <f>-(G77-G80)</f>
        <v/>
      </c>
      <c r="F24" s="1084">
        <f>-(H77-H80)</f>
        <v/>
      </c>
      <c r="G24" s="1084">
        <f>-(I77-I80)</f>
        <v/>
      </c>
      <c r="H24" s="1084">
        <f>-(J77-J80)</f>
        <v/>
      </c>
      <c r="I24" s="394" t="n"/>
      <c r="J24" s="394" t="n"/>
      <c r="K24" s="394" t="n"/>
      <c r="L24" s="394" t="n"/>
      <c r="M24" s="394" t="n"/>
      <c r="N24" s="394" t="n"/>
    </row>
    <row r="25">
      <c r="A25" s="670" t="inlineStr">
        <is>
          <t>Interest Payments</t>
        </is>
      </c>
      <c r="B25" s="1084">
        <f>-D79</f>
        <v/>
      </c>
      <c r="C25" s="1084">
        <f>-E79</f>
        <v/>
      </c>
      <c r="D25" s="1084">
        <f>-F79</f>
        <v/>
      </c>
      <c r="E25" s="1084">
        <f>-G79</f>
        <v/>
      </c>
      <c r="F25" s="1084">
        <f>-H79</f>
        <v/>
      </c>
      <c r="G25" s="1084">
        <f>-I79</f>
        <v/>
      </c>
      <c r="H25" s="1084">
        <f>-J79</f>
        <v/>
      </c>
      <c r="I25" s="394" t="n"/>
      <c r="J25" s="394" t="n"/>
      <c r="K25" s="394" t="n"/>
      <c r="L25" s="394" t="n"/>
      <c r="M25" s="394" t="n"/>
      <c r="N25" s="394" t="n"/>
    </row>
    <row r="26">
      <c r="A26" s="670" t="inlineStr">
        <is>
          <t>Dividends</t>
        </is>
      </c>
      <c r="B26" s="1110" t="n">
        <v>0</v>
      </c>
      <c r="C26" s="1110" t="n">
        <v>0</v>
      </c>
      <c r="D26" s="1110" t="n">
        <v>0</v>
      </c>
      <c r="E26" s="1110" t="n">
        <v>0</v>
      </c>
      <c r="F26" s="1110" t="n">
        <v>0</v>
      </c>
      <c r="G26" s="1110" t="n">
        <v>0</v>
      </c>
      <c r="H26" s="1110" t="n">
        <v>0</v>
      </c>
      <c r="I26" s="394" t="n"/>
      <c r="J26" s="394" t="n"/>
      <c r="K26" s="394" t="n"/>
      <c r="L26" s="394" t="n"/>
      <c r="M26" s="394" t="n"/>
      <c r="N26" s="394" t="n"/>
    </row>
    <row r="27">
      <c r="A27" s="670" t="inlineStr">
        <is>
          <t>Share Buybacks</t>
        </is>
      </c>
      <c r="B27" s="1110" t="n">
        <v>0</v>
      </c>
      <c r="C27" s="1110" t="n">
        <v>0</v>
      </c>
      <c r="D27" s="1110" t="n">
        <v>0</v>
      </c>
      <c r="E27" s="1110" t="n">
        <v>0</v>
      </c>
      <c r="F27" s="1110" t="n">
        <v>0</v>
      </c>
      <c r="G27" s="1110" t="n">
        <v>0</v>
      </c>
      <c r="H27" s="1110" t="n">
        <v>0</v>
      </c>
      <c r="I27" s="394" t="n"/>
      <c r="J27" s="394" t="n"/>
      <c r="K27" s="394" t="n"/>
      <c r="L27" s="394" t="n"/>
      <c r="M27" s="394" t="n"/>
      <c r="N27" s="394" t="n"/>
    </row>
    <row r="28">
      <c r="A28" s="670" t="inlineStr">
        <is>
          <t>M&amp;A Investment</t>
        </is>
      </c>
      <c r="B28" s="1110" t="n">
        <v>0</v>
      </c>
      <c r="C28" s="1110" t="n">
        <v>0</v>
      </c>
      <c r="D28" s="1110" t="n">
        <v>0</v>
      </c>
      <c r="E28" s="1110" t="n">
        <v>0</v>
      </c>
      <c r="F28" s="1110" t="n">
        <v>0</v>
      </c>
      <c r="G28" s="1110" t="n">
        <v>0</v>
      </c>
      <c r="H28" s="1110" t="n">
        <v>0</v>
      </c>
      <c r="I28" s="394" t="n"/>
      <c r="J28" s="394" t="n"/>
      <c r="K28" s="394" t="n"/>
      <c r="L28" s="394" t="n"/>
      <c r="M28" s="394" t="n"/>
      <c r="N28" s="394" t="n"/>
    </row>
    <row r="29">
      <c r="A29" s="670" t="inlineStr">
        <is>
          <t>ESG / Decarbonisation Investment</t>
        </is>
      </c>
      <c r="B29" s="1082">
        <f>'ESG Model'!B46</f>
        <v/>
      </c>
      <c r="C29" s="1082">
        <f>'ESG Model'!C46</f>
        <v/>
      </c>
      <c r="D29" s="1082">
        <f>'ESG Model'!D46</f>
        <v/>
      </c>
      <c r="E29" s="1082">
        <f>'ESG Model'!E46</f>
        <v/>
      </c>
      <c r="F29" s="1082">
        <f>'ESG Model'!F46</f>
        <v/>
      </c>
      <c r="G29" s="1082">
        <f>'ESG Model'!G46</f>
        <v/>
      </c>
      <c r="H29" s="1082">
        <f>'ESG Model'!H46</f>
        <v/>
      </c>
      <c r="I29" s="394" t="n"/>
      <c r="J29" s="708" t="inlineStr">
        <is>
          <t>CA02</t>
        </is>
      </c>
      <c r="K29" s="394" t="n"/>
      <c r="L29" s="394" t="n"/>
      <c r="M29" s="394" t="n"/>
      <c r="N29" s="394" t="n"/>
    </row>
    <row r="30">
      <c r="A30" s="670" t="inlineStr">
        <is>
          <t>Cash Retained</t>
        </is>
      </c>
      <c r="B30" s="1084">
        <f>SUM(B21:B25)</f>
        <v/>
      </c>
      <c r="C30" s="1084">
        <f>SUM(C21:C25)</f>
        <v/>
      </c>
      <c r="D30" s="1084">
        <f>SUM(D21:D25)</f>
        <v/>
      </c>
      <c r="E30" s="1084">
        <f>SUM(E21:E25)</f>
        <v/>
      </c>
      <c r="F30" s="1084">
        <f>SUM(F21:F25)</f>
        <v/>
      </c>
      <c r="G30" s="1084">
        <f>SUM(G21:G25)</f>
        <v/>
      </c>
      <c r="H30" s="1084">
        <f>SUM(H21:H25)</f>
        <v/>
      </c>
      <c r="I30" s="394" t="n"/>
      <c r="J30" s="708" t="inlineStr">
        <is>
          <t>CA03</t>
        </is>
      </c>
      <c r="K30" s="394" t="n"/>
      <c r="L30" s="394" t="n"/>
      <c r="M30" s="394" t="n"/>
      <c r="N30" s="394" t="n"/>
    </row>
    <row r="31">
      <c r="A31" s="670" t="inlineStr">
        <is>
          <t>Closing Cash</t>
        </is>
      </c>
      <c r="B31" s="1084">
        <f>B30</f>
        <v/>
      </c>
      <c r="C31" s="1084">
        <f>C30</f>
        <v/>
      </c>
      <c r="D31" s="1084">
        <f>D30</f>
        <v/>
      </c>
      <c r="E31" s="1084">
        <f>E30</f>
        <v/>
      </c>
      <c r="F31" s="1084">
        <f>F30</f>
        <v/>
      </c>
      <c r="G31" s="1084">
        <f>G30</f>
        <v/>
      </c>
      <c r="H31" s="1084">
        <f>H30</f>
        <v/>
      </c>
      <c r="I31" s="394" t="n"/>
      <c r="J31" s="394" t="n"/>
      <c r="K31" s="394" t="n"/>
      <c r="L31" s="394" t="n"/>
      <c r="M31" s="394" t="n"/>
      <c r="N31" s="394" t="n"/>
    </row>
    <row r="32">
      <c r="A32" s="394" t="n"/>
      <c r="B32" s="617" t="n"/>
      <c r="C32" s="617" t="n"/>
      <c r="D32" s="617" t="n"/>
      <c r="E32" s="617" t="n"/>
      <c r="F32" s="617" t="n"/>
      <c r="G32" s="617" t="n"/>
      <c r="H32" s="617" t="n"/>
      <c r="I32" s="394" t="n"/>
      <c r="J32" s="394" t="n"/>
      <c r="K32" s="394" t="n"/>
      <c r="L32" s="394" t="n"/>
      <c r="M32" s="394" t="n"/>
      <c r="N32" s="394" t="n"/>
    </row>
    <row r="33">
      <c r="A33" s="394" t="n"/>
      <c r="B33" s="617" t="n"/>
      <c r="C33" s="617" t="n"/>
      <c r="D33" s="617" t="n"/>
      <c r="E33" s="617" t="n"/>
      <c r="F33" s="617" t="n"/>
      <c r="G33" s="617" t="n"/>
      <c r="H33" s="617" t="n"/>
      <c r="I33" s="394" t="n"/>
      <c r="J33" s="394" t="n"/>
      <c r="K33" s="394" t="n"/>
      <c r="L33" s="394" t="n"/>
      <c r="M33" s="394" t="n"/>
      <c r="N33" s="394" t="n"/>
    </row>
    <row r="34" ht="15.6" customHeight="1" s="632">
      <c r="A34" s="612" t="inlineStr">
        <is>
          <t>Capex Allocation</t>
        </is>
      </c>
      <c r="J34" s="394" t="n"/>
      <c r="K34" s="394" t="n"/>
      <c r="L34" s="394" t="n"/>
      <c r="M34" s="394" t="n"/>
      <c r="N34" s="394" t="n"/>
    </row>
    <row r="35">
      <c r="A35" s="539" t="inlineStr">
        <is>
          <t>Category</t>
        </is>
      </c>
      <c r="B35" s="544" t="inlineStr">
        <is>
          <t>FY27E</t>
        </is>
      </c>
      <c r="C35" s="544" t="inlineStr">
        <is>
          <t>FY28E</t>
        </is>
      </c>
      <c r="D35" s="544" t="inlineStr">
        <is>
          <t>FY29E</t>
        </is>
      </c>
      <c r="E35" s="544" t="inlineStr">
        <is>
          <t>FY30E</t>
        </is>
      </c>
      <c r="F35" s="544" t="inlineStr">
        <is>
          <t>FY31E</t>
        </is>
      </c>
      <c r="G35" s="544" t="inlineStr">
        <is>
          <t>FY32E</t>
        </is>
      </c>
      <c r="H35" s="544" t="inlineStr">
        <is>
          <t>FY33E</t>
        </is>
      </c>
      <c r="I35" s="394" t="n"/>
      <c r="J35" s="394" t="n"/>
      <c r="K35" s="394" t="n"/>
      <c r="L35" s="707" t="inlineStr">
        <is>
          <t>Ref</t>
        </is>
      </c>
      <c r="M35" s="394" t="n"/>
      <c r="N35" s="394" t="n"/>
    </row>
    <row r="36">
      <c r="A36" s="670" t="inlineStr">
        <is>
          <t>Maintenance</t>
        </is>
      </c>
      <c r="B36" s="1082">
        <f>'Cash Flow Model'!$D$109</f>
        <v/>
      </c>
      <c r="C36" s="1082">
        <f>'Cash Flow Model'!$E$109</f>
        <v/>
      </c>
      <c r="D36" s="1082">
        <f>'Cash Flow Model'!$F$109</f>
        <v/>
      </c>
      <c r="E36" s="1082">
        <f>'Cash Flow Model'!$G$109</f>
        <v/>
      </c>
      <c r="F36" s="1082">
        <f>'Cash Flow Model'!$H$109</f>
        <v/>
      </c>
      <c r="G36" s="1082">
        <f>'Cash Flow Model'!$I$109</f>
        <v/>
      </c>
      <c r="H36" s="1082">
        <f>'Cash Flow Model'!$J$109</f>
        <v/>
      </c>
      <c r="I36" s="394" t="n"/>
      <c r="J36" s="394" t="n"/>
      <c r="K36" s="394" t="n"/>
      <c r="L36" s="394" t="n"/>
      <c r="M36" s="394" t="n"/>
      <c r="N36" s="394" t="n"/>
    </row>
    <row r="37">
      <c r="A37" s="670" t="inlineStr">
        <is>
          <t>Brownfield Expansion</t>
        </is>
      </c>
      <c r="B37" s="1084">
        <f>'Capacity Forecast'!B52*'Model Assumptions'!E$23/10</f>
        <v/>
      </c>
      <c r="C37" s="1084">
        <f>'Capacity Forecast'!C52*'Model Assumptions'!F$23/10</f>
        <v/>
      </c>
      <c r="D37" s="1084">
        <f>'Capacity Forecast'!D52*'Model Assumptions'!G$23/10</f>
        <v/>
      </c>
      <c r="E37" s="1084">
        <f>'Capacity Forecast'!E52*'Model Assumptions'!H$23/10</f>
        <v/>
      </c>
      <c r="F37" s="1084">
        <f>'Capacity Forecast'!F52*'Model Assumptions'!I$23/10</f>
        <v/>
      </c>
      <c r="G37" s="1084">
        <f>'Capacity Forecast'!G52*'Model Assumptions'!J$23/10</f>
        <v/>
      </c>
      <c r="H37" s="1084">
        <f>'Capacity Forecast'!H52*'Model Assumptions'!K$23/10</f>
        <v/>
      </c>
      <c r="I37" s="394" t="n"/>
      <c r="J37" s="394" t="n"/>
      <c r="K37" s="394" t="n"/>
      <c r="L37" s="394" t="n"/>
      <c r="M37" s="394" t="n"/>
      <c r="N37" s="394" t="n"/>
    </row>
    <row r="38">
      <c r="A38" s="670" t="inlineStr">
        <is>
          <t>Greenfield Expansion</t>
        </is>
      </c>
      <c r="B38" s="1084">
        <f>('Capacity Forecast'!B56-'Capacity Forecast'!B52)*'Model Assumptions'!E$23/10</f>
        <v/>
      </c>
      <c r="C38" s="1084">
        <f>('Capacity Forecast'!C56-'Capacity Forecast'!C52)*'Model Assumptions'!F$23/10</f>
        <v/>
      </c>
      <c r="D38" s="1084">
        <f>('Capacity Forecast'!D56-'Capacity Forecast'!D52)*'Model Assumptions'!G$23/10</f>
        <v/>
      </c>
      <c r="E38" s="1084">
        <f>('Capacity Forecast'!E56-'Capacity Forecast'!E52)*'Model Assumptions'!H$23/10</f>
        <v/>
      </c>
      <c r="F38" s="1084">
        <f>('Capacity Forecast'!F56-'Capacity Forecast'!F52)*'Model Assumptions'!I$23/10</f>
        <v/>
      </c>
      <c r="G38" s="1084">
        <f>('Capacity Forecast'!G56-'Capacity Forecast'!G52)*'Model Assumptions'!J$23/10</f>
        <v/>
      </c>
      <c r="H38" s="1084">
        <f>('Capacity Forecast'!H56-'Capacity Forecast'!H52)*'Model Assumptions'!K$23/10</f>
        <v/>
      </c>
      <c r="I38" s="394" t="n"/>
      <c r="J38" s="394" t="n"/>
      <c r="K38" s="394" t="n"/>
      <c r="L38" s="394" t="n"/>
      <c r="M38" s="394" t="n"/>
      <c r="N38" s="394" t="n"/>
    </row>
    <row r="39">
      <c r="A39" s="670" t="inlineStr">
        <is>
          <t>Technology</t>
        </is>
      </c>
      <c r="B39" s="1084">
        <f>'Cash Flow Model'!$D$109*$J$39</f>
        <v/>
      </c>
      <c r="C39" s="1084">
        <f>'Cash Flow Model'!$E$109*$J$39</f>
        <v/>
      </c>
      <c r="D39" s="1084">
        <f>'Cash Flow Model'!$F$109*$J$39</f>
        <v/>
      </c>
      <c r="E39" s="1084">
        <f>'Cash Flow Model'!$G$109*$J$39</f>
        <v/>
      </c>
      <c r="F39" s="1084">
        <f>'Cash Flow Model'!$H$109*$J$39</f>
        <v/>
      </c>
      <c r="G39" s="1084">
        <f>'Cash Flow Model'!$I$109*$J$39</f>
        <v/>
      </c>
      <c r="H39" s="1084">
        <f>'Cash Flow Model'!$J$109*$J$39</f>
        <v/>
      </c>
      <c r="I39" s="394" t="n"/>
      <c r="J39" s="1111" t="n">
        <v>0.08</v>
      </c>
      <c r="K39" s="394" t="n"/>
      <c r="L39" s="708" t="inlineStr">
        <is>
          <t>CA04</t>
        </is>
      </c>
      <c r="M39" s="394" t="n"/>
      <c r="N39" s="394" t="n"/>
    </row>
    <row r="40">
      <c r="A40" s="670" t="inlineStr">
        <is>
          <t>ESG</t>
        </is>
      </c>
      <c r="B40" s="1082">
        <f>'ESG Model'!B46</f>
        <v/>
      </c>
      <c r="C40" s="1082">
        <f>'ESG Model'!C46</f>
        <v/>
      </c>
      <c r="D40" s="1082">
        <f>'ESG Model'!D46</f>
        <v/>
      </c>
      <c r="E40" s="1082">
        <f>'ESG Model'!E46</f>
        <v/>
      </c>
      <c r="F40" s="1082">
        <f>'ESG Model'!F46</f>
        <v/>
      </c>
      <c r="G40" s="1082">
        <f>'ESG Model'!G46</f>
        <v/>
      </c>
      <c r="H40" s="1082">
        <f>'ESG Model'!H46</f>
        <v/>
      </c>
      <c r="I40" s="394" t="n"/>
      <c r="J40" s="1111" t="n">
        <v>0</v>
      </c>
      <c r="K40" s="394" t="n"/>
      <c r="L40" s="708" t="inlineStr">
        <is>
          <t>CA04</t>
        </is>
      </c>
      <c r="M40" s="394" t="n"/>
      <c r="N40" s="394" t="n"/>
    </row>
    <row r="41">
      <c r="A41" s="670" t="inlineStr">
        <is>
          <t>Safety</t>
        </is>
      </c>
      <c r="B41" s="1084">
        <f>'Cash Flow Model'!$D$109*$J$41</f>
        <v/>
      </c>
      <c r="C41" s="1084">
        <f>'Cash Flow Model'!$E$109*$J$41</f>
        <v/>
      </c>
      <c r="D41" s="1084">
        <f>'Cash Flow Model'!$F$109*$J$41</f>
        <v/>
      </c>
      <c r="E41" s="1084">
        <f>'Cash Flow Model'!$G$109*$J$41</f>
        <v/>
      </c>
      <c r="F41" s="1084">
        <f>'Cash Flow Model'!$H$109*$J$41</f>
        <v/>
      </c>
      <c r="G41" s="1084">
        <f>'Cash Flow Model'!$I$109*$J$41</f>
        <v/>
      </c>
      <c r="H41" s="1084">
        <f>'Cash Flow Model'!$J$109*$J$41</f>
        <v/>
      </c>
      <c r="I41" s="394" t="n"/>
      <c r="J41" s="1111" t="n">
        <v>0.03</v>
      </c>
      <c r="K41" s="394" t="n"/>
      <c r="L41" s="708" t="inlineStr">
        <is>
          <t>CA04</t>
        </is>
      </c>
      <c r="M41" s="394" t="n"/>
      <c r="N41" s="394" t="n"/>
    </row>
    <row r="42">
      <c r="A42" s="670" t="inlineStr">
        <is>
          <t>Total Capex</t>
        </is>
      </c>
      <c r="B42" s="1082">
        <f>'Cash Flow Model'!$D$110</f>
        <v/>
      </c>
      <c r="C42" s="1082">
        <f>'Cash Flow Model'!$E$110</f>
        <v/>
      </c>
      <c r="D42" s="1082">
        <f>'Cash Flow Model'!$F$110</f>
        <v/>
      </c>
      <c r="E42" s="1082">
        <f>'Cash Flow Model'!$G$110</f>
        <v/>
      </c>
      <c r="F42" s="1082">
        <f>'Cash Flow Model'!$H$110</f>
        <v/>
      </c>
      <c r="G42" s="1082">
        <f>'Cash Flow Model'!$I$110</f>
        <v/>
      </c>
      <c r="H42" s="1082">
        <f>'Cash Flow Model'!$J$110</f>
        <v/>
      </c>
      <c r="I42" s="394" t="n"/>
      <c r="J42" s="394" t="n"/>
      <c r="K42" s="394" t="n"/>
      <c r="L42" s="708" t="inlineStr">
        <is>
          <t>CA05</t>
        </is>
      </c>
      <c r="M42" s="394" t="n"/>
      <c r="N42" s="394" t="n"/>
    </row>
    <row r="43">
      <c r="A43" s="394" t="n"/>
      <c r="B43" s="617" t="n"/>
      <c r="C43" s="617" t="n"/>
      <c r="D43" s="617" t="n"/>
      <c r="E43" s="617" t="n"/>
      <c r="F43" s="617" t="n"/>
      <c r="G43" s="617" t="n"/>
      <c r="H43" s="617" t="n"/>
      <c r="I43" s="394" t="n"/>
      <c r="J43" s="394" t="n"/>
      <c r="K43" s="394" t="n"/>
      <c r="L43" s="394" t="n"/>
      <c r="M43" s="394" t="n"/>
      <c r="N43" s="394" t="n"/>
    </row>
    <row r="44">
      <c r="A44" s="394" t="n"/>
      <c r="B44" s="617" t="n"/>
      <c r="C44" s="617" t="n"/>
      <c r="D44" s="617" t="n"/>
      <c r="E44" s="617" t="n"/>
      <c r="F44" s="617" t="n"/>
      <c r="G44" s="617" t="n"/>
      <c r="H44" s="617" t="n"/>
      <c r="I44" s="394" t="n"/>
      <c r="J44" s="394" t="n"/>
      <c r="K44" s="394" t="n"/>
      <c r="L44" s="394" t="n"/>
      <c r="M44" s="394" t="n"/>
      <c r="N44" s="394" t="n"/>
    </row>
    <row r="45" ht="15.6" customHeight="1" s="632">
      <c r="A45" s="612" t="inlineStr">
        <is>
          <t>Debt Allocation</t>
        </is>
      </c>
      <c r="J45" s="394" t="n"/>
      <c r="K45" s="394" t="n"/>
      <c r="L45" s="394" t="n"/>
      <c r="M45" s="394" t="n"/>
      <c r="N45" s="394" t="n"/>
    </row>
    <row r="46" ht="28.8" customHeight="1" s="632">
      <c r="A46" s="539" t="inlineStr">
        <is>
          <t>Year</t>
        </is>
      </c>
      <c r="B46" s="544" t="inlineStr">
        <is>
          <t>Opening Debt</t>
        </is>
      </c>
      <c r="C46" s="544" t="inlineStr">
        <is>
          <t>Debt Repaid</t>
        </is>
      </c>
      <c r="D46" s="544" t="inlineStr">
        <is>
          <t>New Debt</t>
        </is>
      </c>
      <c r="E46" s="544" t="inlineStr">
        <is>
          <t>Closing Debt</t>
        </is>
      </c>
      <c r="F46" s="544" t="inlineStr">
        <is>
          <t>Net Debt/EBITDA</t>
        </is>
      </c>
      <c r="G46" s="617" t="n"/>
      <c r="H46" s="707" t="inlineStr">
        <is>
          <t>Ref</t>
        </is>
      </c>
      <c r="I46" s="394" t="n"/>
      <c r="J46" s="394" t="n"/>
      <c r="K46" s="394" t="n"/>
      <c r="L46" s="394" t="n"/>
      <c r="M46" s="394" t="n"/>
      <c r="N46" s="394" t="n"/>
    </row>
    <row r="47">
      <c r="A47" s="670" t="inlineStr">
        <is>
          <t>FY27</t>
        </is>
      </c>
      <c r="B47" s="1082">
        <f>$D$77</f>
        <v/>
      </c>
      <c r="C47" s="1084">
        <f>MAX(0,D77-D80)</f>
        <v/>
      </c>
      <c r="D47" s="1084">
        <f>MAX(0,D80-D77)</f>
        <v/>
      </c>
      <c r="E47" s="1082">
        <f>$D$80</f>
        <v/>
      </c>
      <c r="F47" s="1112">
        <f>$D$84</f>
        <v/>
      </c>
      <c r="G47" s="617" t="n"/>
      <c r="H47" s="617" t="n"/>
      <c r="I47" s="394" t="n"/>
      <c r="J47" s="394" t="n"/>
      <c r="K47" s="394" t="n"/>
      <c r="L47" s="394" t="n"/>
      <c r="M47" s="394" t="n"/>
      <c r="N47" s="394" t="n"/>
    </row>
    <row r="48">
      <c r="A48" s="670" t="inlineStr">
        <is>
          <t>FY28</t>
        </is>
      </c>
      <c r="B48" s="1082">
        <f>$E$77</f>
        <v/>
      </c>
      <c r="C48" s="1084">
        <f>MAX(0,E77-E80)</f>
        <v/>
      </c>
      <c r="D48" s="1084">
        <f>MAX(0,E80-E77)</f>
        <v/>
      </c>
      <c r="E48" s="1082">
        <f>$E$80</f>
        <v/>
      </c>
      <c r="F48" s="1112">
        <f>$E$84</f>
        <v/>
      </c>
      <c r="G48" s="617" t="n"/>
      <c r="H48" s="617" t="n"/>
      <c r="I48" s="394" t="n"/>
      <c r="J48" s="394" t="n"/>
      <c r="K48" s="394" t="n"/>
      <c r="L48" s="394" t="n"/>
      <c r="M48" s="394" t="n"/>
      <c r="N48" s="394" t="n"/>
    </row>
    <row r="49">
      <c r="A49" s="670" t="inlineStr">
        <is>
          <t>FY29</t>
        </is>
      </c>
      <c r="B49" s="1082">
        <f>$F$77</f>
        <v/>
      </c>
      <c r="C49" s="1084">
        <f>MAX(0,F77-F80)</f>
        <v/>
      </c>
      <c r="D49" s="1084">
        <f>MAX(0,F80-F77)</f>
        <v/>
      </c>
      <c r="E49" s="1082">
        <f>$F$80</f>
        <v/>
      </c>
      <c r="F49" s="1112">
        <f>$F$84</f>
        <v/>
      </c>
      <c r="G49" s="617" t="n"/>
      <c r="H49" s="617" t="n"/>
      <c r="I49" s="394" t="n"/>
      <c r="J49" s="394" t="n"/>
      <c r="K49" s="394" t="n"/>
      <c r="L49" s="394" t="n"/>
      <c r="M49" s="394" t="n"/>
      <c r="N49" s="394" t="n"/>
    </row>
    <row r="50">
      <c r="A50" s="670" t="inlineStr">
        <is>
          <t>FY30</t>
        </is>
      </c>
      <c r="B50" s="1082">
        <f>$G$77</f>
        <v/>
      </c>
      <c r="C50" s="1084">
        <f>MAX(0,G77-G80)</f>
        <v/>
      </c>
      <c r="D50" s="1084">
        <f>MAX(0,G80-G77)</f>
        <v/>
      </c>
      <c r="E50" s="1082">
        <f>$G$80</f>
        <v/>
      </c>
      <c r="F50" s="1112">
        <f>$G$84</f>
        <v/>
      </c>
      <c r="G50" s="617" t="n"/>
      <c r="H50" s="617" t="n"/>
      <c r="I50" s="394" t="n"/>
      <c r="J50" s="394" t="n"/>
      <c r="K50" s="394" t="n"/>
      <c r="L50" s="394" t="n"/>
      <c r="M50" s="394" t="n"/>
      <c r="N50" s="394" t="n"/>
    </row>
    <row r="51">
      <c r="A51" s="670" t="inlineStr">
        <is>
          <t>FY31</t>
        </is>
      </c>
      <c r="B51" s="1082">
        <f>$H$77</f>
        <v/>
      </c>
      <c r="C51" s="1084">
        <f>MAX(0,H77-H80)</f>
        <v/>
      </c>
      <c r="D51" s="1084">
        <f>MAX(0,H80-H77)</f>
        <v/>
      </c>
      <c r="E51" s="1082">
        <f>$H$80</f>
        <v/>
      </c>
      <c r="F51" s="1112">
        <f>$H$84</f>
        <v/>
      </c>
      <c r="G51" s="617" t="n"/>
      <c r="H51" s="617" t="n"/>
      <c r="I51" s="394" t="n"/>
      <c r="J51" s="394" t="n"/>
      <c r="K51" s="394" t="n"/>
      <c r="L51" s="394" t="n"/>
      <c r="M51" s="394" t="n"/>
      <c r="N51" s="394" t="n"/>
    </row>
    <row r="52">
      <c r="A52" s="670" t="inlineStr">
        <is>
          <t>FY32</t>
        </is>
      </c>
      <c r="B52" s="1082">
        <f>$I$77</f>
        <v/>
      </c>
      <c r="C52" s="1084">
        <f>MAX(0,I77-I80)</f>
        <v/>
      </c>
      <c r="D52" s="1084">
        <f>MAX(0,I80-I77)</f>
        <v/>
      </c>
      <c r="E52" s="1082">
        <f>$I$80</f>
        <v/>
      </c>
      <c r="F52" s="1112">
        <f>$I$84</f>
        <v/>
      </c>
      <c r="G52" s="617" t="n"/>
      <c r="H52" s="617" t="n"/>
      <c r="I52" s="394" t="n"/>
      <c r="J52" s="394" t="n"/>
      <c r="K52" s="394" t="n"/>
      <c r="L52" s="394" t="n"/>
      <c r="M52" s="394" t="n"/>
      <c r="N52" s="394" t="n"/>
    </row>
    <row r="53">
      <c r="A53" s="670" t="inlineStr">
        <is>
          <t>FY33</t>
        </is>
      </c>
      <c r="B53" s="1082">
        <f>$J$77</f>
        <v/>
      </c>
      <c r="C53" s="1084">
        <f>MAX(0,J77-J80)</f>
        <v/>
      </c>
      <c r="D53" s="1084">
        <f>MAX(0,J80-J77)</f>
        <v/>
      </c>
      <c r="E53" s="1082">
        <f>$J$80</f>
        <v/>
      </c>
      <c r="F53" s="1112">
        <f>$J$84</f>
        <v/>
      </c>
      <c r="G53" s="617" t="n"/>
      <c r="H53" s="708" t="inlineStr">
        <is>
          <t>CA06</t>
        </is>
      </c>
      <c r="I53" s="394" t="n"/>
      <c r="J53" s="394" t="n"/>
      <c r="K53" s="394" t="n"/>
      <c r="L53" s="394" t="n"/>
      <c r="M53" s="394" t="n"/>
      <c r="N53" s="394" t="n"/>
    </row>
    <row r="54">
      <c r="A54" s="683" t="n"/>
      <c r="B54" s="497" t="n"/>
      <c r="C54" s="497" t="n"/>
      <c r="D54" s="497" t="n"/>
      <c r="E54" s="497" t="n"/>
      <c r="F54" s="497" t="n"/>
      <c r="G54" s="617" t="n"/>
      <c r="H54" s="617" t="n"/>
      <c r="I54" s="394" t="n"/>
      <c r="J54" s="394" t="n"/>
      <c r="K54" s="394" t="n"/>
      <c r="L54" s="394" t="n"/>
      <c r="M54" s="394" t="n"/>
      <c r="N54" s="394" t="n"/>
    </row>
    <row r="55">
      <c r="A55" s="683" t="n"/>
      <c r="B55" s="497" t="n"/>
      <c r="C55" s="497" t="n"/>
      <c r="D55" s="497" t="n"/>
      <c r="E55" s="497" t="n"/>
      <c r="F55" s="497" t="n"/>
      <c r="G55" s="617" t="n"/>
      <c r="H55" s="617" t="n"/>
      <c r="I55" s="394" t="n"/>
      <c r="J55" s="394" t="n"/>
      <c r="K55" s="394" t="n"/>
      <c r="L55" s="394" t="n"/>
      <c r="M55" s="394" t="n"/>
      <c r="N55" s="394" t="n"/>
    </row>
    <row r="56" ht="15.6" customHeight="1" s="632">
      <c r="A56" s="612" t="inlineStr">
        <is>
          <t>Strategic Investments</t>
        </is>
      </c>
      <c r="J56" s="394" t="n"/>
      <c r="K56" s="394" t="n"/>
      <c r="L56" s="394" t="n"/>
      <c r="M56" s="394" t="n"/>
      <c r="N56" s="394" t="n"/>
    </row>
    <row r="57">
      <c r="A57" s="539" t="inlineStr">
        <is>
          <t>Category</t>
        </is>
      </c>
      <c r="B57" s="544" t="inlineStr">
        <is>
          <t>FY27E</t>
        </is>
      </c>
      <c r="C57" s="544" t="inlineStr">
        <is>
          <t>FY28E</t>
        </is>
      </c>
      <c r="D57" s="544" t="inlineStr">
        <is>
          <t>FY29E</t>
        </is>
      </c>
      <c r="E57" s="544" t="inlineStr">
        <is>
          <t>FY30E</t>
        </is>
      </c>
      <c r="F57" s="544" t="inlineStr">
        <is>
          <t>FY31E</t>
        </is>
      </c>
      <c r="G57" s="544" t="inlineStr">
        <is>
          <t>FY32E</t>
        </is>
      </c>
      <c r="H57" s="544" t="inlineStr">
        <is>
          <t>FY33E</t>
        </is>
      </c>
      <c r="I57" s="394" t="n"/>
      <c r="J57" s="707" t="inlineStr">
        <is>
          <t>Ref</t>
        </is>
      </c>
      <c r="K57" s="394" t="n"/>
      <c r="L57" s="394" t="n"/>
      <c r="M57" s="394" t="n"/>
      <c r="N57" s="394" t="n"/>
    </row>
    <row r="58">
      <c r="A58" s="670" t="inlineStr">
        <is>
          <t>Capacity Expansion</t>
        </is>
      </c>
      <c r="B58" s="1082">
        <f>'Cash Flow Model'!$D$107</f>
        <v/>
      </c>
      <c r="C58" s="1082">
        <f>'Cash Flow Model'!$E$107</f>
        <v/>
      </c>
      <c r="D58" s="1082">
        <f>'Cash Flow Model'!$F$107</f>
        <v/>
      </c>
      <c r="E58" s="1082">
        <f>'Cash Flow Model'!$G$107</f>
        <v/>
      </c>
      <c r="F58" s="1082">
        <f>'Cash Flow Model'!$H$107</f>
        <v/>
      </c>
      <c r="G58" s="1082">
        <f>'Cash Flow Model'!$I$107</f>
        <v/>
      </c>
      <c r="H58" s="1082">
        <f>'Cash Flow Model'!$J$107</f>
        <v/>
      </c>
      <c r="I58" s="394" t="n"/>
      <c r="J58" s="394" t="n"/>
      <c r="K58" s="394" t="n"/>
      <c r="L58" s="394" t="n"/>
      <c r="M58" s="394" t="n"/>
      <c r="N58" s="394" t="n"/>
    </row>
    <row r="59">
      <c r="A59" s="670" t="inlineStr">
        <is>
          <t>Downstream Products</t>
        </is>
      </c>
      <c r="B59" s="1110" t="n">
        <v>0</v>
      </c>
      <c r="C59" s="1110" t="n">
        <v>0</v>
      </c>
      <c r="D59" s="1110" t="n">
        <v>0</v>
      </c>
      <c r="E59" s="1110" t="n">
        <v>0</v>
      </c>
      <c r="F59" s="1110" t="n">
        <v>0</v>
      </c>
      <c r="G59" s="1110" t="n">
        <v>0</v>
      </c>
      <c r="H59" s="1110" t="n">
        <v>0</v>
      </c>
      <c r="I59" s="394" t="n"/>
      <c r="J59" s="708" t="inlineStr">
        <is>
          <t>CA07</t>
        </is>
      </c>
      <c r="K59" s="394" t="n"/>
      <c r="L59" s="394" t="n"/>
      <c r="M59" s="394" t="n"/>
      <c r="N59" s="394" t="n"/>
    </row>
    <row r="60">
      <c r="A60" s="670" t="inlineStr">
        <is>
          <t>Renewable Energy</t>
        </is>
      </c>
      <c r="B60" s="1082">
        <f>'ESG Model'!B41</f>
        <v/>
      </c>
      <c r="C60" s="1082">
        <f>'ESG Model'!C41</f>
        <v/>
      </c>
      <c r="D60" s="1082">
        <f>'ESG Model'!D41</f>
        <v/>
      </c>
      <c r="E60" s="1082">
        <f>'ESG Model'!E41</f>
        <v/>
      </c>
      <c r="F60" s="1082">
        <f>'ESG Model'!F41</f>
        <v/>
      </c>
      <c r="G60" s="1082">
        <f>'ESG Model'!G41</f>
        <v/>
      </c>
      <c r="H60" s="1082">
        <f>'ESG Model'!H41</f>
        <v/>
      </c>
      <c r="I60" s="394" t="n"/>
      <c r="J60" s="708" t="inlineStr">
        <is>
          <t>CA07</t>
        </is>
      </c>
      <c r="K60" s="394" t="n"/>
      <c r="L60" s="394" t="n"/>
      <c r="M60" s="394" t="n"/>
      <c r="N60" s="394" t="n"/>
    </row>
    <row r="61">
      <c r="A61" s="670" t="inlineStr">
        <is>
          <t>Digital Transformation</t>
        </is>
      </c>
      <c r="B61" s="1110" t="n">
        <v>0</v>
      </c>
      <c r="C61" s="1110" t="n">
        <v>0</v>
      </c>
      <c r="D61" s="1110" t="n">
        <v>0</v>
      </c>
      <c r="E61" s="1110" t="n">
        <v>0</v>
      </c>
      <c r="F61" s="1110" t="n">
        <v>0</v>
      </c>
      <c r="G61" s="1110" t="n">
        <v>0</v>
      </c>
      <c r="H61" s="1110" t="n">
        <v>0</v>
      </c>
      <c r="I61" s="394" t="n"/>
      <c r="J61" s="708" t="inlineStr">
        <is>
          <t>CA07</t>
        </is>
      </c>
      <c r="K61" s="394" t="n"/>
      <c r="L61" s="394" t="n"/>
      <c r="M61" s="394" t="n"/>
      <c r="N61" s="394" t="n"/>
    </row>
    <row r="62">
      <c r="A62" s="670" t="inlineStr">
        <is>
          <t>Acquisitions</t>
        </is>
      </c>
      <c r="B62" s="1110" t="n">
        <v>0</v>
      </c>
      <c r="C62" s="1110" t="n">
        <v>0</v>
      </c>
      <c r="D62" s="1110" t="n">
        <v>0</v>
      </c>
      <c r="E62" s="1110" t="n">
        <v>0</v>
      </c>
      <c r="F62" s="1110" t="n">
        <v>0</v>
      </c>
      <c r="G62" s="1110" t="n">
        <v>0</v>
      </c>
      <c r="H62" s="1110" t="n">
        <v>0</v>
      </c>
      <c r="I62" s="394" t="n"/>
      <c r="J62" s="708" t="inlineStr">
        <is>
          <t>CA07</t>
        </is>
      </c>
      <c r="K62" s="394" t="n"/>
      <c r="L62" s="394" t="n"/>
      <c r="M62" s="394" t="n"/>
      <c r="N62" s="394" t="n"/>
    </row>
    <row r="63">
      <c r="A63" s="670" t="inlineStr">
        <is>
          <t>Overseas Expansion</t>
        </is>
      </c>
      <c r="B63" s="1113" t="n">
        <v>0</v>
      </c>
      <c r="C63" s="1113" t="n">
        <v>0</v>
      </c>
      <c r="D63" s="1113" t="n">
        <v>0</v>
      </c>
      <c r="E63" s="1113" t="n">
        <v>0</v>
      </c>
      <c r="F63" s="1113" t="n">
        <v>0</v>
      </c>
      <c r="G63" s="1113" t="n">
        <v>0</v>
      </c>
      <c r="H63" s="1113" t="n">
        <v>0</v>
      </c>
      <c r="I63" s="394" t="n"/>
      <c r="J63" s="708" t="inlineStr">
        <is>
          <t>CA07</t>
        </is>
      </c>
      <c r="K63" s="394" t="n"/>
      <c r="L63" s="394" t="n"/>
      <c r="M63" s="394" t="n"/>
      <c r="N63" s="394" t="n"/>
    </row>
    <row r="64">
      <c r="A64" s="683" t="n"/>
      <c r="B64" s="497" t="n"/>
      <c r="C64" s="497" t="n"/>
      <c r="D64" s="497" t="n"/>
      <c r="E64" s="497" t="n"/>
      <c r="F64" s="497" t="n"/>
      <c r="G64" s="617" t="n"/>
      <c r="H64" s="617" t="n"/>
      <c r="I64" s="394" t="n"/>
      <c r="J64" s="394" t="n"/>
      <c r="K64" s="394" t="n"/>
      <c r="L64" s="394" t="n"/>
      <c r="M64" s="394" t="n"/>
      <c r="N64" s="394" t="n"/>
    </row>
    <row r="65">
      <c r="A65" s="683" t="n"/>
      <c r="B65" s="497" t="n"/>
      <c r="C65" s="497" t="n"/>
      <c r="D65" s="497" t="n"/>
      <c r="E65" s="497" t="n"/>
      <c r="F65" s="497" t="n"/>
      <c r="G65" s="617" t="n"/>
      <c r="H65" s="617" t="n"/>
      <c r="I65" s="394" t="n"/>
      <c r="J65" s="394" t="n"/>
      <c r="K65" s="394" t="n"/>
      <c r="L65" s="394" t="n"/>
      <c r="M65" s="394" t="n"/>
      <c r="N65" s="394" t="n"/>
    </row>
    <row r="66" ht="15.6" customHeight="1" s="632">
      <c r="A66" s="612" t="inlineStr">
        <is>
          <t>Scenario Analysis</t>
        </is>
      </c>
      <c r="J66" s="394" t="n"/>
      <c r="K66" s="394" t="n"/>
      <c r="L66" s="394" t="n"/>
      <c r="M66" s="394" t="n"/>
      <c r="N66" s="394" t="n"/>
    </row>
    <row r="67" ht="27.6" customHeight="1" s="632">
      <c r="A67" s="506" t="inlineStr">
        <is>
          <t>Year FCFF</t>
        </is>
      </c>
      <c r="B67" s="506" t="inlineStr">
        <is>
          <t>Growth Capex</t>
        </is>
      </c>
      <c r="C67" s="506" t="inlineStr">
        <is>
          <t>Debt Reduction</t>
        </is>
      </c>
      <c r="D67" s="506" t="inlineStr">
        <is>
          <t>Dividends</t>
        </is>
      </c>
      <c r="E67" s="506" t="inlineStr">
        <is>
          <t>Cash Retained</t>
        </is>
      </c>
      <c r="F67" s="394" t="n"/>
      <c r="G67" s="707" t="inlineStr">
        <is>
          <t>Ref</t>
        </is>
      </c>
      <c r="H67" s="394" t="n"/>
      <c r="I67" s="394" t="n"/>
      <c r="J67" s="394" t="n"/>
      <c r="K67" s="394" t="n"/>
      <c r="L67" s="394" t="n"/>
      <c r="M67" s="394" t="n"/>
      <c r="N67" s="394" t="n"/>
    </row>
    <row r="68">
      <c r="A68" s="670" t="inlineStr">
        <is>
          <t>Base</t>
        </is>
      </c>
      <c r="B68" s="1098">
        <f>SUM('Scenario Manager'!$D$139:$J$139)</f>
        <v/>
      </c>
      <c r="C68" s="1098">
        <f>SUM('Scenario Manager'!$D$146:$J$146)</f>
        <v/>
      </c>
      <c r="D68" s="1102" t="n">
        <v>0</v>
      </c>
      <c r="E68" s="1102" t="n">
        <v>0</v>
      </c>
      <c r="F68" s="394" t="n"/>
      <c r="G68" s="708" t="inlineStr">
        <is>
          <t>CA08</t>
        </is>
      </c>
      <c r="H68" s="394" t="n"/>
      <c r="I68" s="394" t="n"/>
      <c r="J68" s="394" t="n"/>
      <c r="K68" s="394" t="n"/>
      <c r="L68" s="394" t="n"/>
      <c r="M68" s="394" t="n"/>
      <c r="N68" s="394" t="n"/>
    </row>
    <row r="69">
      <c r="A69" s="670" t="inlineStr">
        <is>
          <t>Bull</t>
        </is>
      </c>
      <c r="B69" s="1098">
        <f>SUM('Scenario Manager'!$D$215:$J$215)</f>
        <v/>
      </c>
      <c r="C69" s="1098">
        <f>SUM('Scenario Manager'!$D$222:$J$222)</f>
        <v/>
      </c>
      <c r="D69" s="1102" t="n">
        <v>0</v>
      </c>
      <c r="E69" s="1102" t="n">
        <v>0</v>
      </c>
      <c r="F69" s="394" t="n"/>
      <c r="G69" s="394" t="n"/>
      <c r="H69" s="394" t="n"/>
      <c r="I69" s="394" t="n"/>
      <c r="J69" s="394" t="n"/>
      <c r="K69" s="394" t="n"/>
      <c r="L69" s="394" t="n"/>
      <c r="M69" s="394" t="n"/>
      <c r="N69" s="394" t="n"/>
    </row>
    <row r="70">
      <c r="A70" s="670" t="inlineStr">
        <is>
          <t>Bear</t>
        </is>
      </c>
      <c r="B70" s="1098">
        <f>SUM('Scenario Manager'!$D$291:$J$291)</f>
        <v/>
      </c>
      <c r="C70" s="1098">
        <f>SUM('Scenario Manager'!$D$298:$J$298)</f>
        <v/>
      </c>
      <c r="D70" s="1102" t="n">
        <v>0</v>
      </c>
      <c r="E70" s="1102" t="n">
        <v>0</v>
      </c>
      <c r="F70" s="394" t="n"/>
      <c r="G70" s="394" t="n"/>
      <c r="H70" s="394" t="n"/>
      <c r="I70" s="394" t="n"/>
      <c r="J70" s="394" t="n"/>
      <c r="K70" s="394" t="n"/>
      <c r="L70" s="394" t="n"/>
      <c r="M70" s="394" t="n"/>
      <c r="N70" s="394" t="n"/>
    </row>
    <row r="71">
      <c r="A71" s="670" t="inlineStr">
        <is>
          <t>Stress</t>
        </is>
      </c>
      <c r="B71" s="1104">
        <f>SUM('Scenario Manager'!$D$367:$J$367)</f>
        <v/>
      </c>
      <c r="C71" s="1104">
        <f>SUM('Scenario Manager'!$D$374:$J$374)</f>
        <v/>
      </c>
      <c r="D71" s="1114" t="n">
        <v>0</v>
      </c>
      <c r="E71" s="1114" t="n">
        <v>0</v>
      </c>
      <c r="F71" s="394" t="n"/>
      <c r="G71" s="394" t="n"/>
      <c r="H71" s="394" t="n"/>
      <c r="I71" s="394" t="n"/>
      <c r="J71" s="394" t="n"/>
      <c r="K71" s="394" t="n"/>
      <c r="L71" s="394" t="n"/>
      <c r="M71" s="394" t="n"/>
      <c r="N71" s="394" t="n"/>
    </row>
    <row r="72">
      <c r="A72" s="683" t="n"/>
      <c r="B72" s="497" t="n"/>
      <c r="C72" s="497" t="n"/>
      <c r="D72" s="497" t="n"/>
      <c r="E72" s="497" t="n"/>
      <c r="F72" s="497" t="n"/>
      <c r="G72" s="617" t="n"/>
      <c r="H72" s="617" t="n"/>
      <c r="I72" s="394" t="n"/>
      <c r="J72" s="394" t="n"/>
      <c r="K72" s="394" t="n"/>
      <c r="L72" s="394" t="n"/>
      <c r="M72" s="394" t="n"/>
      <c r="N72" s="394" t="n"/>
    </row>
    <row r="73">
      <c r="A73" s="683" t="n"/>
      <c r="B73" s="497" t="n"/>
      <c r="C73" s="497" t="n"/>
      <c r="D73" s="497" t="n"/>
      <c r="E73" s="497" t="n"/>
      <c r="F73" s="497" t="n"/>
      <c r="G73" s="617" t="n"/>
      <c r="H73" s="617" t="n"/>
      <c r="I73" s="394" t="n"/>
      <c r="J73" s="394" t="n"/>
      <c r="K73" s="394" t="n"/>
      <c r="L73" s="394" t="n"/>
      <c r="M73" s="394" t="n"/>
      <c r="N73" s="394" t="n"/>
    </row>
    <row r="74">
      <c r="A74" s="683" t="n"/>
      <c r="B74" s="497" t="n"/>
      <c r="C74" s="497" t="n"/>
      <c r="D74" s="497" t="n"/>
      <c r="E74" s="497" t="n"/>
      <c r="F74" s="497" t="n"/>
      <c r="G74" s="617" t="n"/>
      <c r="H74" s="617" t="n"/>
      <c r="I74" s="394" t="n"/>
      <c r="J74" s="394" t="n"/>
      <c r="K74" s="394" t="n"/>
      <c r="L74" s="394" t="n"/>
      <c r="M74" s="394" t="n"/>
      <c r="N74" s="394" t="n"/>
    </row>
    <row r="75" ht="15" customHeight="1" s="632" thickBot="1">
      <c r="A75" s="415" t="n"/>
    </row>
    <row r="76">
      <c r="A76" s="63" t="inlineStr">
        <is>
          <t>Line item</t>
        </is>
      </c>
      <c r="B76" s="65" t="inlineStr">
        <is>
          <t>Unit</t>
        </is>
      </c>
      <c r="C76" s="65" t="inlineStr">
        <is>
          <t>FY2026A</t>
        </is>
      </c>
      <c r="D76" s="65" t="inlineStr">
        <is>
          <t>FY2027E</t>
        </is>
      </c>
      <c r="E76" s="65" t="inlineStr">
        <is>
          <t>FY2028E</t>
        </is>
      </c>
      <c r="F76" s="65" t="inlineStr">
        <is>
          <t>FY2029E</t>
        </is>
      </c>
      <c r="G76" s="65" t="inlineStr">
        <is>
          <t>FY2030E</t>
        </is>
      </c>
      <c r="H76" s="65" t="inlineStr">
        <is>
          <t>FY2031E</t>
        </is>
      </c>
      <c r="I76" s="65" t="inlineStr">
        <is>
          <t>FY2032E</t>
        </is>
      </c>
      <c r="J76" s="65" t="inlineStr">
        <is>
          <t>FY2033E</t>
        </is>
      </c>
      <c r="K76" s="65" t="inlineStr">
        <is>
          <t>CAGR</t>
        </is>
      </c>
      <c r="L76" s="409" t="inlineStr">
        <is>
          <t>Source</t>
        </is>
      </c>
      <c r="M76" s="65" t="inlineStr">
        <is>
          <t>Conf.</t>
        </is>
      </c>
      <c r="N76" s="410" t="inlineStr">
        <is>
          <t>Notes / methodology</t>
        </is>
      </c>
      <c r="P76" s="707" t="inlineStr">
        <is>
          <t>Ref</t>
        </is>
      </c>
    </row>
    <row r="77">
      <c r="A77" s="69" t="inlineStr">
        <is>
          <t>Opening net debt</t>
        </is>
      </c>
      <c r="B77" s="78" t="inlineStr">
        <is>
          <t>Rs cr</t>
        </is>
      </c>
      <c r="C77" s="83" t="n"/>
      <c r="D77" s="1022">
        <f>C80</f>
        <v/>
      </c>
      <c r="E77" s="1022">
        <f>D80</f>
        <v/>
      </c>
      <c r="F77" s="1022">
        <f>E80</f>
        <v/>
      </c>
      <c r="G77" s="1022">
        <f>F80</f>
        <v/>
      </c>
      <c r="H77" s="1022">
        <f>G80</f>
        <v/>
      </c>
      <c r="I77" s="1022">
        <f>H80</f>
        <v/>
      </c>
      <c r="J77" s="1022">
        <f>I80</f>
        <v/>
      </c>
      <c r="K77" s="83" t="n"/>
      <c r="L77" s="344" t="inlineStr">
        <is>
          <t>Computed</t>
        </is>
      </c>
      <c r="M77" s="352" t="inlineStr">
        <is>
          <t>Medium</t>
        </is>
      </c>
      <c r="N77" s="68" t="n"/>
      <c r="P77" s="708" t="inlineStr">
        <is>
          <t>CA09</t>
        </is>
      </c>
    </row>
    <row r="78">
      <c r="A78" s="69" t="inlineStr">
        <is>
          <t>Unlevered free cash flow</t>
        </is>
      </c>
      <c r="B78" s="78" t="inlineStr">
        <is>
          <t>Rs cr</t>
        </is>
      </c>
      <c r="C78" s="83" t="n"/>
      <c r="D78" s="1022">
        <f>'Cash Flow Model'!D$114</f>
        <v/>
      </c>
      <c r="E78" s="1022">
        <f>'Cash Flow Model'!E$114</f>
        <v/>
      </c>
      <c r="F78" s="1022">
        <f>'Cash Flow Model'!F$114</f>
        <v/>
      </c>
      <c r="G78" s="1022">
        <f>'Cash Flow Model'!G$114</f>
        <v/>
      </c>
      <c r="H78" s="1022">
        <f>'Cash Flow Model'!H$114</f>
        <v/>
      </c>
      <c r="I78" s="1022">
        <f>'Cash Flow Model'!I$114</f>
        <v/>
      </c>
      <c r="J78" s="1022">
        <f>'Cash Flow Model'!J$114</f>
        <v/>
      </c>
      <c r="K78" s="83" t="n"/>
      <c r="L78" s="344" t="inlineStr">
        <is>
          <t>16 Cash Flow</t>
        </is>
      </c>
      <c r="M78" s="352" t="inlineStr">
        <is>
          <t>Medium</t>
        </is>
      </c>
      <c r="N78" s="68" t="n"/>
      <c r="P78" s="708" t="inlineStr">
        <is>
          <t>CA10</t>
        </is>
      </c>
    </row>
    <row r="79" ht="24" customHeight="1" s="632">
      <c r="A79" s="69" t="inlineStr">
        <is>
          <t>Interest paid (illustrative)</t>
        </is>
      </c>
      <c r="B79" s="78" t="inlineStr">
        <is>
          <t>Rs cr</t>
        </is>
      </c>
      <c r="C79" s="83" t="n"/>
      <c r="D79" s="1022" t="n">
        <v>13764.0744</v>
      </c>
      <c r="E79" s="1022" t="n">
        <v>10288.37423272782</v>
      </c>
      <c r="F79" s="1022" t="n">
        <v>3094.941340056494</v>
      </c>
      <c r="G79" s="1022" t="n">
        <v>-5304.060151454764</v>
      </c>
      <c r="H79" s="1022" t="n">
        <v>-15883.6003837392</v>
      </c>
      <c r="I79" s="1022" t="n">
        <v>-30507.1708904399</v>
      </c>
      <c r="J79" s="1022" t="n">
        <v>-49138.56103259772</v>
      </c>
      <c r="K79" s="83" t="n"/>
      <c r="L79" s="344" t="inlineStr">
        <is>
          <t>Computed</t>
        </is>
      </c>
      <c r="M79" s="352" t="inlineStr">
        <is>
          <t>Medium</t>
        </is>
      </c>
      <c r="N79" s="345" t="inlineStr">
        <is>
          <t>Opening net debt at the pre-tax cost of debt of 7.44% from the WACC build-up. Illustrative: actual coupons differ by issuer and by instrument.</t>
        </is>
      </c>
      <c r="P79" s="708" t="inlineStr">
        <is>
          <t>CA11</t>
        </is>
      </c>
    </row>
    <row r="80" ht="36" customHeight="1" s="632">
      <c r="A80" s="76" t="inlineStr">
        <is>
          <t>Closing net debt</t>
        </is>
      </c>
      <c r="B80" s="78" t="inlineStr">
        <is>
          <t>Rs cr</t>
        </is>
      </c>
      <c r="C80" s="1023" t="n">
        <v>185001</v>
      </c>
      <c r="D80" s="1023">
        <f>D77-D78+D79</f>
        <v/>
      </c>
      <c r="E80" s="1023">
        <f>E77-E78+E79</f>
        <v/>
      </c>
      <c r="F80" s="1023">
        <f>F77-F78+F79</f>
        <v/>
      </c>
      <c r="G80" s="1023">
        <f>G77-G78+G79</f>
        <v/>
      </c>
      <c r="H80" s="1023">
        <f>H77-H78+H79</f>
        <v/>
      </c>
      <c r="I80" s="1023">
        <f>I77-I78+I79</f>
        <v/>
      </c>
      <c r="J80" s="1023">
        <f>J77-J78+J79</f>
        <v/>
      </c>
      <c r="K80" s="83" t="n"/>
      <c r="L80" s="344" t="inlineStr">
        <is>
          <t>Master DB (aggregate)</t>
        </is>
      </c>
      <c r="M80" s="352" t="inlineStr">
        <is>
          <t>Medium</t>
        </is>
      </c>
      <c r="N80" s="345" t="inlineStr">
        <is>
          <t>FY2026A of Rs 1,85,001 cr. Note SAIL is a gross-borrowings proxy, so the aggregate is overstated by SAIL's cash balance, which the database does not disclose.</t>
        </is>
      </c>
      <c r="P80" s="708" t="inlineStr">
        <is>
          <t>CA12</t>
        </is>
      </c>
    </row>
    <row r="81">
      <c r="A81" s="836" t="n"/>
      <c r="B81" s="837" t="n"/>
      <c r="C81" s="837" t="n"/>
      <c r="D81" s="837" t="n"/>
      <c r="E81" s="837" t="n"/>
      <c r="F81" s="837" t="n"/>
      <c r="G81" s="837" t="n"/>
      <c r="H81" s="837" t="n"/>
      <c r="I81" s="837" t="n"/>
      <c r="J81" s="837" t="n"/>
      <c r="K81" s="837" t="n"/>
      <c r="L81" s="837" t="n"/>
      <c r="M81" s="837" t="n"/>
      <c r="N81" s="838" t="n"/>
    </row>
    <row r="82">
      <c r="A82" s="836" t="inlineStr">
        <is>
          <t>LEVERAGE</t>
        </is>
      </c>
      <c r="B82" s="837" t="n"/>
      <c r="C82" s="837" t="n"/>
      <c r="D82" s="837" t="n"/>
      <c r="E82" s="837" t="n"/>
      <c r="F82" s="837" t="n"/>
      <c r="G82" s="837" t="n"/>
      <c r="H82" s="837" t="n"/>
      <c r="I82" s="837" t="n"/>
      <c r="J82" s="837" t="n"/>
      <c r="K82" s="837" t="n"/>
      <c r="L82" s="837" t="n"/>
      <c r="M82" s="837" t="n"/>
      <c r="N82" s="838" t="n"/>
    </row>
    <row r="83">
      <c r="A83" s="69" t="inlineStr">
        <is>
          <t>Industry EBITDA</t>
        </is>
      </c>
      <c r="B83" s="78" t="inlineStr">
        <is>
          <t>Rs cr</t>
        </is>
      </c>
      <c r="C83" s="1022" t="n">
        <v>172736.902</v>
      </c>
      <c r="D83" s="1022">
        <f>'EBITDA Model'!D$103</f>
        <v/>
      </c>
      <c r="E83" s="1022">
        <f>'EBITDA Model'!E$103</f>
        <v/>
      </c>
      <c r="F83" s="1022">
        <f>'EBITDA Model'!F$103</f>
        <v/>
      </c>
      <c r="G83" s="1022">
        <f>'EBITDA Model'!G$103</f>
        <v/>
      </c>
      <c r="H83" s="1022">
        <f>'EBITDA Model'!H$103</f>
        <v/>
      </c>
      <c r="I83" s="1022">
        <f>'EBITDA Model'!I$103</f>
        <v/>
      </c>
      <c r="J83" s="1022">
        <f>'EBITDA Model'!J$103</f>
        <v/>
      </c>
      <c r="K83" s="45" t="n"/>
      <c r="L83" s="344" t="inlineStr">
        <is>
          <t>13 EBITDA</t>
        </is>
      </c>
      <c r="M83" s="352" t="inlineStr">
        <is>
          <t>Medium</t>
        </is>
      </c>
      <c r="N83" s="68" t="n"/>
      <c r="P83" s="708" t="inlineStr">
        <is>
          <t>CA13</t>
        </is>
      </c>
    </row>
    <row r="84" ht="36" customHeight="1" s="632">
      <c r="A84" s="76" t="inlineStr">
        <is>
          <t>Net debt / EBITDA</t>
        </is>
      </c>
      <c r="B84" s="78" t="inlineStr">
        <is>
          <t>x</t>
        </is>
      </c>
      <c r="C84" s="140" t="n">
        <v>1.070998714565345</v>
      </c>
      <c r="D84" s="140">
        <f>IFERROR(D80/D83,"")</f>
        <v/>
      </c>
      <c r="E84" s="140">
        <f>IFERROR(E80/E83,"")</f>
        <v/>
      </c>
      <c r="F84" s="140">
        <f>IFERROR(F80/F83,"")</f>
        <v/>
      </c>
      <c r="G84" s="140">
        <f>IFERROR(G80/G83,"")</f>
        <v/>
      </c>
      <c r="H84" s="140">
        <f>IFERROR(H80/H83,"")</f>
        <v/>
      </c>
      <c r="I84" s="140">
        <f>IFERROR(I80/I83,"")</f>
        <v/>
      </c>
      <c r="J84" s="140">
        <f>IFERROR(J80/J83,"")</f>
        <v/>
      </c>
      <c r="K84" s="45" t="n"/>
      <c r="L84" s="344" t="inlineStr">
        <is>
          <t>Computed</t>
        </is>
      </c>
      <c r="M84" s="352" t="inlineStr">
        <is>
          <t>Medium</t>
        </is>
      </c>
      <c r="N84" s="345" t="inlineStr">
        <is>
          <t>Benchmark against the producers' own stated caps from the database: JSW Steel revised its cap down from 3.75x to 3.00x and achieved 1.81x at Mar-2026; Jindal Steel 1.66x; Jindal Stainless 0.55x; Tata Steel 2.3x.</t>
        </is>
      </c>
      <c r="P84" s="708" t="inlineStr">
        <is>
          <t>CA14</t>
        </is>
      </c>
    </row>
    <row r="85" ht="36" customHeight="1" s="632">
      <c r="A85" s="69" t="inlineStr">
        <is>
          <t>Leverage covenant headroom vs 3.0x</t>
        </is>
      </c>
      <c r="B85" s="78" t="inlineStr">
        <is>
          <t>x</t>
        </is>
      </c>
      <c r="C85" s="83" t="n"/>
      <c r="D85" s="92">
        <f>3-D84</f>
        <v/>
      </c>
      <c r="E85" s="92">
        <f>3-E84</f>
        <v/>
      </c>
      <c r="F85" s="92">
        <f>3-F84</f>
        <v/>
      </c>
      <c r="G85" s="92">
        <f>3-G84</f>
        <v/>
      </c>
      <c r="H85" s="92">
        <f>3-H84</f>
        <v/>
      </c>
      <c r="I85" s="92">
        <f>3-I84</f>
        <v/>
      </c>
      <c r="J85" s="92">
        <f>3-J84</f>
        <v/>
      </c>
      <c r="K85" s="45" t="n"/>
      <c r="L85" s="344" t="inlineStr">
        <is>
          <t>Computed</t>
        </is>
      </c>
      <c r="M85" s="352" t="inlineStr">
        <is>
          <t>Medium</t>
        </is>
      </c>
      <c r="N85" s="345" t="inlineStr">
        <is>
          <t>Against JSW Steel's revised stated cap of 3.00x, the tightest publicly stated cap among the covered producers. Negative means the industry aggregate would breach it.</t>
        </is>
      </c>
      <c r="P85" s="708" t="inlineStr">
        <is>
          <t>CA15</t>
        </is>
      </c>
    </row>
    <row r="86">
      <c r="A86" s="71" t="n"/>
      <c r="B86" s="83" t="n"/>
      <c r="C86" s="83" t="n"/>
      <c r="D86" s="83" t="n"/>
      <c r="E86" s="83" t="n"/>
      <c r="F86" s="83" t="n"/>
      <c r="G86" s="83" t="n"/>
      <c r="H86" s="83" t="n"/>
      <c r="I86" s="45" t="n"/>
      <c r="J86" s="45" t="n"/>
      <c r="K86" s="45" t="n"/>
      <c r="L86" s="45" t="n"/>
      <c r="M86" s="83" t="n"/>
      <c r="N86" s="68" t="n"/>
    </row>
    <row r="87">
      <c r="A87" s="836" t="inlineStr">
        <is>
          <t>CUMULATIVE CAPITAL DEPLOYED</t>
        </is>
      </c>
      <c r="B87" s="837" t="n"/>
      <c r="C87" s="837" t="n"/>
      <c r="D87" s="837" t="n"/>
      <c r="E87" s="837" t="n"/>
      <c r="F87" s="837" t="n"/>
      <c r="G87" s="837" t="n"/>
      <c r="H87" s="837" t="n"/>
      <c r="I87" s="837" t="n"/>
      <c r="J87" s="837" t="n"/>
      <c r="K87" s="837" t="n"/>
      <c r="L87" s="837" t="n"/>
      <c r="M87" s="837" t="n"/>
      <c r="N87" s="838" t="n"/>
    </row>
    <row r="88">
      <c r="A88" s="69" t="inlineStr">
        <is>
          <t>Total capex</t>
        </is>
      </c>
      <c r="B88" s="78" t="inlineStr">
        <is>
          <t>Rs cr</t>
        </is>
      </c>
      <c r="C88" s="83" t="n"/>
      <c r="D88" s="1022">
        <f>'Cash Flow Model'!D$110</f>
        <v/>
      </c>
      <c r="E88" s="1022">
        <f>'Cash Flow Model'!E$110</f>
        <v/>
      </c>
      <c r="F88" s="1022">
        <f>'Cash Flow Model'!F$110</f>
        <v/>
      </c>
      <c r="G88" s="1022">
        <f>'Cash Flow Model'!G$110</f>
        <v/>
      </c>
      <c r="H88" s="1022">
        <f>'Cash Flow Model'!H$110</f>
        <v/>
      </c>
      <c r="I88" s="1022">
        <f>'Cash Flow Model'!I$110</f>
        <v/>
      </c>
      <c r="J88" s="1022">
        <f>'Cash Flow Model'!J$110</f>
        <v/>
      </c>
      <c r="K88" s="45" t="n"/>
      <c r="L88" s="344" t="inlineStr">
        <is>
          <t>16 Cash Flow</t>
        </is>
      </c>
      <c r="M88" s="352" t="inlineStr">
        <is>
          <t>Medium</t>
        </is>
      </c>
      <c r="N88" s="68" t="n"/>
      <c r="P88" s="708" t="inlineStr">
        <is>
          <t>CA16</t>
        </is>
      </c>
    </row>
    <row r="89" ht="48.6" customHeight="1" s="632" thickBot="1">
      <c r="A89" s="102" t="inlineStr">
        <is>
          <t>Cumulative capex FY2027E onwards</t>
        </is>
      </c>
      <c r="B89" s="79" t="inlineStr">
        <is>
          <t>Rs cr</t>
        </is>
      </c>
      <c r="C89" s="1115" t="n">
        <v>0</v>
      </c>
      <c r="D89" s="1071">
        <f>C89+D88</f>
        <v/>
      </c>
      <c r="E89" s="1071">
        <f>D89+E88</f>
        <v/>
      </c>
      <c r="F89" s="1071">
        <f>E89+F88</f>
        <v/>
      </c>
      <c r="G89" s="1071">
        <f>F89+G88</f>
        <v/>
      </c>
      <c r="H89" s="1071">
        <f>G89+H88</f>
        <v/>
      </c>
      <c r="I89" s="1071">
        <f>H89+I88</f>
        <v/>
      </c>
      <c r="J89" s="1071">
        <f>I89+J88</f>
        <v/>
      </c>
      <c r="K89" s="74" t="n"/>
      <c r="L89" s="346" t="inlineStr">
        <is>
          <t>Computed</t>
        </is>
      </c>
      <c r="M89" s="353" t="inlineStr">
        <is>
          <t>Medium</t>
        </is>
      </c>
      <c r="N89" s="347" t="inlineStr">
        <is>
          <t>The scale of the capital call on this industry over the horizon. For context the database records Jindal Steel's cumulative capex at Rs 40,450 cr through FY2026 and JSW Steel carrying forward Rs 96,888 cr of approved capex at 1-Apr-2026.</t>
        </is>
      </c>
      <c r="P89" s="708" t="inlineStr">
        <is>
          <t>CA17</t>
        </is>
      </c>
    </row>
    <row r="90"/>
    <row r="91">
      <c r="A91" s="393" t="inlineStr">
        <is>
          <t>No dividend or buyback is modelled at industry level. The database records FY2026 dividends of Rs 4.00 per share at Tata Steel, Rs 7.10 at JSW Steel, Rs 2.35 at SAIL, Rs 2.00 at Jindal Steel and Rs 4.00 at Jindal Stainless; add them in single-name models.</t>
        </is>
      </c>
    </row>
  </sheetData>
  <mergeCells count="13">
    <mergeCell ref="A2:F2"/>
    <mergeCell ref="A7:I7"/>
    <mergeCell ref="A19:I19"/>
    <mergeCell ref="A91:N91"/>
    <mergeCell ref="A87:N87"/>
    <mergeCell ref="A66:I66"/>
    <mergeCell ref="A5:N5"/>
    <mergeCell ref="A82:N82"/>
    <mergeCell ref="A45:I45"/>
    <mergeCell ref="A81:N81"/>
    <mergeCell ref="A56:I56"/>
    <mergeCell ref="A34:I34"/>
    <mergeCell ref="A1:N1"/>
  </mergeCells>
  <hyperlinks>
    <hyperlink ref="K13" location="'Audit Checks'!A552" tooltip="Open the reference register on 25 Audit Checks"/>
    <hyperlink ref="K14" location="'Audit Checks'!A552" tooltip="Open the reference register on 25 Audit Checks"/>
    <hyperlink ref="K15" location="'Audit Checks'!A552" tooltip="Open the reference register on 25 Audit Checks"/>
    <hyperlink ref="J29" location="'Audit Checks'!A552" tooltip="Open the reference register on 25 Audit Checks"/>
    <hyperlink ref="J30" location="'Audit Checks'!A552" tooltip="Open the reference register on 25 Audit Checks"/>
    <hyperlink ref="L39" location="'Audit Checks'!A552" tooltip="Open the reference register on 25 Audit Checks"/>
    <hyperlink ref="L40" location="'Audit Checks'!A552" tooltip="Open the reference register on 25 Audit Checks"/>
    <hyperlink ref="L41" location="'Audit Checks'!A552" tooltip="Open the reference register on 25 Audit Checks"/>
    <hyperlink ref="L42" location="'Audit Checks'!A552" tooltip="Open the reference register on 25 Audit Checks"/>
    <hyperlink ref="H53" location="'Audit Checks'!A552" tooltip="Open the reference register on 25 Audit Checks"/>
    <hyperlink ref="J59" location="'Audit Checks'!A552" tooltip="Open the reference register on 25 Audit Checks"/>
    <hyperlink ref="J60" location="'Audit Checks'!A552" tooltip="Open the reference register on 25 Audit Checks"/>
    <hyperlink ref="J61" location="'Audit Checks'!A552" tooltip="Open the reference register on 25 Audit Checks"/>
    <hyperlink ref="J62" location="'Audit Checks'!A552" tooltip="Open the reference register on 25 Audit Checks"/>
    <hyperlink ref="J63" location="'Audit Checks'!A552" tooltip="Open the reference register on 25 Audit Checks"/>
    <hyperlink ref="G68" location="'Audit Checks'!A552" tooltip="Open the reference register on 25 Audit Checks"/>
    <hyperlink ref="P77" location="'Audit Checks'!A552" tooltip="Open the reference register on 25 Audit Checks"/>
    <hyperlink ref="P78" location="'Audit Checks'!A552" tooltip="Open the reference register on 25 Audit Checks"/>
    <hyperlink ref="P79" location="'Audit Checks'!A552" tooltip="Open the reference register on 25 Audit Checks"/>
    <hyperlink ref="P80" location="'Audit Checks'!A552" tooltip="Open the reference register on 25 Audit Checks"/>
    <hyperlink ref="P83" location="'Audit Checks'!A552" tooltip="Open the reference register on 25 Audit Checks"/>
    <hyperlink ref="P84" location="'Audit Checks'!A552" tooltip="Open the reference register on 25 Audit Checks"/>
    <hyperlink ref="P85" location="'Audit Checks'!A552" tooltip="Open the reference register on 25 Audit Checks"/>
    <hyperlink ref="P88" location="'Audit Checks'!A552" tooltip="Open the reference register on 25 Audit Checks"/>
    <hyperlink ref="P89" location="'Audit Checks'!A552" tooltip="Open the reference register on 25 Audit Checks"/>
  </hyperlink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codeName="Sheet23">
    <tabColor rgb="FF002060"/>
    <outlinePr summaryBelow="1" summaryRight="1"/>
    <pageSetUpPr/>
  </sheetPr>
  <dimension ref="A1:P100"/>
  <sheetViews>
    <sheetView showGridLines="0" zoomScaleNormal="100" workbookViewId="0">
      <selection activeCell="A7" sqref="A7:I14"/>
    </sheetView>
  </sheetViews>
  <sheetFormatPr baseColWidth="8" defaultRowHeight="14.4"/>
  <cols>
    <col width="25.109375" customWidth="1" style="690" min="1" max="1"/>
    <col width="12.109375" customWidth="1" style="129" min="2" max="4"/>
    <col width="15.109375" customWidth="1" style="129" min="5" max="5"/>
    <col width="12.109375" customWidth="1" style="129" min="6" max="10"/>
    <col width="7" customWidth="1" style="632" min="7" max="7"/>
    <col width="9.77734375" customWidth="1" style="129" min="11" max="11"/>
    <col width="17.44140625" bestFit="1" customWidth="1" style="690" min="12" max="12"/>
    <col width="6.5546875" bestFit="1" customWidth="1" style="129" min="13" max="13"/>
    <col width="58.21875" customWidth="1" style="690" min="14" max="14"/>
    <col width="8.88671875" customWidth="1" style="690" min="15" max="16384"/>
    <col width="7" customWidth="1" style="632" min="16" max="16"/>
  </cols>
  <sheetData>
    <row r="1" ht="25.8" customHeight="1" s="632">
      <c r="A1" s="365" t="inlineStr">
        <is>
          <t>INDUSTRY CYCLE MODEL</t>
        </is>
      </c>
    </row>
    <row r="2">
      <c r="A2" s="494" t="inlineStr">
        <is>
          <t>Industry Financial Model  |  Indian Steel Industry  |  Horizon FY2027E-FY2033E  |  Base year FY2026A</t>
        </is>
      </c>
    </row>
    <row r="3">
      <c r="A3" s="415" t="n"/>
    </row>
    <row r="4">
      <c r="A4" s="411" t="inlineStr">
        <is>
          <t>OBJECTIVE</t>
        </is>
      </c>
      <c r="B4" s="143" t="n"/>
      <c r="C4" s="143" t="n"/>
      <c r="D4" s="143" t="n"/>
      <c r="E4" s="143" t="n"/>
      <c r="F4" s="143" t="n"/>
      <c r="G4" s="143" t="n"/>
      <c r="H4" s="143" t="n"/>
      <c r="I4" s="143" t="n"/>
      <c r="J4" s="143" t="n"/>
      <c r="K4" s="143" t="n"/>
      <c r="L4" s="142" t="n"/>
      <c r="M4" s="143" t="n"/>
      <c r="N4" s="142" t="n"/>
    </row>
    <row r="5">
      <c r="A5" s="394" t="inlineStr">
        <is>
          <t>Identify the current and forecast stage of the Indian steel industry cycle using macroeconomic indicators, demand, supply, pricing, profitability, and investment activity.</t>
        </is>
      </c>
    </row>
    <row r="6">
      <c r="A6" s="394" t="n"/>
      <c r="B6" s="394" t="n"/>
      <c r="C6" s="394" t="n"/>
      <c r="D6" s="394" t="n"/>
      <c r="E6" s="394" t="n"/>
      <c r="F6" s="394" t="n"/>
      <c r="G6" s="394" t="n"/>
      <c r="H6" s="394" t="n"/>
      <c r="I6" s="394" t="n"/>
      <c r="J6" s="394" t="n"/>
      <c r="K6" s="394" t="n"/>
      <c r="L6" s="394" t="n"/>
      <c r="M6" s="394" t="n"/>
      <c r="N6" s="394" t="n"/>
    </row>
    <row r="7" ht="15.6" customHeight="1" s="632">
      <c r="A7" s="612" t="inlineStr">
        <is>
          <t>Executive Summary</t>
        </is>
      </c>
      <c r="J7" s="394" t="n"/>
      <c r="K7" s="394" t="n"/>
      <c r="L7" s="394" t="n"/>
      <c r="M7" s="394" t="n"/>
      <c r="N7" s="394" t="n"/>
    </row>
    <row r="8">
      <c r="A8" s="539" t="inlineStr">
        <is>
          <t>KPI</t>
        </is>
      </c>
      <c r="B8" s="544" t="inlineStr">
        <is>
          <t>FY26A</t>
        </is>
      </c>
      <c r="C8" s="544" t="inlineStr">
        <is>
          <t>FY27E</t>
        </is>
      </c>
      <c r="D8" s="544" t="inlineStr">
        <is>
          <t>FY28E</t>
        </is>
      </c>
      <c r="E8" s="544" t="inlineStr">
        <is>
          <t>FY29E</t>
        </is>
      </c>
      <c r="F8" s="544" t="inlineStr">
        <is>
          <t>FY30E</t>
        </is>
      </c>
      <c r="G8" s="544" t="inlineStr">
        <is>
          <t>FY31E</t>
        </is>
      </c>
      <c r="H8" s="544" t="inlineStr">
        <is>
          <t>FY32E</t>
        </is>
      </c>
      <c r="I8" s="544" t="inlineStr">
        <is>
          <t>FY33E</t>
        </is>
      </c>
      <c r="J8" s="394" t="n"/>
      <c r="K8" s="707" t="inlineStr">
        <is>
          <t>Ref</t>
        </is>
      </c>
      <c r="L8" s="394" t="n"/>
      <c r="M8" s="394" t="n"/>
      <c r="N8" s="394" t="n"/>
    </row>
    <row r="9">
      <c r="A9" s="670" t="inlineStr">
        <is>
          <t>Cycle Phase</t>
        </is>
      </c>
      <c r="B9" s="1116">
        <f>IF(C27&gt;=80,"Overheating",IF(C27&gt;=60,"Peak",IF(C27&gt;=40,"Expansion",IF(C27&gt;=20,"Recovery","Deep Downturn"))))</f>
        <v/>
      </c>
      <c r="C9" s="1116">
        <f>IF(D27&gt;=80,"Overheating",IF(D27&gt;=60,"Peak",IF(D27&gt;=40,"Expansion",IF(D27&gt;=20,"Recovery","Deep Downturn"))))</f>
        <v/>
      </c>
      <c r="D9" s="1116">
        <f>IF(E27&gt;=80,"Overheating",IF(E27&gt;=60,"Peak",IF(E27&gt;=40,"Expansion",IF(E27&gt;=20,"Recovery","Deep Downturn"))))</f>
        <v/>
      </c>
      <c r="E9" s="1116">
        <f>IF(F27&gt;=80,"Overheating",IF(F27&gt;=60,"Peak",IF(F27&gt;=40,"Expansion",IF(F27&gt;=20,"Recovery","Deep Downturn"))))</f>
        <v/>
      </c>
      <c r="F9" s="1116">
        <f>IF(G27&gt;=80,"Overheating",IF(G27&gt;=60,"Peak",IF(G27&gt;=40,"Expansion",IF(G27&gt;=20,"Recovery","Deep Downturn"))))</f>
        <v/>
      </c>
      <c r="G9" s="1116">
        <f>IF(H27&gt;=80,"Overheating",IF(H27&gt;=60,"Peak",IF(H27&gt;=40,"Expansion",IF(H27&gt;=20,"Recovery","Deep Downturn"))))</f>
        <v/>
      </c>
      <c r="H9" s="1116">
        <f>IF(I27&gt;=80,"Overheating",IF(I27&gt;=60,"Peak",IF(I27&gt;=40,"Expansion",IF(I27&gt;=20,"Recovery","Deep Downturn"))))</f>
        <v/>
      </c>
      <c r="I9" s="1116">
        <f>IF(J27&gt;=80,"Overheating",IF(J27&gt;=60,"Peak",IF(J27&gt;=40,"Expansion",IF(J27&gt;=20,"Recovery","Deep Downturn"))))</f>
        <v/>
      </c>
      <c r="J9" s="394" t="n"/>
      <c r="K9" s="394" t="n"/>
      <c r="L9" s="394" t="n"/>
      <c r="M9" s="394" t="n"/>
      <c r="N9" s="394" t="n"/>
    </row>
    <row r="10">
      <c r="A10" s="670" t="inlineStr">
        <is>
          <t>Cycle Score (0–100)</t>
        </is>
      </c>
      <c r="B10" s="942">
        <f>$C$27</f>
        <v/>
      </c>
      <c r="C10" s="942">
        <f>$D$27</f>
        <v/>
      </c>
      <c r="D10" s="942">
        <f>$E$27</f>
        <v/>
      </c>
      <c r="E10" s="942">
        <f>$F$27</f>
        <v/>
      </c>
      <c r="F10" s="942">
        <f>$G$27</f>
        <v/>
      </c>
      <c r="G10" s="942">
        <f>$H$27</f>
        <v/>
      </c>
      <c r="H10" s="942">
        <f>$I$27</f>
        <v/>
      </c>
      <c r="I10" s="942">
        <f>$J$27</f>
        <v/>
      </c>
      <c r="J10" s="394" t="n"/>
      <c r="K10" s="708" t="inlineStr">
        <is>
          <t>IC01</t>
        </is>
      </c>
      <c r="L10" s="394" t="n"/>
      <c r="M10" s="394" t="n"/>
      <c r="N10" s="394" t="n"/>
    </row>
    <row r="11">
      <c r="A11" s="670" t="inlineStr">
        <is>
          <t>Industry Risk</t>
        </is>
      </c>
      <c r="B11" s="1116">
        <f>IF(C27&gt;=80,"Elevated - late cycle risk",IF(C27&gt;=60,"Moderate",IF(C27&gt;=40,"Balanced",IF(C27&gt;=20,"High","Severe"))))</f>
        <v/>
      </c>
      <c r="C11" s="1116">
        <f>IF(D27&gt;=80,"Elevated - late cycle risk",IF(D27&gt;=60,"Moderate",IF(D27&gt;=40,"Balanced",IF(D27&gt;=20,"High","Severe"))))</f>
        <v/>
      </c>
      <c r="D11" s="1116">
        <f>IF(E27&gt;=80,"Elevated - late cycle risk",IF(E27&gt;=60,"Moderate",IF(E27&gt;=40,"Balanced",IF(E27&gt;=20,"High","Severe"))))</f>
        <v/>
      </c>
      <c r="E11" s="1116">
        <f>IF(F27&gt;=80,"Elevated - late cycle risk",IF(F27&gt;=60,"Moderate",IF(F27&gt;=40,"Balanced",IF(F27&gt;=20,"High","Severe"))))</f>
        <v/>
      </c>
      <c r="F11" s="1116">
        <f>IF(G27&gt;=80,"Elevated - late cycle risk",IF(G27&gt;=60,"Moderate",IF(G27&gt;=40,"Balanced",IF(G27&gt;=20,"High","Severe"))))</f>
        <v/>
      </c>
      <c r="G11" s="1116">
        <f>IF(H27&gt;=80,"Elevated - late cycle risk",IF(H27&gt;=60,"Moderate",IF(H27&gt;=40,"Balanced",IF(H27&gt;=20,"High","Severe"))))</f>
        <v/>
      </c>
      <c r="H11" s="1116">
        <f>IF(I27&gt;=80,"Elevated - late cycle risk",IF(I27&gt;=60,"Moderate",IF(I27&gt;=40,"Balanced",IF(I27&gt;=20,"High","Severe"))))</f>
        <v/>
      </c>
      <c r="I11" s="1116">
        <f>IF(J27&gt;=80,"Elevated - late cycle risk",IF(J27&gt;=60,"Moderate",IF(J27&gt;=40,"Balanced",IF(J27&gt;=20,"High","Severe"))))</f>
        <v/>
      </c>
      <c r="J11" s="394" t="n"/>
      <c r="K11" s="394" t="n"/>
      <c r="L11" s="394" t="n"/>
      <c r="M11" s="394" t="n"/>
      <c r="N11" s="394" t="n"/>
    </row>
    <row r="12">
      <c r="A12" s="670" t="inlineStr">
        <is>
          <t>Pricing Power</t>
        </is>
      </c>
      <c r="B12" s="1116">
        <f>IF('Capacity Utilisation'!C69&gt;0.03,"Strong",IF('Capacity Utilisation'!C69&gt;0,"Improving",IF('Capacity Utilisation'!C69&gt;-0.04,"Limited","Weak")))</f>
        <v/>
      </c>
      <c r="C12" s="1116">
        <f>IF('Capacity Utilisation'!D69&gt;0.03,"Strong",IF('Capacity Utilisation'!D69&gt;0,"Improving",IF('Capacity Utilisation'!D69&gt;-0.04,"Limited","Weak")))</f>
        <v/>
      </c>
      <c r="D12" s="1116">
        <f>IF('Capacity Utilisation'!E69&gt;0.03,"Strong",IF('Capacity Utilisation'!E69&gt;0,"Improving",IF('Capacity Utilisation'!E69&gt;-0.04,"Limited","Weak")))</f>
        <v/>
      </c>
      <c r="E12" s="1116">
        <f>IF('Capacity Utilisation'!F69&gt;0.03,"Strong",IF('Capacity Utilisation'!F69&gt;0,"Improving",IF('Capacity Utilisation'!F69&gt;-0.04,"Limited","Weak")))</f>
        <v/>
      </c>
      <c r="F12" s="1116">
        <f>IF('Capacity Utilisation'!G69&gt;0.03,"Strong",IF('Capacity Utilisation'!G69&gt;0,"Improving",IF('Capacity Utilisation'!G69&gt;-0.04,"Limited","Weak")))</f>
        <v/>
      </c>
      <c r="G12" s="1116">
        <f>IF('Capacity Utilisation'!H69&gt;0.03,"Strong",IF('Capacity Utilisation'!H69&gt;0,"Improving",IF('Capacity Utilisation'!H69&gt;-0.04,"Limited","Weak")))</f>
        <v/>
      </c>
      <c r="H12" s="1116">
        <f>IF('Capacity Utilisation'!I69&gt;0.03,"Strong",IF('Capacity Utilisation'!I69&gt;0,"Improving",IF('Capacity Utilisation'!I69&gt;-0.04,"Limited","Weak")))</f>
        <v/>
      </c>
      <c r="I12" s="1116">
        <f>IF('Capacity Utilisation'!J69&gt;0.03,"Strong",IF('Capacity Utilisation'!J69&gt;0,"Improving",IF('Capacity Utilisation'!J69&gt;-0.04,"Limited","Weak")))</f>
        <v/>
      </c>
      <c r="J12" s="394" t="n"/>
      <c r="K12" s="394" t="n"/>
      <c r="L12" s="394" t="n"/>
      <c r="M12" s="394" t="n"/>
      <c r="N12" s="394" t="n"/>
    </row>
    <row r="13">
      <c r="A13" s="670" t="inlineStr">
        <is>
          <t>Profitability Outlook</t>
        </is>
      </c>
      <c r="B13" s="1116">
        <f>IF('Margin Analysis'!C91&gt;C90+0.04,"Above mid-cycle",IF('Margin Analysis'!C91&gt;C90,"At mid-cycle",IF('Margin Analysis'!C91&gt;C90-0.05,"Below mid-cycle","Trough")))</f>
        <v/>
      </c>
      <c r="C13" s="1116">
        <f>IF('Margin Analysis'!D91&gt;D90+0.04,"Above mid-cycle",IF('Margin Analysis'!D91&gt;D90,"At mid-cycle",IF('Margin Analysis'!D91&gt;D90-0.05,"Below mid-cycle","Trough")))</f>
        <v/>
      </c>
      <c r="D13" s="1116">
        <f>IF('Margin Analysis'!E91&gt;E90+0.04,"Above mid-cycle",IF('Margin Analysis'!E91&gt;E90,"At mid-cycle",IF('Margin Analysis'!E91&gt;E90-0.05,"Below mid-cycle","Trough")))</f>
        <v/>
      </c>
      <c r="E13" s="1116">
        <f>IF('Margin Analysis'!F91&gt;F90+0.04,"Above mid-cycle",IF('Margin Analysis'!F91&gt;F90,"At mid-cycle",IF('Margin Analysis'!F91&gt;F90-0.05,"Below mid-cycle","Trough")))</f>
        <v/>
      </c>
      <c r="F13" s="1116">
        <f>IF('Margin Analysis'!G91&gt;G90+0.04,"Above mid-cycle",IF('Margin Analysis'!G91&gt;G90,"At mid-cycle",IF('Margin Analysis'!G91&gt;G90-0.05,"Below mid-cycle","Trough")))</f>
        <v/>
      </c>
      <c r="G13" s="1116">
        <f>IF('Margin Analysis'!H91&gt;H90+0.04,"Above mid-cycle",IF('Margin Analysis'!H91&gt;H90,"At mid-cycle",IF('Margin Analysis'!H91&gt;H90-0.05,"Below mid-cycle","Trough")))</f>
        <v/>
      </c>
      <c r="H13" s="1116">
        <f>IF('Margin Analysis'!I91&gt;I90+0.04,"Above mid-cycle",IF('Margin Analysis'!I91&gt;I90,"At mid-cycle",IF('Margin Analysis'!I91&gt;I90-0.05,"Below mid-cycle","Trough")))</f>
        <v/>
      </c>
      <c r="I13" s="1116">
        <f>IF('Margin Analysis'!J91&gt;J90+0.04,"Above mid-cycle",IF('Margin Analysis'!J91&gt;J90,"At mid-cycle",IF('Margin Analysis'!J91&gt;J90-0.05,"Below mid-cycle","Trough")))</f>
        <v/>
      </c>
      <c r="J13" s="394" t="n"/>
      <c r="K13" s="394" t="n"/>
      <c r="L13" s="394" t="n"/>
      <c r="M13" s="394" t="n"/>
      <c r="N13" s="394" t="n"/>
    </row>
    <row r="14">
      <c r="A14" s="670" t="inlineStr">
        <is>
          <t>Investment Outlook</t>
        </is>
      </c>
      <c r="B14" s="1117">
        <f>IF(C27&gt;=60,"Late - discipline required",IF(C27&gt;=40,"Selective",IF(C27&gt;=20,"Accumulate","Deep value")))</f>
        <v/>
      </c>
      <c r="C14" s="1117">
        <f>IF(D27&gt;=60,"Late - discipline required",IF(D27&gt;=40,"Selective",IF(D27&gt;=20,"Accumulate","Deep value")))</f>
        <v/>
      </c>
      <c r="D14" s="1117">
        <f>IF(E27&gt;=60,"Late - discipline required",IF(E27&gt;=40,"Selective",IF(E27&gt;=20,"Accumulate","Deep value")))</f>
        <v/>
      </c>
      <c r="E14" s="1117">
        <f>IF(F27&gt;=60,"Late - discipline required",IF(F27&gt;=40,"Selective",IF(F27&gt;=20,"Accumulate","Deep value")))</f>
        <v/>
      </c>
      <c r="F14" s="1117">
        <f>IF(G27&gt;=60,"Late - discipline required",IF(G27&gt;=40,"Selective",IF(G27&gt;=20,"Accumulate","Deep value")))</f>
        <v/>
      </c>
      <c r="G14" s="1117">
        <f>IF(H27&gt;=60,"Late - discipline required",IF(H27&gt;=40,"Selective",IF(H27&gt;=20,"Accumulate","Deep value")))</f>
        <v/>
      </c>
      <c r="H14" s="1117">
        <f>IF(I27&gt;=60,"Late - discipline required",IF(I27&gt;=40,"Selective",IF(I27&gt;=20,"Accumulate","Deep value")))</f>
        <v/>
      </c>
      <c r="I14" s="1117">
        <f>IF(J27&gt;=60,"Late - discipline required",IF(J27&gt;=40,"Selective",IF(J27&gt;=20,"Accumulate","Deep value")))</f>
        <v/>
      </c>
      <c r="J14" s="394" t="n"/>
      <c r="K14" s="394" t="n"/>
      <c r="L14" s="394" t="n"/>
      <c r="M14" s="394" t="n"/>
      <c r="N14" s="394" t="n"/>
    </row>
    <row r="15">
      <c r="A15" s="394" t="n"/>
      <c r="B15" s="394" t="n"/>
      <c r="C15" s="394" t="n"/>
      <c r="D15" s="394" t="n"/>
      <c r="E15" s="394" t="n"/>
      <c r="F15" s="394" t="n"/>
      <c r="G15" s="394" t="n"/>
      <c r="H15" s="394" t="n"/>
      <c r="I15" s="394" t="n"/>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ht="15.6" customHeight="1" s="632">
      <c r="A17" s="612" t="inlineStr">
        <is>
          <t>Industry Cycle Scorecrd</t>
        </is>
      </c>
      <c r="J17" s="394" t="n"/>
      <c r="K17" s="394" t="n"/>
      <c r="L17" s="394" t="n"/>
      <c r="M17" s="394" t="n"/>
      <c r="N17" s="394" t="n"/>
    </row>
    <row r="18">
      <c r="A18" s="539" t="inlineStr">
        <is>
          <t>Indicator</t>
        </is>
      </c>
      <c r="B18" s="539" t="inlineStr">
        <is>
          <t>Weight</t>
        </is>
      </c>
      <c r="C18" s="539" t="inlineStr">
        <is>
          <t>FY26A</t>
        </is>
      </c>
      <c r="D18" s="539" t="inlineStr">
        <is>
          <t>FY27E</t>
        </is>
      </c>
      <c r="E18" s="539" t="inlineStr">
        <is>
          <t>FY28E</t>
        </is>
      </c>
      <c r="F18" s="539" t="inlineStr">
        <is>
          <t>FY29E</t>
        </is>
      </c>
      <c r="G18" s="539" t="inlineStr">
        <is>
          <t>FY30E</t>
        </is>
      </c>
      <c r="H18" s="539" t="inlineStr">
        <is>
          <t>FY31E</t>
        </is>
      </c>
      <c r="I18" s="539" t="inlineStr">
        <is>
          <t>FY32E</t>
        </is>
      </c>
      <c r="J18" s="539" t="inlineStr">
        <is>
          <t>FY33E</t>
        </is>
      </c>
      <c r="K18" s="394" t="n"/>
      <c r="L18" s="394" t="n"/>
      <c r="M18" s="394" t="n"/>
      <c r="N18" s="394" t="n"/>
    </row>
    <row r="19">
      <c r="A19" s="670" t="inlineStr">
        <is>
          <t>GDP Growth</t>
        </is>
      </c>
      <c r="B19" s="540" t="n">
        <v>0.15</v>
      </c>
      <c r="C19" s="1118">
        <f>MIN(100,MAX(0,('Macroeconomic Model'!C101-4%)/5%*100))</f>
        <v/>
      </c>
      <c r="D19" s="1118">
        <f>MIN(100,MAX(0,('Macroeconomic Model'!D101-4%)/5%*100))</f>
        <v/>
      </c>
      <c r="E19" s="1118">
        <f>MIN(100,MAX(0,('Macroeconomic Model'!E101-4%)/5%*100))</f>
        <v/>
      </c>
      <c r="F19" s="1118">
        <f>MIN(100,MAX(0,('Macroeconomic Model'!F101-4%)/5%*100))</f>
        <v/>
      </c>
      <c r="G19" s="1118">
        <f>MIN(100,MAX(0,('Macroeconomic Model'!G101-4%)/5%*100))</f>
        <v/>
      </c>
      <c r="H19" s="1118">
        <f>MIN(100,MAX(0,('Macroeconomic Model'!H101-4%)/5%*100))</f>
        <v/>
      </c>
      <c r="I19" s="1118">
        <f>MIN(100,MAX(0,('Macroeconomic Model'!I101-4%)/5%*100))</f>
        <v/>
      </c>
      <c r="J19" s="1118">
        <f>MIN(100,MAX(0,('Macroeconomic Model'!J101-4%)/5%*100))</f>
        <v/>
      </c>
      <c r="K19" s="394" t="n"/>
      <c r="L19" s="394" t="n"/>
      <c r="M19" s="394" t="n"/>
      <c r="N19" s="394" t="n"/>
    </row>
    <row r="20">
      <c r="A20" s="670" t="inlineStr">
        <is>
          <t>Steel Demand Growth</t>
        </is>
      </c>
      <c r="B20" s="540" t="n">
        <v>0.2</v>
      </c>
      <c r="C20" s="1118">
        <f>MIN(100,MAX(0,('Steel Demand Model'!C115-2%)/10%*100))</f>
        <v/>
      </c>
      <c r="D20" s="1118">
        <f>MIN(100,MAX(0,('Steel Demand Model'!D115-2%)/10%*100))</f>
        <v/>
      </c>
      <c r="E20" s="1118">
        <f>MIN(100,MAX(0,('Steel Demand Model'!E115-2%)/10%*100))</f>
        <v/>
      </c>
      <c r="F20" s="1118">
        <f>MIN(100,MAX(0,('Steel Demand Model'!F115-2%)/10%*100))</f>
        <v/>
      </c>
      <c r="G20" s="1118">
        <f>MIN(100,MAX(0,('Steel Demand Model'!G115-2%)/10%*100))</f>
        <v/>
      </c>
      <c r="H20" s="1118">
        <f>MIN(100,MAX(0,('Steel Demand Model'!H115-2%)/10%*100))</f>
        <v/>
      </c>
      <c r="I20" s="1118">
        <f>MIN(100,MAX(0,('Steel Demand Model'!I115-2%)/10%*100))</f>
        <v/>
      </c>
      <c r="J20" s="1118">
        <f>MIN(100,MAX(0,('Steel Demand Model'!J115-2%)/10%*100))</f>
        <v/>
      </c>
      <c r="K20" s="394" t="n"/>
      <c r="L20" s="394" t="n"/>
      <c r="M20" s="394" t="n"/>
      <c r="N20" s="394" t="n"/>
    </row>
    <row r="21">
      <c r="A21" s="670" t="inlineStr">
        <is>
          <t>Capacity Utilisation</t>
        </is>
      </c>
      <c r="B21" s="540" t="n">
        <v>0.2</v>
      </c>
      <c r="C21" s="1118">
        <f>MIN(100,MAX(0,('Capacity Utilisation'!C67-65%)/27%*100))</f>
        <v/>
      </c>
      <c r="D21" s="1118">
        <f>MIN(100,MAX(0,('Capacity Utilisation'!D67-65%)/27%*100))</f>
        <v/>
      </c>
      <c r="E21" s="1118">
        <f>MIN(100,MAX(0,('Capacity Utilisation'!E67-65%)/27%*100))</f>
        <v/>
      </c>
      <c r="F21" s="1118">
        <f>MIN(100,MAX(0,('Capacity Utilisation'!F67-65%)/27%*100))</f>
        <v/>
      </c>
      <c r="G21" s="1118">
        <f>MIN(100,MAX(0,('Capacity Utilisation'!G67-65%)/27%*100))</f>
        <v/>
      </c>
      <c r="H21" s="1118">
        <f>MIN(100,MAX(0,('Capacity Utilisation'!H67-65%)/27%*100))</f>
        <v/>
      </c>
      <c r="I21" s="1118">
        <f>MIN(100,MAX(0,('Capacity Utilisation'!I67-65%)/27%*100))</f>
        <v/>
      </c>
      <c r="J21" s="1118">
        <f>MIN(100,MAX(0,('Capacity Utilisation'!J67-65%)/27%*100))</f>
        <v/>
      </c>
      <c r="K21" s="394" t="n"/>
      <c r="L21" s="394" t="n"/>
      <c r="M21" s="394" t="n"/>
      <c r="N21" s="394" t="n"/>
    </row>
    <row r="22">
      <c r="A22" s="670" t="inlineStr">
        <is>
          <t>Supply Gap</t>
        </is>
      </c>
      <c r="B22" s="540" t="n">
        <v>0.15</v>
      </c>
      <c r="C22" s="1118">
        <f>MIN(100,MAX(0,100-('Capacity Forecast'!C101-'Steel Supply Model'!C94)/'Capacity Forecast'!C101/30%*100))</f>
        <v/>
      </c>
      <c r="D22" s="1118">
        <f>MIN(100,MAX(0,100-('Capacity Forecast'!D101-'Steel Supply Model'!D94)/'Capacity Forecast'!D101/30%*100))</f>
        <v/>
      </c>
      <c r="E22" s="1118">
        <f>MIN(100,MAX(0,100-('Capacity Forecast'!E101-'Steel Supply Model'!E94)/'Capacity Forecast'!E101/30%*100))</f>
        <v/>
      </c>
      <c r="F22" s="1118">
        <f>MIN(100,MAX(0,100-('Capacity Forecast'!F101-'Steel Supply Model'!F94)/'Capacity Forecast'!F101/30%*100))</f>
        <v/>
      </c>
      <c r="G22" s="1118">
        <f>MIN(100,MAX(0,100-('Capacity Forecast'!G101-'Steel Supply Model'!G94)/'Capacity Forecast'!G101/30%*100))</f>
        <v/>
      </c>
      <c r="H22" s="1118">
        <f>MIN(100,MAX(0,100-('Capacity Forecast'!H101-'Steel Supply Model'!H94)/'Capacity Forecast'!H101/30%*100))</f>
        <v/>
      </c>
      <c r="I22" s="1118">
        <f>MIN(100,MAX(0,100-('Capacity Forecast'!I101-'Steel Supply Model'!I94)/'Capacity Forecast'!I101/30%*100))</f>
        <v/>
      </c>
      <c r="J22" s="1118">
        <f>MIN(100,MAX(0,100-('Capacity Forecast'!J101-'Steel Supply Model'!J94)/'Capacity Forecast'!J101/30%*100))</f>
        <v/>
      </c>
      <c r="K22" s="394" t="n"/>
      <c r="L22" s="394" t="n"/>
      <c r="M22" s="394" t="n"/>
      <c r="N22" s="394" t="n"/>
    </row>
    <row r="23">
      <c r="A23" s="670" t="inlineStr">
        <is>
          <t>Steel Prices</t>
        </is>
      </c>
      <c r="B23" s="540" t="n">
        <v>0.1</v>
      </c>
      <c r="C23" s="1118">
        <f>MIN(100,MAX(0,('Steel Price Forecast'!C103-50000)/25000*100))</f>
        <v/>
      </c>
      <c r="D23" s="1118">
        <f>MIN(100,MAX(0,('Steel Price Forecast'!D103-50000)/25000*100))</f>
        <v/>
      </c>
      <c r="E23" s="1118">
        <f>MIN(100,MAX(0,('Steel Price Forecast'!E103-50000)/25000*100))</f>
        <v/>
      </c>
      <c r="F23" s="1118">
        <f>MIN(100,MAX(0,('Steel Price Forecast'!F103-50000)/25000*100))</f>
        <v/>
      </c>
      <c r="G23" s="1118">
        <f>MIN(100,MAX(0,('Steel Price Forecast'!G103-50000)/25000*100))</f>
        <v/>
      </c>
      <c r="H23" s="1118">
        <f>MIN(100,MAX(0,('Steel Price Forecast'!H103-50000)/25000*100))</f>
        <v/>
      </c>
      <c r="I23" s="1118">
        <f>MIN(100,MAX(0,('Steel Price Forecast'!I103-50000)/25000*100))</f>
        <v/>
      </c>
      <c r="J23" s="1118">
        <f>MIN(100,MAX(0,('Steel Price Forecast'!J103-50000)/25000*100))</f>
        <v/>
      </c>
      <c r="K23" s="394" t="n"/>
      <c r="L23" s="394" t="n"/>
      <c r="M23" s="394" t="n"/>
      <c r="N23" s="394" t="n"/>
    </row>
    <row r="24">
      <c r="A24" s="670" t="inlineStr">
        <is>
          <t>EBITDA Margin</t>
        </is>
      </c>
      <c r="B24" s="540" t="n">
        <v>0.1</v>
      </c>
      <c r="C24" s="1118">
        <f>MIN(100,MAX(0,('Margin Analysis'!C91+10%)/36%*100))</f>
        <v/>
      </c>
      <c r="D24" s="1118">
        <f>MIN(100,MAX(0,('Margin Analysis'!D91+10%)/36%*100))</f>
        <v/>
      </c>
      <c r="E24" s="1118">
        <f>MIN(100,MAX(0,('Margin Analysis'!E91+10%)/36%*100))</f>
        <v/>
      </c>
      <c r="F24" s="1118">
        <f>MIN(100,MAX(0,('Margin Analysis'!F91+10%)/36%*100))</f>
        <v/>
      </c>
      <c r="G24" s="1118">
        <f>MIN(100,MAX(0,('Margin Analysis'!G91+10%)/36%*100))</f>
        <v/>
      </c>
      <c r="H24" s="1118">
        <f>MIN(100,MAX(0,('Margin Analysis'!H91+10%)/36%*100))</f>
        <v/>
      </c>
      <c r="I24" s="1118">
        <f>MIN(100,MAX(0,('Margin Analysis'!I91+10%)/36%*100))</f>
        <v/>
      </c>
      <c r="J24" s="1118">
        <f>MIN(100,MAX(0,('Margin Analysis'!J91+10%)/36%*100))</f>
        <v/>
      </c>
      <c r="K24" s="394" t="n"/>
      <c r="L24" s="394" t="n"/>
      <c r="M24" s="394" t="n"/>
      <c r="N24" s="394" t="n"/>
    </row>
    <row r="25">
      <c r="A25" s="670" t="inlineStr">
        <is>
          <t>Capex Activity</t>
        </is>
      </c>
      <c r="B25" s="540" t="n">
        <v>0.05</v>
      </c>
      <c r="C25" s="1118">
        <f>MIN(100,MAX(0,'Capacity Forecast'!C100/25*100))</f>
        <v/>
      </c>
      <c r="D25" s="1118">
        <f>MIN(100,MAX(0,'Capacity Forecast'!D100/25*100))</f>
        <v/>
      </c>
      <c r="E25" s="1118">
        <f>MIN(100,MAX(0,'Capacity Forecast'!E100/25*100))</f>
        <v/>
      </c>
      <c r="F25" s="1118">
        <f>MIN(100,MAX(0,'Capacity Forecast'!F100/25*100))</f>
        <v/>
      </c>
      <c r="G25" s="1118">
        <f>MIN(100,MAX(0,'Capacity Forecast'!G100/25*100))</f>
        <v/>
      </c>
      <c r="H25" s="1118">
        <f>MIN(100,MAX(0,'Capacity Forecast'!H100/25*100))</f>
        <v/>
      </c>
      <c r="I25" s="1118">
        <f>MIN(100,MAX(0,'Capacity Forecast'!I100/25*100))</f>
        <v/>
      </c>
      <c r="J25" s="1118">
        <f>MIN(100,MAX(0,'Capacity Forecast'!J100/25*100))</f>
        <v/>
      </c>
      <c r="K25" s="394" t="n"/>
      <c r="L25" s="394" t="n"/>
      <c r="M25" s="394" t="n"/>
      <c r="N25" s="394" t="n"/>
    </row>
    <row r="26">
      <c r="A26" s="670" t="inlineStr">
        <is>
          <t>Inventory Trend</t>
        </is>
      </c>
      <c r="B26" s="540" t="n">
        <v>0.05</v>
      </c>
      <c r="C26" s="1118">
        <f>MIN(100,MAX(0,50-'Steel Supply Model'!C91/'Steel Demand Model'!C116*1000))</f>
        <v/>
      </c>
      <c r="D26" s="1118">
        <f>MIN(100,MAX(0,50-'Steel Supply Model'!D91/'Steel Demand Model'!D116*1000))</f>
        <v/>
      </c>
      <c r="E26" s="1118">
        <f>MIN(100,MAX(0,50-'Steel Supply Model'!E91/'Steel Demand Model'!E116*1000))</f>
        <v/>
      </c>
      <c r="F26" s="1118">
        <f>MIN(100,MAX(0,50-'Steel Supply Model'!F91/'Steel Demand Model'!F116*1000))</f>
        <v/>
      </c>
      <c r="G26" s="1118">
        <f>MIN(100,MAX(0,50-'Steel Supply Model'!G91/'Steel Demand Model'!G116*1000))</f>
        <v/>
      </c>
      <c r="H26" s="1118">
        <f>MIN(100,MAX(0,50-'Steel Supply Model'!H91/'Steel Demand Model'!H116*1000))</f>
        <v/>
      </c>
      <c r="I26" s="1118">
        <f>MIN(100,MAX(0,50-'Steel Supply Model'!I91/'Steel Demand Model'!I116*1000))</f>
        <v/>
      </c>
      <c r="J26" s="1118">
        <f>MIN(100,MAX(0,50-'Steel Supply Model'!J91/'Steel Demand Model'!J116*1000))</f>
        <v/>
      </c>
      <c r="K26" s="394" t="n"/>
      <c r="L26" s="394" t="n"/>
      <c r="M26" s="394" t="n"/>
      <c r="N26" s="394" t="n"/>
    </row>
    <row r="27">
      <c r="A27" s="489" t="inlineStr">
        <is>
          <t>Cycle Score</t>
        </is>
      </c>
      <c r="B27" s="573" t="n">
        <v>1</v>
      </c>
      <c r="C27" s="488">
        <f>SUMPRODUCT($B$19:$B$26,C19:C26)</f>
        <v/>
      </c>
      <c r="D27" s="488">
        <f>SUMPRODUCT($B$19:$B$26,D19:D26)</f>
        <v/>
      </c>
      <c r="E27" s="488">
        <f>SUMPRODUCT($B$19:$B$26,E19:E26)</f>
        <v/>
      </c>
      <c r="F27" s="488">
        <f>SUMPRODUCT($B$19:$B$26,F19:F26)</f>
        <v/>
      </c>
      <c r="G27" s="488">
        <f>SUMPRODUCT($B$19:$B$26,G19:G26)</f>
        <v/>
      </c>
      <c r="H27" s="488">
        <f>SUMPRODUCT($B$19:$B$26,H19:H26)</f>
        <v/>
      </c>
      <c r="I27" s="488">
        <f>SUMPRODUCT($B$19:$B$26,I19:I26)</f>
        <v/>
      </c>
      <c r="J27" s="488">
        <f>SUMPRODUCT($B$19:$B$26,J19:J26)</f>
        <v/>
      </c>
      <c r="K27" s="394" t="n"/>
      <c r="L27" s="394" t="n"/>
      <c r="M27" s="394" t="n"/>
      <c r="N27" s="394" t="n"/>
    </row>
    <row r="28">
      <c r="A28" s="394" t="n"/>
      <c r="B28" s="394" t="n"/>
      <c r="C28" s="394" t="n"/>
      <c r="D28" s="394" t="n"/>
      <c r="E28" s="394" t="n"/>
      <c r="F28" s="394" t="n"/>
      <c r="G28" s="394" t="n"/>
      <c r="H28" s="394" t="n"/>
      <c r="I28" s="394" t="n"/>
      <c r="J28" s="394" t="n"/>
      <c r="K28" s="394" t="n"/>
      <c r="L28" s="394" t="n"/>
      <c r="M28" s="394" t="n"/>
      <c r="N28" s="394" t="n"/>
    </row>
    <row r="29">
      <c r="A29" s="394" t="n"/>
      <c r="B29" s="394" t="n"/>
      <c r="C29" s="394" t="n"/>
      <c r="D29" s="394" t="n"/>
      <c r="E29" s="394" t="n"/>
      <c r="F29" s="394" t="n"/>
      <c r="G29" s="394" t="n"/>
      <c r="H29" s="394" t="n"/>
      <c r="I29" s="394" t="n"/>
      <c r="J29" s="394" t="n"/>
      <c r="K29" s="394" t="n"/>
      <c r="L29" s="394" t="n"/>
      <c r="M29" s="394" t="n"/>
      <c r="N29" s="394" t="n"/>
    </row>
    <row r="30" ht="15.6" customHeight="1" s="632">
      <c r="A30" s="612" t="inlineStr">
        <is>
          <t>Cycle Classification</t>
        </is>
      </c>
      <c r="J30" s="394" t="n"/>
      <c r="K30" s="394" t="n"/>
      <c r="L30" s="394" t="n"/>
      <c r="M30" s="394" t="n"/>
      <c r="N30" s="394" t="n"/>
    </row>
    <row r="31">
      <c r="A31" s="539" t="inlineStr">
        <is>
          <t>Score</t>
        </is>
      </c>
      <c r="B31" s="539" t="inlineStr">
        <is>
          <t>Phase</t>
        </is>
      </c>
      <c r="C31" s="394" t="n"/>
      <c r="D31" s="394" t="n"/>
      <c r="E31" s="394" t="n"/>
      <c r="F31" s="394" t="n"/>
      <c r="G31" s="394" t="n"/>
      <c r="H31" s="394" t="n"/>
      <c r="I31" s="394" t="n"/>
      <c r="J31" s="394" t="n"/>
      <c r="K31" s="394" t="n"/>
      <c r="L31" s="394" t="n"/>
      <c r="M31" s="394" t="n"/>
      <c r="N31" s="394" t="n"/>
    </row>
    <row r="32" ht="28.8" customHeight="1" s="632">
      <c r="A32" s="670" t="inlineStr">
        <is>
          <t>0–20</t>
        </is>
      </c>
      <c r="B32" s="670" t="inlineStr">
        <is>
          <t>Deep Downturn</t>
        </is>
      </c>
      <c r="C32" s="394" t="n"/>
      <c r="D32" s="394" t="n"/>
      <c r="E32" s="394" t="n"/>
      <c r="F32" s="394" t="n"/>
      <c r="G32" s="394" t="n"/>
      <c r="H32" s="394" t="n"/>
      <c r="I32" s="394" t="n"/>
      <c r="J32" s="394" t="n"/>
      <c r="K32" s="394" t="n"/>
      <c r="L32" s="394" t="n"/>
      <c r="M32" s="394" t="n"/>
      <c r="N32" s="394" t="n"/>
    </row>
    <row r="33">
      <c r="A33" s="670" t="inlineStr">
        <is>
          <t>20–40</t>
        </is>
      </c>
      <c r="B33" s="670" t="inlineStr">
        <is>
          <t>Recovery</t>
        </is>
      </c>
      <c r="C33" s="394" t="n"/>
      <c r="D33" s="394" t="n"/>
      <c r="E33" s="394" t="n"/>
      <c r="F33" s="394" t="n"/>
      <c r="G33" s="394" t="n"/>
      <c r="H33" s="394" t="n"/>
      <c r="I33" s="394" t="n"/>
      <c r="J33" s="394" t="n"/>
      <c r="K33" s="394" t="n"/>
      <c r="L33" s="394" t="n"/>
      <c r="M33" s="394" t="n"/>
      <c r="N33" s="394" t="n"/>
    </row>
    <row r="34">
      <c r="A34" s="670" t="inlineStr">
        <is>
          <t>40–60</t>
        </is>
      </c>
      <c r="B34" s="670" t="inlineStr">
        <is>
          <t>Expansion</t>
        </is>
      </c>
      <c r="C34" s="394" t="n"/>
      <c r="D34" s="394" t="n"/>
      <c r="E34" s="394" t="n"/>
      <c r="F34" s="394" t="n"/>
      <c r="G34" s="394" t="n"/>
      <c r="H34" s="394" t="n"/>
      <c r="I34" s="394" t="n"/>
      <c r="J34" s="394" t="n"/>
      <c r="K34" s="394" t="n"/>
      <c r="L34" s="394" t="n"/>
      <c r="M34" s="394" t="n"/>
      <c r="N34" s="394" t="n"/>
    </row>
    <row r="35">
      <c r="A35" s="670" t="inlineStr">
        <is>
          <t>60–80</t>
        </is>
      </c>
      <c r="B35" s="670" t="inlineStr">
        <is>
          <t>Peak</t>
        </is>
      </c>
      <c r="C35" s="394" t="n"/>
      <c r="D35" s="394" t="n"/>
      <c r="E35" s="394" t="n"/>
      <c r="F35" s="394" t="n"/>
      <c r="G35" s="394" t="n"/>
      <c r="H35" s="394" t="n"/>
      <c r="I35" s="394" t="n"/>
      <c r="J35" s="394" t="n"/>
      <c r="K35" s="394" t="n"/>
      <c r="L35" s="394" t="n"/>
      <c r="M35" s="394" t="n"/>
      <c r="N35" s="394" t="n"/>
    </row>
    <row r="36">
      <c r="A36" s="670" t="inlineStr">
        <is>
          <t>80–100</t>
        </is>
      </c>
      <c r="B36" s="670" t="inlineStr">
        <is>
          <t>Overheating</t>
        </is>
      </c>
      <c r="C36" s="394" t="n"/>
      <c r="D36" s="394" t="n"/>
      <c r="E36" s="394" t="n"/>
      <c r="F36" s="394" t="n"/>
      <c r="G36" s="394" t="n"/>
      <c r="H36" s="394" t="n"/>
      <c r="I36" s="394" t="n"/>
      <c r="J36" s="394" t="n"/>
      <c r="K36" s="394" t="n"/>
      <c r="L36" s="394" t="n"/>
      <c r="M36" s="394" t="n"/>
      <c r="N36" s="394" t="n"/>
    </row>
    <row r="37">
      <c r="A37" s="394" t="n"/>
      <c r="B37" s="394" t="n"/>
      <c r="C37" s="394" t="n"/>
      <c r="D37" s="394" t="n"/>
      <c r="E37" s="394" t="n"/>
      <c r="F37" s="394" t="n"/>
      <c r="G37" s="394" t="n"/>
      <c r="H37" s="394" t="n"/>
      <c r="I37" s="394" t="n"/>
      <c r="J37" s="394" t="n"/>
      <c r="K37" s="394" t="n"/>
      <c r="L37" s="394" t="n"/>
      <c r="M37" s="394" t="n"/>
      <c r="N37" s="394" t="n"/>
    </row>
    <row r="38">
      <c r="A38" s="394" t="n"/>
      <c r="B38" s="394" t="n"/>
      <c r="C38" s="394" t="n"/>
      <c r="D38" s="394" t="n"/>
      <c r="E38" s="394" t="n"/>
      <c r="F38" s="394" t="n"/>
      <c r="G38" s="394" t="n"/>
      <c r="H38" s="394" t="n"/>
      <c r="I38" s="394" t="n"/>
      <c r="J38" s="394" t="n"/>
      <c r="K38" s="394" t="n"/>
      <c r="L38" s="394" t="n"/>
      <c r="M38" s="394" t="n"/>
      <c r="N38" s="394" t="n"/>
    </row>
    <row r="39" ht="15.6" customHeight="1" s="632">
      <c r="A39" s="612" t="inlineStr">
        <is>
          <t>Leading Indicators</t>
        </is>
      </c>
      <c r="J39" s="394" t="n"/>
      <c r="K39" s="394" t="n"/>
      <c r="L39" s="394" t="n"/>
      <c r="M39" s="394" t="n"/>
      <c r="N39" s="394" t="n"/>
    </row>
    <row r="40">
      <c r="A40" s="539" t="inlineStr">
        <is>
          <t>Indicator</t>
        </is>
      </c>
      <c r="B40" s="539" t="inlineStr">
        <is>
          <t>FY26A</t>
        </is>
      </c>
      <c r="C40" s="539" t="inlineStr">
        <is>
          <t>FY27E</t>
        </is>
      </c>
      <c r="D40" s="539" t="inlineStr">
        <is>
          <t>FY28E</t>
        </is>
      </c>
      <c r="E40" s="539" t="inlineStr">
        <is>
          <t>FY29E</t>
        </is>
      </c>
      <c r="F40" s="539" t="inlineStr">
        <is>
          <t>FY30E</t>
        </is>
      </c>
      <c r="G40" s="539" t="inlineStr">
        <is>
          <t>FY31E</t>
        </is>
      </c>
      <c r="H40" s="539" t="inlineStr">
        <is>
          <t>FY32E</t>
        </is>
      </c>
      <c r="I40" s="539" t="inlineStr">
        <is>
          <t>FY33E</t>
        </is>
      </c>
      <c r="J40" s="394" t="n"/>
      <c r="K40" s="707" t="inlineStr">
        <is>
          <t>Ref</t>
        </is>
      </c>
      <c r="L40" s="394" t="n"/>
      <c r="M40" s="394" t="n"/>
      <c r="N40" s="394" t="n"/>
    </row>
    <row r="41">
      <c r="A41" s="670" t="inlineStr">
        <is>
          <t>GDP Growth</t>
        </is>
      </c>
      <c r="B41" s="875">
        <f>'Macroeconomic Model'!$C$101</f>
        <v/>
      </c>
      <c r="C41" s="875">
        <f>'Macroeconomic Model'!$D$101</f>
        <v/>
      </c>
      <c r="D41" s="875">
        <f>'Macroeconomic Model'!$E$101</f>
        <v/>
      </c>
      <c r="E41" s="875">
        <f>'Macroeconomic Model'!$F$101</f>
        <v/>
      </c>
      <c r="F41" s="875">
        <f>'Macroeconomic Model'!$G$101</f>
        <v/>
      </c>
      <c r="G41" s="875">
        <f>'Macroeconomic Model'!$H$101</f>
        <v/>
      </c>
      <c r="H41" s="875">
        <f>'Macroeconomic Model'!$I$101</f>
        <v/>
      </c>
      <c r="I41" s="875">
        <f>'Macroeconomic Model'!$J$101</f>
        <v/>
      </c>
      <c r="J41" s="394" t="n"/>
      <c r="K41" s="394" t="n"/>
      <c r="L41" s="394" t="n"/>
      <c r="M41" s="394" t="n"/>
      <c r="N41" s="394" t="n"/>
    </row>
    <row r="42">
      <c r="A42" s="670" t="inlineStr">
        <is>
          <t>PMI</t>
        </is>
      </c>
      <c r="B42" s="875">
        <f>'Macroeconomic Model'!B14</f>
        <v/>
      </c>
      <c r="C42" s="875">
        <f>'Macroeconomic Model'!C14</f>
        <v/>
      </c>
      <c r="D42" s="875">
        <f>'Macroeconomic Model'!D14</f>
        <v/>
      </c>
      <c r="E42" s="875">
        <f>'Macroeconomic Model'!E14</f>
        <v/>
      </c>
      <c r="F42" s="875">
        <f>'Macroeconomic Model'!F14</f>
        <v/>
      </c>
      <c r="G42" s="875">
        <f>'Macroeconomic Model'!G14</f>
        <v/>
      </c>
      <c r="H42" s="875">
        <f>'Macroeconomic Model'!H14</f>
        <v/>
      </c>
      <c r="I42" s="875">
        <f>'Macroeconomic Model'!I14</f>
        <v/>
      </c>
      <c r="J42" s="394" t="n"/>
      <c r="K42" s="708" t="inlineStr">
        <is>
          <t>IC02</t>
        </is>
      </c>
      <c r="L42" s="394" t="n"/>
      <c r="M42" s="394" t="n"/>
      <c r="N42" s="394" t="n"/>
    </row>
    <row r="43">
      <c r="A43" s="670" t="inlineStr">
        <is>
          <t>Infrastructure Spending</t>
        </is>
      </c>
      <c r="B43" s="875">
        <f>'Macroeconomic Model'!B15</f>
        <v/>
      </c>
      <c r="C43" s="875">
        <f>'Macroeconomic Model'!C15</f>
        <v/>
      </c>
      <c r="D43" s="875">
        <f>'Macroeconomic Model'!D15</f>
        <v/>
      </c>
      <c r="E43" s="875">
        <f>'Macroeconomic Model'!E15</f>
        <v/>
      </c>
      <c r="F43" s="875">
        <f>'Macroeconomic Model'!F15</f>
        <v/>
      </c>
      <c r="G43" s="875">
        <f>'Macroeconomic Model'!G15</f>
        <v/>
      </c>
      <c r="H43" s="875">
        <f>'Macroeconomic Model'!H15</f>
        <v/>
      </c>
      <c r="I43" s="875">
        <f>'Macroeconomic Model'!I15</f>
        <v/>
      </c>
      <c r="J43" s="394" t="n"/>
      <c r="K43" s="708" t="inlineStr">
        <is>
          <t>IC02</t>
        </is>
      </c>
      <c r="L43" s="394" t="n"/>
      <c r="M43" s="394" t="n"/>
      <c r="N43" s="394" t="n"/>
    </row>
    <row r="44">
      <c r="A44" s="670" t="inlineStr">
        <is>
          <t>Auto Production</t>
        </is>
      </c>
      <c r="B44" s="875">
        <f>'Macroeconomic Model'!B16</f>
        <v/>
      </c>
      <c r="C44" s="875">
        <f>'Macroeconomic Model'!C16</f>
        <v/>
      </c>
      <c r="D44" s="875">
        <f>'Macroeconomic Model'!D16</f>
        <v/>
      </c>
      <c r="E44" s="875">
        <f>'Macroeconomic Model'!E16</f>
        <v/>
      </c>
      <c r="F44" s="875">
        <f>'Macroeconomic Model'!F16</f>
        <v/>
      </c>
      <c r="G44" s="875">
        <f>'Macroeconomic Model'!G16</f>
        <v/>
      </c>
      <c r="H44" s="875">
        <f>'Macroeconomic Model'!H16</f>
        <v/>
      </c>
      <c r="I44" s="875">
        <f>'Macroeconomic Model'!I16</f>
        <v/>
      </c>
      <c r="J44" s="394" t="n"/>
      <c r="K44" s="708" t="inlineStr">
        <is>
          <t>IC02</t>
        </is>
      </c>
      <c r="L44" s="394" t="n"/>
      <c r="M44" s="394" t="n"/>
      <c r="N44" s="394" t="n"/>
    </row>
    <row r="45">
      <c r="A45" s="670" t="inlineStr">
        <is>
          <t>Manufacturing Growth</t>
        </is>
      </c>
      <c r="B45" s="875">
        <f>'Macroeconomic Model'!B17</f>
        <v/>
      </c>
      <c r="C45" s="875">
        <f>'Macroeconomic Model'!C17</f>
        <v/>
      </c>
      <c r="D45" s="875">
        <f>'Macroeconomic Model'!D17</f>
        <v/>
      </c>
      <c r="E45" s="875">
        <f>'Macroeconomic Model'!E17</f>
        <v/>
      </c>
      <c r="F45" s="875">
        <f>'Macroeconomic Model'!F17</f>
        <v/>
      </c>
      <c r="G45" s="875">
        <f>'Macroeconomic Model'!G17</f>
        <v/>
      </c>
      <c r="H45" s="875">
        <f>'Macroeconomic Model'!H17</f>
        <v/>
      </c>
      <c r="I45" s="875">
        <f>'Macroeconomic Model'!I17</f>
        <v/>
      </c>
      <c r="J45" s="394" t="n"/>
      <c r="K45" s="708" t="inlineStr">
        <is>
          <t>IC02</t>
        </is>
      </c>
      <c r="L45" s="394" t="n"/>
      <c r="M45" s="394" t="n"/>
      <c r="N45" s="394" t="n"/>
    </row>
    <row r="46">
      <c r="A46" s="670" t="inlineStr">
        <is>
          <t>Housing Demand</t>
        </is>
      </c>
      <c r="B46" s="875">
        <f>'Macroeconomic Model'!B18</f>
        <v/>
      </c>
      <c r="C46" s="875">
        <f>'Macroeconomic Model'!C18</f>
        <v/>
      </c>
      <c r="D46" s="875">
        <f>'Macroeconomic Model'!D18</f>
        <v/>
      </c>
      <c r="E46" s="875">
        <f>'Macroeconomic Model'!E18</f>
        <v/>
      </c>
      <c r="F46" s="875">
        <f>'Macroeconomic Model'!F18</f>
        <v/>
      </c>
      <c r="G46" s="875">
        <f>'Macroeconomic Model'!G18</f>
        <v/>
      </c>
      <c r="H46" s="875">
        <f>'Macroeconomic Model'!H18</f>
        <v/>
      </c>
      <c r="I46" s="875">
        <f>'Macroeconomic Model'!I18</f>
        <v/>
      </c>
      <c r="J46" s="394" t="n"/>
      <c r="K46" s="708" t="inlineStr">
        <is>
          <t>IC02</t>
        </is>
      </c>
      <c r="L46" s="394" t="n"/>
      <c r="M46" s="394" t="n"/>
      <c r="N46" s="394" t="n"/>
    </row>
    <row r="47">
      <c r="A47" s="670" t="inlineStr">
        <is>
          <t>Government Capex</t>
        </is>
      </c>
      <c r="B47" s="875">
        <f>'Macroeconomic Model'!B20</f>
        <v/>
      </c>
      <c r="C47" s="875">
        <f>'Macroeconomic Model'!C20</f>
        <v/>
      </c>
      <c r="D47" s="875">
        <f>'Macroeconomic Model'!D20</f>
        <v/>
      </c>
      <c r="E47" s="875">
        <f>'Macroeconomic Model'!E20</f>
        <v/>
      </c>
      <c r="F47" s="875">
        <f>'Macroeconomic Model'!F20</f>
        <v/>
      </c>
      <c r="G47" s="875">
        <f>'Macroeconomic Model'!G20</f>
        <v/>
      </c>
      <c r="H47" s="875">
        <f>'Macroeconomic Model'!H20</f>
        <v/>
      </c>
      <c r="I47" s="875">
        <f>'Macroeconomic Model'!I20</f>
        <v/>
      </c>
      <c r="J47" s="394" t="n"/>
      <c r="K47" s="708" t="inlineStr">
        <is>
          <t>IC02</t>
        </is>
      </c>
      <c r="L47" s="394" t="n"/>
      <c r="M47" s="394" t="n"/>
      <c r="N47" s="394" t="n"/>
    </row>
    <row r="48">
      <c r="A48" s="394" t="n"/>
      <c r="B48" s="394" t="n"/>
      <c r="C48" s="394" t="n"/>
      <c r="D48" s="394" t="n"/>
      <c r="E48" s="394" t="n"/>
      <c r="F48" s="394" t="n"/>
      <c r="G48" s="394" t="n"/>
      <c r="H48" s="394" t="n"/>
      <c r="I48" s="394" t="n"/>
      <c r="J48" s="394" t="n"/>
      <c r="K48" s="394" t="n"/>
      <c r="L48" s="394" t="n"/>
      <c r="M48" s="394" t="n"/>
      <c r="N48" s="394" t="n"/>
    </row>
    <row r="49">
      <c r="A49" s="394" t="n"/>
      <c r="B49" s="394" t="n"/>
      <c r="C49" s="394" t="n"/>
      <c r="D49" s="394" t="n"/>
      <c r="E49" s="394" t="n"/>
      <c r="F49" s="394" t="n"/>
      <c r="G49" s="394" t="n"/>
      <c r="H49" s="394" t="n"/>
      <c r="I49" s="394" t="n"/>
      <c r="J49" s="394" t="n"/>
      <c r="K49" s="394" t="n"/>
      <c r="L49" s="394" t="n"/>
      <c r="M49" s="394" t="n"/>
      <c r="N49" s="394" t="n"/>
    </row>
    <row r="50" ht="15.6" customHeight="1" s="632">
      <c r="A50" s="612" t="inlineStr">
        <is>
          <t>Coincident Indicators</t>
        </is>
      </c>
      <c r="J50" s="394" t="n"/>
      <c r="K50" s="394" t="n"/>
      <c r="L50" s="394" t="n"/>
      <c r="M50" s="394" t="n"/>
      <c r="N50" s="394" t="n"/>
    </row>
    <row r="51">
      <c r="A51" s="539" t="inlineStr">
        <is>
          <t>Indicator</t>
        </is>
      </c>
      <c r="B51" s="539" t="inlineStr">
        <is>
          <t>FY26A</t>
        </is>
      </c>
      <c r="C51" s="539" t="inlineStr">
        <is>
          <t>FY27E</t>
        </is>
      </c>
      <c r="D51" s="539" t="inlineStr">
        <is>
          <t>FY28E</t>
        </is>
      </c>
      <c r="E51" s="539" t="inlineStr">
        <is>
          <t>FY29E</t>
        </is>
      </c>
      <c r="F51" s="539" t="inlineStr">
        <is>
          <t>FY30E</t>
        </is>
      </c>
      <c r="G51" s="539" t="inlineStr">
        <is>
          <t>FY31E</t>
        </is>
      </c>
      <c r="H51" s="539" t="inlineStr">
        <is>
          <t>FY32E</t>
        </is>
      </c>
      <c r="I51" s="539" t="inlineStr">
        <is>
          <t>FY33E</t>
        </is>
      </c>
      <c r="J51" s="394" t="n"/>
      <c r="K51" s="394" t="n"/>
      <c r="L51" s="394" t="n"/>
      <c r="M51" s="394" t="n"/>
      <c r="N51" s="394" t="n"/>
    </row>
    <row r="52">
      <c r="A52" s="670" t="inlineStr">
        <is>
          <t>Steel Production</t>
        </is>
      </c>
      <c r="B52" s="1119">
        <f>'Steel Supply Model'!$C$101</f>
        <v/>
      </c>
      <c r="C52" s="1119">
        <f>'Steel Supply Model'!$D$101</f>
        <v/>
      </c>
      <c r="D52" s="1119">
        <f>'Steel Supply Model'!$E$101</f>
        <v/>
      </c>
      <c r="E52" s="1119">
        <f>'Steel Supply Model'!$F$101</f>
        <v/>
      </c>
      <c r="F52" s="1119">
        <f>'Steel Supply Model'!$G$101</f>
        <v/>
      </c>
      <c r="G52" s="1119">
        <f>'Steel Supply Model'!$H$101</f>
        <v/>
      </c>
      <c r="H52" s="1119">
        <f>'Steel Supply Model'!$I$101</f>
        <v/>
      </c>
      <c r="I52" s="1119">
        <f>'Steel Supply Model'!$J$101</f>
        <v/>
      </c>
      <c r="J52" s="394" t="n"/>
      <c r="K52" s="394" t="n"/>
      <c r="L52" s="394" t="n"/>
      <c r="M52" s="394" t="n"/>
      <c r="N52" s="394" t="n"/>
    </row>
    <row r="53">
      <c r="A53" s="670" t="inlineStr">
        <is>
          <t>Steel Demand</t>
        </is>
      </c>
      <c r="B53" s="1119">
        <f>'Steel Demand Model'!$C$116</f>
        <v/>
      </c>
      <c r="C53" s="1119">
        <f>'Steel Demand Model'!$D$116</f>
        <v/>
      </c>
      <c r="D53" s="1119">
        <f>'Steel Demand Model'!$E$116</f>
        <v/>
      </c>
      <c r="E53" s="1119">
        <f>'Steel Demand Model'!$F$116</f>
        <v/>
      </c>
      <c r="F53" s="1119">
        <f>'Steel Demand Model'!$G$116</f>
        <v/>
      </c>
      <c r="G53" s="1119">
        <f>'Steel Demand Model'!$H$116</f>
        <v/>
      </c>
      <c r="H53" s="1119">
        <f>'Steel Demand Model'!$I$116</f>
        <v/>
      </c>
      <c r="I53" s="1119">
        <f>'Steel Demand Model'!$J$116</f>
        <v/>
      </c>
      <c r="J53" s="394" t="n"/>
      <c r="K53" s="394" t="n"/>
      <c r="L53" s="394" t="n"/>
      <c r="M53" s="394" t="n"/>
      <c r="N53" s="394" t="n"/>
    </row>
    <row r="54">
      <c r="A54" s="670" t="inlineStr">
        <is>
          <t>Capacity Utilisation</t>
        </is>
      </c>
      <c r="B54" s="1091">
        <f>'Capacity Utilisation'!$C$67</f>
        <v/>
      </c>
      <c r="C54" s="1091">
        <f>'Capacity Utilisation'!$D$67</f>
        <v/>
      </c>
      <c r="D54" s="1091">
        <f>'Capacity Utilisation'!$E$67</f>
        <v/>
      </c>
      <c r="E54" s="1091">
        <f>'Capacity Utilisation'!$F$67</f>
        <v/>
      </c>
      <c r="F54" s="1091">
        <f>'Capacity Utilisation'!$G$67</f>
        <v/>
      </c>
      <c r="G54" s="1091">
        <f>'Capacity Utilisation'!$H$67</f>
        <v/>
      </c>
      <c r="H54" s="1091">
        <f>'Capacity Utilisation'!$I$67</f>
        <v/>
      </c>
      <c r="I54" s="1091">
        <f>'Capacity Utilisation'!$J$67</f>
        <v/>
      </c>
      <c r="J54" s="394" t="n"/>
      <c r="K54" s="394" t="n"/>
      <c r="L54" s="394" t="n"/>
      <c r="M54" s="394" t="n"/>
      <c r="N54" s="394" t="n"/>
    </row>
    <row r="55">
      <c r="A55" s="670" t="inlineStr">
        <is>
          <t>Steel Prices</t>
        </is>
      </c>
      <c r="B55" s="1058">
        <f>'Steel Price Forecast'!$C$103</f>
        <v/>
      </c>
      <c r="C55" s="1058">
        <f>'Steel Price Forecast'!$D$103</f>
        <v/>
      </c>
      <c r="D55" s="1058">
        <f>'Steel Price Forecast'!$E$103</f>
        <v/>
      </c>
      <c r="E55" s="1058">
        <f>'Steel Price Forecast'!$F$103</f>
        <v/>
      </c>
      <c r="F55" s="1058">
        <f>'Steel Price Forecast'!$G$103</f>
        <v/>
      </c>
      <c r="G55" s="1058">
        <f>'Steel Price Forecast'!$H$103</f>
        <v/>
      </c>
      <c r="H55" s="1058">
        <f>'Steel Price Forecast'!$I$103</f>
        <v/>
      </c>
      <c r="I55" s="1058">
        <f>'Steel Price Forecast'!$J$103</f>
        <v/>
      </c>
      <c r="J55" s="394" t="n"/>
      <c r="K55" s="394" t="n"/>
      <c r="L55" s="394" t="n"/>
      <c r="M55" s="394" t="n"/>
      <c r="N55" s="394" t="n"/>
    </row>
    <row r="56">
      <c r="A56" s="670" t="inlineStr">
        <is>
          <t>EBITDA/t</t>
        </is>
      </c>
      <c r="B56" s="1099">
        <f>'EBITDA Model'!$C$101</f>
        <v/>
      </c>
      <c r="C56" s="1099">
        <f>'EBITDA Model'!$D$101</f>
        <v/>
      </c>
      <c r="D56" s="1099">
        <f>'EBITDA Model'!$E$101</f>
        <v/>
      </c>
      <c r="E56" s="1099">
        <f>'EBITDA Model'!$F$101</f>
        <v/>
      </c>
      <c r="F56" s="1099">
        <f>'EBITDA Model'!$G$101</f>
        <v/>
      </c>
      <c r="G56" s="1099">
        <f>'EBITDA Model'!$H$101</f>
        <v/>
      </c>
      <c r="H56" s="1099">
        <f>'EBITDA Model'!$I$101</f>
        <v/>
      </c>
      <c r="I56" s="1099">
        <f>'EBITDA Model'!$J$101</f>
        <v/>
      </c>
      <c r="J56" s="394" t="n"/>
      <c r="K56" s="394" t="n"/>
      <c r="L56" s="394" t="n"/>
      <c r="M56" s="394" t="n"/>
      <c r="N56" s="394" t="n"/>
    </row>
    <row r="57">
      <c r="A57" s="683" t="n"/>
      <c r="J57" s="394" t="n"/>
      <c r="K57" s="394" t="n"/>
      <c r="L57" s="394" t="n"/>
      <c r="M57" s="394" t="n"/>
      <c r="N57" s="394" t="n"/>
    </row>
    <row r="58">
      <c r="A58" s="683" t="n"/>
      <c r="J58" s="394" t="n"/>
      <c r="K58" s="394" t="n"/>
      <c r="L58" s="394" t="n"/>
      <c r="M58" s="394" t="n"/>
      <c r="N58" s="394" t="n"/>
    </row>
    <row r="59" ht="15.6" customHeight="1" s="632">
      <c r="A59" s="612" t="inlineStr">
        <is>
          <t>Lagging Indicators</t>
        </is>
      </c>
      <c r="J59" s="394" t="n"/>
      <c r="K59" s="394" t="n"/>
      <c r="L59" s="394" t="n"/>
      <c r="M59" s="394" t="n"/>
      <c r="N59" s="394" t="n"/>
    </row>
    <row r="60">
      <c r="A60" s="539" t="inlineStr">
        <is>
          <t>Indicator</t>
        </is>
      </c>
      <c r="B60" s="539" t="inlineStr">
        <is>
          <t>FY26A</t>
        </is>
      </c>
      <c r="C60" s="539" t="inlineStr">
        <is>
          <t>FY27E</t>
        </is>
      </c>
      <c r="D60" s="539" t="inlineStr">
        <is>
          <t>FY28E</t>
        </is>
      </c>
      <c r="E60" s="539" t="inlineStr">
        <is>
          <t>FY29E</t>
        </is>
      </c>
      <c r="F60" s="539" t="inlineStr">
        <is>
          <t>FY30E</t>
        </is>
      </c>
      <c r="G60" s="539" t="inlineStr">
        <is>
          <t>FY31E</t>
        </is>
      </c>
      <c r="H60" s="539" t="inlineStr">
        <is>
          <t>FY32E</t>
        </is>
      </c>
      <c r="I60" s="539" t="inlineStr">
        <is>
          <t>FY33E</t>
        </is>
      </c>
      <c r="J60" s="394" t="n"/>
      <c r="K60" s="707" t="inlineStr">
        <is>
          <t>Ref</t>
        </is>
      </c>
      <c r="L60" s="394" t="n"/>
      <c r="M60" s="394" t="n"/>
      <c r="N60" s="394" t="n"/>
    </row>
    <row r="61">
      <c r="A61" s="670" t="inlineStr">
        <is>
          <t>Capacity Additions</t>
        </is>
      </c>
      <c r="B61" s="1119">
        <f>'Capacity Forecast'!$C$100</f>
        <v/>
      </c>
      <c r="C61" s="1119">
        <f>'Capacity Forecast'!$D$100</f>
        <v/>
      </c>
      <c r="D61" s="1119">
        <f>'Capacity Forecast'!$E$100</f>
        <v/>
      </c>
      <c r="E61" s="1119">
        <f>'Capacity Forecast'!$F$100</f>
        <v/>
      </c>
      <c r="F61" s="1119">
        <f>'Capacity Forecast'!$G$100</f>
        <v/>
      </c>
      <c r="G61" s="1119">
        <f>'Capacity Forecast'!$H$100</f>
        <v/>
      </c>
      <c r="H61" s="1119">
        <f>'Capacity Forecast'!$I$100</f>
        <v/>
      </c>
      <c r="I61" s="1119">
        <f>'Capacity Forecast'!$J$100</f>
        <v/>
      </c>
      <c r="J61" s="394" t="n"/>
      <c r="K61" s="394" t="n"/>
      <c r="L61" s="394" t="n"/>
      <c r="M61" s="394" t="n"/>
      <c r="N61" s="394" t="n"/>
    </row>
    <row r="62">
      <c r="A62" s="670" t="inlineStr">
        <is>
          <t>Net Debt</t>
        </is>
      </c>
      <c r="B62" s="1098">
        <f>'Capital Allocation'!$C$80</f>
        <v/>
      </c>
      <c r="C62" s="1098">
        <f>'Capital Allocation'!$D$80</f>
        <v/>
      </c>
      <c r="D62" s="1098">
        <f>'Capital Allocation'!$E$80</f>
        <v/>
      </c>
      <c r="E62" s="1098">
        <f>'Capital Allocation'!$F$80</f>
        <v/>
      </c>
      <c r="F62" s="1098">
        <f>'Capital Allocation'!$G$80</f>
        <v/>
      </c>
      <c r="G62" s="1098">
        <f>'Capital Allocation'!$H$80</f>
        <v/>
      </c>
      <c r="H62" s="1098">
        <f>'Capital Allocation'!$I$80</f>
        <v/>
      </c>
      <c r="I62" s="1098">
        <f>'Capital Allocation'!$J$80</f>
        <v/>
      </c>
      <c r="J62" s="394" t="n"/>
      <c r="K62" s="394" t="n"/>
      <c r="L62" s="394" t="n"/>
      <c r="M62" s="394" t="n"/>
      <c r="N62" s="394" t="n"/>
    </row>
    <row r="63">
      <c r="A63" s="670" t="inlineStr">
        <is>
          <t>Dividend Payout</t>
        </is>
      </c>
      <c r="B63" s="1120" t="n">
        <v>0</v>
      </c>
      <c r="C63" s="1120" t="n">
        <v>0</v>
      </c>
      <c r="D63" s="1120" t="n">
        <v>0</v>
      </c>
      <c r="E63" s="1120" t="n">
        <v>0</v>
      </c>
      <c r="F63" s="1120" t="n">
        <v>0</v>
      </c>
      <c r="G63" s="1120" t="n">
        <v>0</v>
      </c>
      <c r="H63" s="1120" t="n">
        <v>0</v>
      </c>
      <c r="I63" s="1120" t="n">
        <v>0</v>
      </c>
      <c r="J63" s="394" t="n"/>
      <c r="K63" s="708" t="inlineStr">
        <is>
          <t>IC03</t>
        </is>
      </c>
      <c r="L63" s="394" t="n"/>
      <c r="M63" s="394" t="n"/>
      <c r="N63" s="394" t="n"/>
    </row>
    <row r="64">
      <c r="A64" s="670" t="inlineStr">
        <is>
          <t>Plant Expansions</t>
        </is>
      </c>
      <c r="B64" s="1103" t="n"/>
      <c r="C64" s="1119">
        <f>'Capacity Expansion Tracker'!E$99</f>
        <v/>
      </c>
      <c r="D64" s="1119">
        <f>'Capacity Expansion Tracker'!F$99</f>
        <v/>
      </c>
      <c r="E64" s="1119">
        <f>'Capacity Expansion Tracker'!G$99</f>
        <v/>
      </c>
      <c r="F64" s="1119">
        <f>'Capacity Expansion Tracker'!H$99</f>
        <v/>
      </c>
      <c r="G64" s="1119">
        <f>'Capacity Expansion Tracker'!I$99</f>
        <v/>
      </c>
      <c r="H64" s="1119">
        <f>'Capacity Expansion Tracker'!J$99</f>
        <v/>
      </c>
      <c r="I64" s="1119">
        <f>'Capacity Expansion Tracker'!K$99</f>
        <v/>
      </c>
      <c r="J64" s="394" t="n"/>
      <c r="K64" s="394" t="n"/>
      <c r="L64" s="394" t="n"/>
      <c r="M64" s="394" t="n"/>
      <c r="N64" s="394" t="n"/>
    </row>
    <row r="65">
      <c r="A65" s="670" t="inlineStr">
        <is>
          <t>Employment</t>
        </is>
      </c>
      <c r="B65" s="1099">
        <f>'ESG Model'!B51</f>
        <v/>
      </c>
      <c r="C65" s="1099">
        <f>'ESG Model'!C51</f>
        <v/>
      </c>
      <c r="D65" s="1099">
        <f>'ESG Model'!D51</f>
        <v/>
      </c>
      <c r="E65" s="1099">
        <f>'ESG Model'!E51</f>
        <v/>
      </c>
      <c r="F65" s="1099">
        <f>'ESG Model'!F51</f>
        <v/>
      </c>
      <c r="G65" s="1099">
        <f>'ESG Model'!G51</f>
        <v/>
      </c>
      <c r="H65" s="1099">
        <f>'ESG Model'!H51</f>
        <v/>
      </c>
      <c r="I65" s="1099">
        <f>'ESG Model'!I51</f>
        <v/>
      </c>
      <c r="J65" s="394" t="n"/>
      <c r="K65" s="708" t="inlineStr">
        <is>
          <t>IC03</t>
        </is>
      </c>
      <c r="L65" s="394" t="n"/>
      <c r="M65" s="394" t="n"/>
      <c r="N65" s="394" t="n"/>
    </row>
    <row r="66">
      <c r="A66" s="683" t="n"/>
      <c r="J66" s="394" t="n"/>
      <c r="K66" s="394" t="n"/>
      <c r="L66" s="394" t="n"/>
      <c r="M66" s="394" t="n"/>
      <c r="N66" s="394" t="n"/>
    </row>
    <row r="67">
      <c r="A67" s="683" t="n"/>
      <c r="J67" s="394" t="n"/>
      <c r="K67" s="394" t="n"/>
      <c r="L67" s="394" t="n"/>
      <c r="M67" s="394" t="n"/>
      <c r="N67" s="394" t="n"/>
    </row>
    <row r="68" ht="15.6" customHeight="1" s="632">
      <c r="A68" s="612" t="inlineStr">
        <is>
          <t>Scenario Analysis</t>
        </is>
      </c>
      <c r="J68" s="394" t="n"/>
      <c r="K68" s="394" t="n"/>
      <c r="L68" s="394" t="n"/>
      <c r="M68" s="394" t="n"/>
      <c r="N68" s="394" t="n"/>
    </row>
    <row r="69">
      <c r="A69" s="539" t="inlineStr">
        <is>
          <t>Year</t>
        </is>
      </c>
      <c r="B69" s="539" t="inlineStr">
        <is>
          <t>Base</t>
        </is>
      </c>
      <c r="C69" s="539" t="inlineStr">
        <is>
          <t>Bull</t>
        </is>
      </c>
      <c r="D69" s="539" t="inlineStr">
        <is>
          <t>Bear</t>
        </is>
      </c>
      <c r="E69" s="539" t="inlineStr">
        <is>
          <t>Stress</t>
        </is>
      </c>
      <c r="G69" s="707" t="inlineStr">
        <is>
          <t>Ref</t>
        </is>
      </c>
      <c r="J69" s="394" t="n"/>
      <c r="K69" s="394" t="n"/>
      <c r="L69" s="394" t="n"/>
      <c r="M69" s="394" t="n"/>
      <c r="N69" s="394" t="n"/>
    </row>
    <row r="70">
      <c r="A70" s="670" t="inlineStr">
        <is>
          <t>Cycle Score</t>
        </is>
      </c>
      <c r="B70" s="1121">
        <f>'Scenario Manager'!$J$167</f>
        <v/>
      </c>
      <c r="C70" s="1121">
        <f>'Scenario Manager'!$J$243</f>
        <v/>
      </c>
      <c r="D70" s="1121">
        <f>'Scenario Manager'!$J$319</f>
        <v/>
      </c>
      <c r="E70" s="1121">
        <f>'Scenario Manager'!$J$395</f>
        <v/>
      </c>
      <c r="G70" s="708" t="inlineStr">
        <is>
          <t>IC04</t>
        </is>
      </c>
      <c r="J70" s="394" t="n"/>
      <c r="K70" s="394" t="n"/>
      <c r="L70" s="394" t="n"/>
      <c r="M70" s="394" t="n"/>
      <c r="N70" s="394" t="n"/>
    </row>
    <row r="71">
      <c r="A71" s="670" t="inlineStr">
        <is>
          <t>Cycle Phase</t>
        </is>
      </c>
      <c r="B71" s="1122">
        <f>IF(B70&gt;=80,"Overheating",IF(B70&gt;=60,"Peak",IF(B70&gt;=40,"Expansion",IF(B70&gt;=20,"Recovery","Deep Downturn"))))</f>
        <v/>
      </c>
      <c r="C71" s="1122">
        <f>IF(C70&gt;=80,"Overheating",IF(C70&gt;=60,"Peak",IF(C70&gt;=40,"Expansion",IF(C70&gt;=20,"Recovery","Deep Downturn"))))</f>
        <v/>
      </c>
      <c r="D71" s="1122">
        <f>IF(D70&gt;=80,"Overheating",IF(D70&gt;=60,"Peak",IF(D70&gt;=40,"Expansion",IF(D70&gt;=20,"Recovery","Deep Downturn"))))</f>
        <v/>
      </c>
      <c r="E71" s="1122">
        <f>IF(E70&gt;=80,"Overheating",IF(E70&gt;=60,"Peak",IF(E70&gt;=40,"Expansion",IF(E70&gt;=20,"Recovery","Deep Downturn"))))</f>
        <v/>
      </c>
      <c r="J71" s="394" t="n"/>
      <c r="K71" s="394" t="n"/>
      <c r="L71" s="394" t="n"/>
      <c r="M71" s="394" t="n"/>
      <c r="N71" s="394" t="n"/>
    </row>
    <row r="72">
      <c r="A72" s="683" t="n"/>
      <c r="J72" s="394" t="n"/>
      <c r="K72" s="394" t="n"/>
      <c r="L72" s="394" t="n"/>
      <c r="M72" s="394" t="n"/>
      <c r="N72" s="394" t="n"/>
    </row>
    <row r="73">
      <c r="A73" s="683" t="n"/>
      <c r="J73" s="394" t="n"/>
      <c r="K73" s="394" t="n"/>
      <c r="L73" s="394" t="n"/>
      <c r="M73" s="394" t="n"/>
      <c r="N73" s="394" t="n"/>
    </row>
    <row r="74" ht="15.6" customHeight="1" s="632">
      <c r="A74" s="612" t="inlineStr">
        <is>
          <t>Valuation Implications</t>
        </is>
      </c>
      <c r="J74" s="394" t="n"/>
      <c r="K74" s="394" t="n"/>
      <c r="L74" s="394" t="n"/>
      <c r="M74" s="394" t="n"/>
      <c r="N74" s="394" t="n"/>
    </row>
    <row r="75">
      <c r="A75" s="539" t="inlineStr">
        <is>
          <t>Cycle Phase</t>
        </is>
      </c>
      <c r="B75" s="539" t="inlineStr">
        <is>
          <t>EV/EBITDA</t>
        </is>
      </c>
      <c r="C75" s="539" t="inlineStr">
        <is>
          <t>P/B</t>
        </is>
      </c>
      <c r="D75" s="539" t="inlineStr">
        <is>
          <t>P/E</t>
        </is>
      </c>
      <c r="E75" s="539" t="inlineStr">
        <is>
          <t>Investment View</t>
        </is>
      </c>
      <c r="G75" s="707" t="inlineStr">
        <is>
          <t>Ref</t>
        </is>
      </c>
      <c r="J75" s="394" t="n"/>
      <c r="K75" s="394" t="n"/>
      <c r="L75" s="394" t="n"/>
      <c r="M75" s="394" t="n"/>
      <c r="N75" s="394" t="n"/>
    </row>
    <row r="76">
      <c r="A76" s="670" t="inlineStr">
        <is>
          <t>Deep Downturn</t>
        </is>
      </c>
      <c r="B76" s="1123">
        <f>'Model Assumptions'!$K$113</f>
        <v/>
      </c>
      <c r="C76" s="1124">
        <f>B76/$B$78*'Comparable Valuation'!$E$55</f>
        <v/>
      </c>
      <c r="D76" s="1123">
        <f>B76/$B$78*'Comparable Valuation'!$D$55</f>
        <v/>
      </c>
      <c r="E76" s="1125" t="inlineStr">
        <is>
          <t>Maximum operational and financial stress. Historically the best entry point, but only for balance sheets that survive it - the Stress Case takes industry margin to -9.2%.</t>
        </is>
      </c>
      <c r="G76" s="708" t="inlineStr">
        <is>
          <t>IC05</t>
        </is>
      </c>
      <c r="J76" s="394" t="n"/>
      <c r="K76" s="394" t="n"/>
      <c r="L76" s="394" t="n"/>
      <c r="M76" s="394" t="n"/>
      <c r="N76" s="394" t="n"/>
    </row>
    <row r="77">
      <c r="A77" s="670" t="inlineStr">
        <is>
          <t>Recovery</t>
        </is>
      </c>
      <c r="B77" s="1123">
        <f>'Model Assumptions'!$K$112</f>
        <v/>
      </c>
      <c r="C77" s="1124">
        <f>B77/$B$78*'Comparable Valuation'!$E$55</f>
        <v/>
      </c>
      <c r="D77" s="1123">
        <f>B77/$B$78*'Comparable Valuation'!$D$55</f>
        <v/>
      </c>
      <c r="E77" s="1125" t="inlineStr">
        <is>
          <t>Margin recovering off a trough with capacity discipline improving. Accumulate quality cost-curve positions.</t>
        </is>
      </c>
      <c r="G77" s="708" t="inlineStr">
        <is>
          <t>IC05</t>
        </is>
      </c>
      <c r="J77" s="394" t="n"/>
      <c r="K77" s="394" t="n"/>
      <c r="L77" s="394" t="n"/>
      <c r="M77" s="394" t="n"/>
      <c r="N77" s="394" t="n"/>
    </row>
    <row r="78">
      <c r="A78" s="670" t="inlineStr">
        <is>
          <t>Expansion</t>
        </is>
      </c>
      <c r="B78" s="1123">
        <f>'Model Assumptions'!$K$110</f>
        <v/>
      </c>
      <c r="C78" s="1124">
        <f>B78/$B$78*'Comparable Valuation'!$E$55</f>
        <v/>
      </c>
      <c r="D78" s="1123">
        <f>B78/$B$78*'Comparable Valuation'!$D$55</f>
        <v/>
      </c>
      <c r="E78" s="1125" t="inlineStr">
        <is>
          <t>The base case position for most of the horizon. Selective - returns come from cost position and product mix, not from the cycle.</t>
        </is>
      </c>
      <c r="G78" s="708" t="inlineStr">
        <is>
          <t>IC05, IC06</t>
        </is>
      </c>
      <c r="J78" s="394" t="n"/>
      <c r="K78" s="394" t="n"/>
      <c r="L78" s="394" t="n"/>
      <c r="M78" s="394" t="n"/>
      <c r="N78" s="394" t="n"/>
    </row>
    <row r="79">
      <c r="A79" s="670" t="inlineStr">
        <is>
          <t>Peak</t>
        </is>
      </c>
      <c r="B79" s="1123">
        <f>'Model Assumptions'!$K$111</f>
        <v/>
      </c>
      <c r="C79" s="1124">
        <f>B79/$B$78*'Comparable Valuation'!$E$55</f>
        <v/>
      </c>
      <c r="D79" s="1123">
        <f>B79/$B$78*'Comparable Valuation'!$D$55</f>
        <v/>
      </c>
      <c r="E79" s="1125" t="inlineStr">
        <is>
          <t>Utilisation tight and margin at or above the FY2022 observed peak. Discipline required: this is when boards approve the capex that creates the next downcycle.</t>
        </is>
      </c>
      <c r="G79" s="708" t="inlineStr">
        <is>
          <t>IC05</t>
        </is>
      </c>
      <c r="J79" s="394" t="n"/>
      <c r="K79" s="394" t="n"/>
      <c r="L79" s="394" t="n"/>
      <c r="M79" s="394" t="n"/>
      <c r="N79" s="394" t="n"/>
    </row>
    <row r="80">
      <c r="A80" s="670" t="inlineStr">
        <is>
          <t>Overheating</t>
        </is>
      </c>
      <c r="B80" s="955" t="n"/>
      <c r="C80" s="955" t="n"/>
      <c r="D80" s="955" t="n"/>
      <c r="E80" s="1125" t="inlineStr">
        <is>
          <t>Not reached in any scenario in this model. Retained for completeness.</t>
        </is>
      </c>
      <c r="G80" s="708" t="inlineStr">
        <is>
          <t>IC17</t>
        </is>
      </c>
      <c r="J80" s="394" t="n"/>
      <c r="K80" s="394" t="n"/>
      <c r="L80" s="394" t="n"/>
      <c r="M80" s="394" t="n"/>
      <c r="N80" s="394" t="n"/>
    </row>
    <row r="81">
      <c r="A81" s="683" t="n"/>
      <c r="J81" s="394" t="n"/>
      <c r="K81" s="394" t="n"/>
      <c r="L81" s="394" t="n"/>
      <c r="M81" s="394" t="n"/>
      <c r="N81" s="394" t="n"/>
    </row>
    <row r="82">
      <c r="A82" s="683" t="n"/>
      <c r="J82" s="394" t="n"/>
      <c r="K82" s="394" t="n"/>
      <c r="L82" s="394" t="n"/>
      <c r="M82" s="394" t="n"/>
      <c r="N82" s="394" t="n"/>
    </row>
    <row r="83">
      <c r="A83" s="683" t="n"/>
      <c r="J83" s="394" t="n"/>
      <c r="K83" s="394" t="n"/>
      <c r="L83" s="394" t="n"/>
      <c r="M83" s="394" t="n"/>
      <c r="N83" s="394" t="n"/>
    </row>
    <row r="84">
      <c r="A84" s="394" t="n"/>
      <c r="B84" s="394" t="n"/>
      <c r="C84" s="394" t="n"/>
      <c r="D84" s="394" t="n"/>
      <c r="E84" s="394" t="n"/>
      <c r="F84" s="394" t="n"/>
      <c r="G84" s="394" t="n"/>
      <c r="H84" s="394" t="n"/>
      <c r="I84" s="394" t="n"/>
      <c r="J84" s="394" t="n"/>
      <c r="K84" s="394" t="n"/>
      <c r="L84" s="394" t="n"/>
      <c r="M84" s="394" t="n"/>
      <c r="N84" s="394" t="n"/>
    </row>
    <row r="85" ht="15" customHeight="1" s="632" thickBot="1">
      <c r="A85" s="415" t="n"/>
    </row>
    <row r="86">
      <c r="A86" s="63" t="inlineStr">
        <is>
          <t>Line item</t>
        </is>
      </c>
      <c r="B86" s="65" t="inlineStr">
        <is>
          <t>Unit</t>
        </is>
      </c>
      <c r="C86" s="65" t="inlineStr">
        <is>
          <t>FY2026A</t>
        </is>
      </c>
      <c r="D86" s="65" t="inlineStr">
        <is>
          <t>FY2027E</t>
        </is>
      </c>
      <c r="E86" s="65" t="inlineStr">
        <is>
          <t>FY2028E</t>
        </is>
      </c>
      <c r="F86" s="65" t="inlineStr">
        <is>
          <t>FY2029E</t>
        </is>
      </c>
      <c r="G86" s="65" t="inlineStr">
        <is>
          <t>FY2030E</t>
        </is>
      </c>
      <c r="H86" s="65" t="inlineStr">
        <is>
          <t>FY2031E</t>
        </is>
      </c>
      <c r="I86" s="65" t="inlineStr">
        <is>
          <t>FY2032E</t>
        </is>
      </c>
      <c r="J86" s="65" t="inlineStr">
        <is>
          <t>FY2033E</t>
        </is>
      </c>
      <c r="K86" s="65" t="inlineStr">
        <is>
          <t>CAGR</t>
        </is>
      </c>
      <c r="L86" s="409" t="inlineStr">
        <is>
          <t>Source</t>
        </is>
      </c>
      <c r="M86" s="65" t="inlineStr">
        <is>
          <t>Conf.</t>
        </is>
      </c>
      <c r="N86" s="410" t="inlineStr">
        <is>
          <t>Notes / methodology</t>
        </is>
      </c>
      <c r="P86" s="707" t="inlineStr">
        <is>
          <t>Ref</t>
        </is>
      </c>
    </row>
    <row r="87">
      <c r="A87" s="69" t="inlineStr">
        <is>
          <t>Capacity utilisation</t>
        </is>
      </c>
      <c r="B87" s="78" t="inlineStr">
        <is>
          <t>%</t>
        </is>
      </c>
      <c r="C87" s="904" t="n">
        <v>0.7641560798548094</v>
      </c>
      <c r="D87" s="904">
        <f>'Capacity Utilisation'!D$67</f>
        <v/>
      </c>
      <c r="E87" s="904">
        <f>'Capacity Utilisation'!E$67</f>
        <v/>
      </c>
      <c r="F87" s="904">
        <f>'Capacity Utilisation'!F$67</f>
        <v/>
      </c>
      <c r="G87" s="904">
        <f>'Capacity Utilisation'!G$67</f>
        <v/>
      </c>
      <c r="H87" s="904">
        <f>'Capacity Utilisation'!H$67</f>
        <v/>
      </c>
      <c r="I87" s="904">
        <f>'Capacity Utilisation'!I$67</f>
        <v/>
      </c>
      <c r="J87" s="904">
        <f>'Capacity Utilisation'!J$67</f>
        <v/>
      </c>
      <c r="K87" s="83" t="n"/>
      <c r="L87" s="344" t="inlineStr">
        <is>
          <t>08 Utilisation</t>
        </is>
      </c>
      <c r="M87" s="352" t="inlineStr">
        <is>
          <t>High</t>
        </is>
      </c>
      <c r="N87" s="68" t="n"/>
      <c r="P87" s="708" t="inlineStr">
        <is>
          <t>IC07</t>
        </is>
      </c>
    </row>
    <row r="88" ht="27.6" customHeight="1" s="632">
      <c r="A88" s="69" t="inlineStr">
        <is>
          <t>Utilisation gap vs normal (80%)</t>
        </is>
      </c>
      <c r="B88" s="78" t="inlineStr">
        <is>
          <t>ppt</t>
        </is>
      </c>
      <c r="C88" s="904" t="n">
        <v>-0.03584392014519067</v>
      </c>
      <c r="D88" s="904">
        <f>'Capacity Utilisation'!D$69</f>
        <v/>
      </c>
      <c r="E88" s="904">
        <f>'Capacity Utilisation'!E$69</f>
        <v/>
      </c>
      <c r="F88" s="904">
        <f>'Capacity Utilisation'!F$69</f>
        <v/>
      </c>
      <c r="G88" s="904">
        <f>'Capacity Utilisation'!G$69</f>
        <v/>
      </c>
      <c r="H88" s="904">
        <f>'Capacity Utilisation'!H$69</f>
        <v/>
      </c>
      <c r="I88" s="904">
        <f>'Capacity Utilisation'!I$69</f>
        <v/>
      </c>
      <c r="J88" s="904">
        <f>'Capacity Utilisation'!J$69</f>
        <v/>
      </c>
      <c r="K88" s="83" t="n"/>
      <c r="L88" s="344" t="inlineStr">
        <is>
          <t>08 Utilisation</t>
        </is>
      </c>
      <c r="M88" s="352" t="inlineStr">
        <is>
          <t>High</t>
        </is>
      </c>
      <c r="N88" s="68" t="n"/>
      <c r="P88" s="708" t="inlineStr">
        <is>
          <t>IC08</t>
        </is>
      </c>
    </row>
    <row r="89">
      <c r="A89" s="69" t="inlineStr">
        <is>
          <t>Industry EBITDA margin</t>
        </is>
      </c>
      <c r="B89" s="78" t="inlineStr">
        <is>
          <t>%</t>
        </is>
      </c>
      <c r="C89" s="904" t="n">
        <v>0.1789608830493214</v>
      </c>
      <c r="D89" s="904">
        <f>'Margin Analysis'!D$91</f>
        <v/>
      </c>
      <c r="E89" s="904">
        <f>'Margin Analysis'!E$91</f>
        <v/>
      </c>
      <c r="F89" s="904">
        <f>'Margin Analysis'!F$91</f>
        <v/>
      </c>
      <c r="G89" s="904">
        <f>'Margin Analysis'!G$91</f>
        <v/>
      </c>
      <c r="H89" s="904">
        <f>'Margin Analysis'!H$91</f>
        <v/>
      </c>
      <c r="I89" s="904">
        <f>'Margin Analysis'!I$91</f>
        <v/>
      </c>
      <c r="J89" s="904">
        <f>'Margin Analysis'!J$91</f>
        <v/>
      </c>
      <c r="K89" s="83" t="n"/>
      <c r="L89" s="344" t="inlineStr">
        <is>
          <t>14 Margin</t>
        </is>
      </c>
      <c r="M89" s="352" t="inlineStr">
        <is>
          <t>Medium</t>
        </is>
      </c>
      <c r="N89" s="68" t="n"/>
      <c r="P89" s="708" t="inlineStr">
        <is>
          <t>IC09</t>
        </is>
      </c>
    </row>
    <row r="90" ht="24" customHeight="1" s="632">
      <c r="A90" s="69" t="inlineStr">
        <is>
          <t>Mid-cycle margin</t>
        </is>
      </c>
      <c r="B90" s="78" t="inlineStr">
        <is>
          <t>%</t>
        </is>
      </c>
      <c r="C90" s="904" t="n">
        <v>0.195</v>
      </c>
      <c r="D90" s="904" t="n">
        <v>0.195</v>
      </c>
      <c r="E90" s="904" t="n">
        <v>0.195</v>
      </c>
      <c r="F90" s="904" t="n">
        <v>0.195</v>
      </c>
      <c r="G90" s="904" t="n">
        <v>0.195</v>
      </c>
      <c r="H90" s="904" t="n">
        <v>0.195</v>
      </c>
      <c r="I90" s="904" t="n">
        <v>0.195</v>
      </c>
      <c r="J90" s="904" t="n">
        <v>0.195</v>
      </c>
      <c r="K90" s="83" t="n"/>
      <c r="L90" s="344" t="inlineStr">
        <is>
          <t>Derived from Master DB</t>
        </is>
      </c>
      <c r="M90" s="352" t="inlineStr">
        <is>
          <t>Medium</t>
        </is>
      </c>
      <c r="N90" s="345" t="inlineStr">
        <is>
          <t>Average of the observed FY2022 peak (26%) and FY2024 trough (13%). Close to the FY2026 actual of 17.9%, which supports the calibration.</t>
        </is>
      </c>
      <c r="P90" s="708" t="inlineStr">
        <is>
          <t>IC10</t>
        </is>
      </c>
    </row>
    <row r="91">
      <c r="A91" s="69" t="inlineStr">
        <is>
          <t>Margin gap vs mid-cycle</t>
        </is>
      </c>
      <c r="B91" s="78" t="inlineStr">
        <is>
          <t>ppt</t>
        </is>
      </c>
      <c r="C91" s="83" t="n"/>
      <c r="D91" s="904">
        <f>D89-D90</f>
        <v/>
      </c>
      <c r="E91" s="904">
        <f>E89-E90</f>
        <v/>
      </c>
      <c r="F91" s="904">
        <f>F89-F90</f>
        <v/>
      </c>
      <c r="G91" s="904">
        <f>G89-G90</f>
        <v/>
      </c>
      <c r="H91" s="904">
        <f>H89-H90</f>
        <v/>
      </c>
      <c r="I91" s="904">
        <f>I89-I90</f>
        <v/>
      </c>
      <c r="J91" s="904">
        <f>J89-J90</f>
        <v/>
      </c>
      <c r="K91" s="83" t="n"/>
      <c r="L91" s="344" t="inlineStr">
        <is>
          <t>Computed</t>
        </is>
      </c>
      <c r="M91" s="352" t="inlineStr">
        <is>
          <t>Medium</t>
        </is>
      </c>
      <c r="N91" s="68" t="n"/>
      <c r="P91" s="708" t="inlineStr">
        <is>
          <t>IC11</t>
        </is>
      </c>
    </row>
    <row r="92" ht="24" customHeight="1" s="632">
      <c r="A92" s="76" t="inlineStr">
        <is>
          <t>CYCLE POSITION</t>
        </is>
      </c>
      <c r="B92" s="78" t="inlineStr">
        <is>
          <t>classification</t>
        </is>
      </c>
      <c r="C92" s="83" t="n"/>
      <c r="D92" s="144">
        <f>IF(D91&gt;0.04,"PEAK",IF(D91&gt;0.015,"LATE UPCYCLE",IF(D91&lt;-0.05,"TROUGH",IF(D91&lt;-0.02,"DOWNCYCLE","MID-CYCLE"))))</f>
        <v/>
      </c>
      <c r="E92" s="144">
        <f>IF(E91&gt;0.04,"PEAK",IF(E91&gt;0.015,"LATE UPCYCLE",IF(E91&lt;-0.05,"TROUGH",IF(E91&lt;-0.02,"DOWNCYCLE","MID-CYCLE"))))</f>
        <v/>
      </c>
      <c r="F92" s="144">
        <f>IF(F91&gt;0.04,"PEAK",IF(F91&gt;0.015,"LATE UPCYCLE",IF(F91&lt;-0.05,"TROUGH",IF(F91&lt;-0.02,"DOWNCYCLE","MID-CYCLE"))))</f>
        <v/>
      </c>
      <c r="G92" s="144">
        <f>IF(G91&gt;0.04,"PEAK",IF(G91&gt;0.015,"LATE UPCYCLE",IF(G91&lt;-0.05,"TROUGH",IF(G91&lt;-0.02,"DOWNCYCLE","MID-CYCLE"))))</f>
        <v/>
      </c>
      <c r="H92" s="144">
        <f>IF(H91&gt;0.04,"PEAK",IF(H91&gt;0.015,"LATE UPCYCLE",IF(H91&lt;-0.05,"TROUGH",IF(H91&lt;-0.02,"DOWNCYCLE","MID-CYCLE"))))</f>
        <v/>
      </c>
      <c r="I92" s="144">
        <f>IF(I91&gt;0.04,"PEAK",IF(I91&gt;0.015,"LATE UPCYCLE",IF(I91&lt;-0.05,"TROUGH",IF(I91&lt;-0.02,"DOWNCYCLE","MID-CYCLE"))))</f>
        <v/>
      </c>
      <c r="J92" s="144">
        <f>IF(J91&gt;0.04,"PEAK",IF(J91&gt;0.015,"LATE UPCYCLE",IF(J91&lt;-0.05,"TROUGH",IF(J91&lt;-0.02,"DOWNCYCLE","MID-CYCLE"))))</f>
        <v/>
      </c>
      <c r="K92" s="83" t="n"/>
      <c r="L92" s="344" t="inlineStr">
        <is>
          <t>Computed</t>
        </is>
      </c>
      <c r="M92" s="352" t="inlineStr">
        <is>
          <t>Medium</t>
        </is>
      </c>
      <c r="N92" s="345" t="inlineStr">
        <is>
          <t>Classified on the margin gap: above +4ppt peak, +1.5 to +4ppt late upcycle, -2 to +1.5ppt mid-cycle, -2 to -5ppt downcycle, below -5ppt trough.</t>
        </is>
      </c>
      <c r="P92" s="708" t="inlineStr">
        <is>
          <t>IC12</t>
        </is>
      </c>
    </row>
    <row r="93">
      <c r="A93" s="71" t="n"/>
      <c r="B93" s="83" t="n"/>
      <c r="C93" s="83" t="n"/>
      <c r="D93" s="83" t="n"/>
      <c r="E93" s="83" t="n"/>
      <c r="F93" s="83" t="n"/>
      <c r="G93" s="83" t="n"/>
      <c r="H93" s="83" t="n"/>
      <c r="I93" s="83" t="n"/>
      <c r="J93" s="83" t="n"/>
      <c r="K93" s="83" t="n"/>
      <c r="L93" s="45" t="n"/>
      <c r="M93" s="83" t="n"/>
      <c r="N93" s="68" t="n"/>
    </row>
    <row r="94">
      <c r="A94" s="836" t="inlineStr">
        <is>
          <t>OBSERVED CYCLE CHRONOLOGY (Master Database)</t>
        </is>
      </c>
      <c r="B94" s="837" t="n"/>
      <c r="C94" s="837" t="n"/>
      <c r="D94" s="837" t="n"/>
      <c r="E94" s="837" t="n"/>
      <c r="F94" s="837" t="n"/>
      <c r="G94" s="837" t="n"/>
      <c r="H94" s="837" t="n"/>
      <c r="I94" s="837" t="n"/>
      <c r="J94" s="837" t="n"/>
      <c r="K94" s="837" t="n"/>
      <c r="L94" s="837" t="n"/>
      <c r="M94" s="837" t="n"/>
      <c r="N94" s="838" t="n"/>
    </row>
    <row r="95" ht="36" customHeight="1" s="632">
      <c r="A95" s="69" t="inlineStr">
        <is>
          <t>FY2022 - cycle peak</t>
        </is>
      </c>
      <c r="B95" s="78" t="inlineStr">
        <is>
          <t>%</t>
        </is>
      </c>
      <c r="C95" s="904" t="n">
        <v>0.26</v>
      </c>
      <c r="D95" s="83" t="n"/>
      <c r="E95" s="83" t="n"/>
      <c r="F95" s="83" t="n"/>
      <c r="G95" s="83" t="n"/>
      <c r="H95" s="83" t="n"/>
      <c r="I95" s="83" t="n"/>
      <c r="J95" s="83" t="n"/>
      <c r="K95" s="83" t="n"/>
      <c r="L95" s="344" t="inlineStr">
        <is>
          <t>Master DB</t>
        </is>
      </c>
      <c r="M95" s="352" t="inlineStr">
        <is>
          <t>High</t>
        </is>
      </c>
      <c r="N95" s="345" t="inlineStr">
        <is>
          <t>Industry margin roughly 24-26%. Coking coal spiked but was passed through, so margins were at RECORD highs - the key evidence that a cost spike is not automatically margin-negative.</t>
        </is>
      </c>
      <c r="P95" s="708" t="inlineStr">
        <is>
          <t>IC13</t>
        </is>
      </c>
    </row>
    <row r="96">
      <c r="A96" s="69" t="inlineStr">
        <is>
          <t>FY2024 - cycle trough</t>
        </is>
      </c>
      <c r="B96" s="78" t="inlineStr">
        <is>
          <t>%</t>
        </is>
      </c>
      <c r="C96" s="904" t="n">
        <v>0.13</v>
      </c>
      <c r="D96" s="83" t="n"/>
      <c r="E96" s="83" t="n"/>
      <c r="F96" s="83" t="n"/>
      <c r="G96" s="83" t="n"/>
      <c r="H96" s="83" t="n"/>
      <c r="I96" s="83" t="n"/>
      <c r="J96" s="83" t="n"/>
      <c r="K96" s="83" t="n"/>
      <c r="L96" s="344" t="inlineStr">
        <is>
          <t>Master DB</t>
        </is>
      </c>
      <c r="M96" s="352" t="inlineStr">
        <is>
          <t>High</t>
        </is>
      </c>
      <c r="N96" s="345" t="inlineStr">
        <is>
          <t>Four years peak to trough.</t>
        </is>
      </c>
      <c r="P96" s="708" t="inlineStr">
        <is>
          <t>IC14</t>
        </is>
      </c>
    </row>
    <row r="97" ht="24" customHeight="1" s="632">
      <c r="A97" s="69" t="inlineStr">
        <is>
          <t>FY2026 - recovery</t>
        </is>
      </c>
      <c r="B97" s="78" t="inlineStr">
        <is>
          <t>%</t>
        </is>
      </c>
      <c r="C97" s="904" t="n">
        <v>0.1789608830493214</v>
      </c>
      <c r="D97" s="83" t="n"/>
      <c r="E97" s="83" t="n"/>
      <c r="F97" s="83" t="n"/>
      <c r="G97" s="83" t="n"/>
      <c r="H97" s="83" t="n"/>
      <c r="I97" s="83" t="n"/>
      <c r="J97" s="83" t="n"/>
      <c r="K97" s="83" t="n"/>
      <c r="L97" s="344" t="inlineStr">
        <is>
          <t>Master DB</t>
        </is>
      </c>
      <c r="M97" s="352" t="inlineStr">
        <is>
          <t>High</t>
        </is>
      </c>
      <c r="N97" s="345" t="inlineStr">
        <is>
          <t>Aided by the safeguard duty, which lifted domestic HRC roughly 25% between early Dec-2025 and end-Mar-2026.</t>
        </is>
      </c>
      <c r="P97" s="708" t="inlineStr">
        <is>
          <t>IC15</t>
        </is>
      </c>
    </row>
    <row r="98" ht="24.6" customHeight="1" s="632" thickBot="1">
      <c r="A98" s="72" t="inlineStr">
        <is>
          <t>Implied full cycle length</t>
        </is>
      </c>
      <c r="B98" s="79" t="inlineStr">
        <is>
          <t>years</t>
        </is>
      </c>
      <c r="C98" s="909" t="n">
        <v>7.5</v>
      </c>
      <c r="D98" s="97" t="n"/>
      <c r="E98" s="97" t="n"/>
      <c r="F98" s="97" t="n"/>
      <c r="G98" s="97" t="n"/>
      <c r="H98" s="97" t="n"/>
      <c r="I98" s="97" t="n"/>
      <c r="J98" s="97" t="n"/>
      <c r="K98" s="97" t="n"/>
      <c r="L98" s="346" t="inlineStr">
        <is>
          <t>Master DB</t>
        </is>
      </c>
      <c r="M98" s="353" t="inlineStr">
        <is>
          <t>High</t>
        </is>
      </c>
      <c r="N98" s="347" t="inlineStr">
        <is>
          <t>Roughly 7 to 8 years on a 4-year peak-to-trough leg. This is the quantitative basis for the 7-year horizon: the forecast average is approximately cycle-neutral.</t>
        </is>
      </c>
      <c r="P98" s="708" t="inlineStr">
        <is>
          <t>IC16</t>
        </is>
      </c>
    </row>
    <row r="99"/>
    <row r="100">
      <c r="A100" s="393" t="inlineStr">
        <is>
          <t>Use the cycle position row when selecting an exit multiple. Applying a mid-cycle multiple to a peak-year EBITDA is the most common way to overvalue a steel company.</t>
        </is>
      </c>
    </row>
  </sheetData>
  <mergeCells count="13">
    <mergeCell ref="A94:N94"/>
    <mergeCell ref="A7:I7"/>
    <mergeCell ref="A59:I59"/>
    <mergeCell ref="A68:I68"/>
    <mergeCell ref="A2:H2"/>
    <mergeCell ref="A17:I17"/>
    <mergeCell ref="A39:I39"/>
    <mergeCell ref="A74:I74"/>
    <mergeCell ref="A5:N5"/>
    <mergeCell ref="A50:I50"/>
    <mergeCell ref="A100:I100"/>
    <mergeCell ref="A30:I30"/>
    <mergeCell ref="A1:N1"/>
  </mergeCells>
  <hyperlinks>
    <hyperlink ref="K10" location="'Audit Checks'!A574" tooltip="Open the reference register on 25 Audit Checks"/>
    <hyperlink ref="K42" location="'Audit Checks'!A574" tooltip="Open the reference register on 25 Audit Checks"/>
    <hyperlink ref="K43" location="'Audit Checks'!A574" tooltip="Open the reference register on 25 Audit Checks"/>
    <hyperlink ref="K44" location="'Audit Checks'!A574" tooltip="Open the reference register on 25 Audit Checks"/>
    <hyperlink ref="K45" location="'Audit Checks'!A574" tooltip="Open the reference register on 25 Audit Checks"/>
    <hyperlink ref="K46" location="'Audit Checks'!A574" tooltip="Open the reference register on 25 Audit Checks"/>
    <hyperlink ref="K47" location="'Audit Checks'!A574" tooltip="Open the reference register on 25 Audit Checks"/>
    <hyperlink ref="K63" location="'Audit Checks'!A574" tooltip="Open the reference register on 25 Audit Checks"/>
    <hyperlink ref="K65" location="'Audit Checks'!A574" tooltip="Open the reference register on 25 Audit Checks"/>
    <hyperlink ref="G70" location="'Audit Checks'!A574" tooltip="Open the reference register on 25 Audit Checks"/>
    <hyperlink ref="G76" location="'Audit Checks'!A574" tooltip="Open the reference register on 25 Audit Checks"/>
    <hyperlink ref="G77" location="'Audit Checks'!A574" tooltip="Open the reference register on 25 Audit Checks"/>
    <hyperlink ref="G78" location="'Audit Checks'!A574" tooltip="Open the reference register on 25 Audit Checks"/>
    <hyperlink ref="G79" location="'Audit Checks'!A574" tooltip="Open the reference register on 25 Audit Checks"/>
    <hyperlink ref="G80" location="'Audit Checks'!A574" tooltip="Open the reference register on 25 Audit Checks"/>
    <hyperlink ref="P87" location="'Audit Checks'!A574" tooltip="Open the reference register on 25 Audit Checks"/>
    <hyperlink ref="P88" location="'Audit Checks'!A574" tooltip="Open the reference register on 25 Audit Checks"/>
    <hyperlink ref="P89" location="'Audit Checks'!A574" tooltip="Open the reference register on 25 Audit Checks"/>
    <hyperlink ref="P90" location="'Audit Checks'!A574" tooltip="Open the reference register on 25 Audit Checks"/>
    <hyperlink ref="P91" location="'Audit Checks'!A574" tooltip="Open the reference register on 25 Audit Checks"/>
    <hyperlink ref="P92" location="'Audit Checks'!A574" tooltip="Open the reference register on 25 Audit Checks"/>
    <hyperlink ref="P95" location="'Audit Checks'!A574" tooltip="Open the reference register on 25 Audit Checks"/>
    <hyperlink ref="P96" location="'Audit Checks'!A574" tooltip="Open the reference register on 25 Audit Checks"/>
    <hyperlink ref="P97" location="'Audit Checks'!A574" tooltip="Open the reference register on 25 Audit Checks"/>
    <hyperlink ref="P98" location="'Audit Checks'!A574" tooltip="Open the reference register on 25 Audit Checks"/>
  </hyperlinks>
  <pageMargins left="0.7" right="0.7" top="0.75" bottom="0.75" header="0.3" footer="0.3"/>
  <drawing xmlns:r="http://schemas.openxmlformats.org/officeDocument/2006/relationships" r:id="rId1"/>
</worksheet>
</file>

<file path=xl/worksheets/sheet24.xml><?xml version="1.0" encoding="utf-8"?>
<worksheet xmlns="http://schemas.openxmlformats.org/spreadsheetml/2006/main">
  <sheetPr codeName="Sheet24">
    <tabColor rgb="FF002060"/>
    <outlinePr summaryBelow="1" summaryRight="1"/>
    <pageSetUpPr/>
  </sheetPr>
  <dimension ref="A1:P90"/>
  <sheetViews>
    <sheetView showGridLines="0" workbookViewId="0">
      <selection activeCell="A7" sqref="A7:I14"/>
    </sheetView>
  </sheetViews>
  <sheetFormatPr baseColWidth="8" defaultRowHeight="14.4"/>
  <cols>
    <col width="22.21875" customWidth="1" style="690" min="1" max="1"/>
    <col width="12.5546875" customWidth="1" style="129" min="2" max="4"/>
    <col width="13.21875" customWidth="1" style="129" min="5" max="5"/>
    <col width="14.6640625" customWidth="1" style="129" min="6" max="6"/>
    <col width="12.5546875" customWidth="1" style="129" min="7" max="9"/>
    <col width="12.21875" customWidth="1" style="129" min="10" max="10"/>
    <col width="16.88671875" customWidth="1" style="690" min="11" max="11"/>
    <col width="15.44140625" customWidth="1" style="690" min="12" max="12"/>
    <col width="6.5546875" bestFit="1" customWidth="1" style="129" min="13" max="13"/>
    <col width="61.109375" customWidth="1" style="690" min="14" max="14"/>
    <col width="8.88671875" customWidth="1" style="690" min="15" max="16384"/>
    <col width="7" customWidth="1" style="632" min="16" max="16"/>
  </cols>
  <sheetData>
    <row r="1" ht="25.8" customHeight="1" s="632">
      <c r="A1" s="365" t="inlineStr">
        <is>
          <t>TRADE MODEL</t>
        </is>
      </c>
    </row>
    <row r="2">
      <c r="A2" s="494" t="inlineStr">
        <is>
          <t>Industry Financial Model  |  Indian Steel Industry  |  Horizon FY2027E-FY2033E  |  Base year FY2026A</t>
        </is>
      </c>
    </row>
    <row r="3">
      <c r="A3" s="145" t="n"/>
    </row>
    <row r="4">
      <c r="A4" s="411" t="inlineStr">
        <is>
          <t>OBJECTIVE</t>
        </is>
      </c>
    </row>
    <row r="5">
      <c r="A5" s="394" t="inlineStr">
        <is>
          <t>Forecast India's steel trade by modeling imports, exports, trade balance, trade policies, international price spreads, and global competitiveness.</t>
        </is>
      </c>
    </row>
    <row r="6">
      <c r="A6" s="394" t="n"/>
      <c r="B6" s="394" t="n"/>
      <c r="C6" s="394" t="n"/>
      <c r="D6" s="394" t="n"/>
      <c r="E6" s="394" t="n"/>
      <c r="F6" s="394" t="n"/>
      <c r="G6" s="394" t="n"/>
      <c r="H6" s="394" t="n"/>
      <c r="I6" s="394" t="n"/>
      <c r="J6" s="394" t="n"/>
      <c r="K6" s="394" t="n"/>
      <c r="L6" s="394" t="n"/>
      <c r="M6" s="394" t="n"/>
      <c r="N6" s="394" t="n"/>
    </row>
    <row r="7" ht="15.6" customHeight="1" s="632">
      <c r="A7" s="612" t="inlineStr">
        <is>
          <t>Executive Summary</t>
        </is>
      </c>
      <c r="J7" s="394" t="n"/>
      <c r="K7" s="394" t="n"/>
      <c r="L7" s="394" t="n"/>
      <c r="M7" s="394" t="n"/>
      <c r="N7" s="394" t="n"/>
    </row>
    <row r="8">
      <c r="A8" s="539" t="inlineStr">
        <is>
          <t>KPI</t>
        </is>
      </c>
      <c r="B8" s="544" t="inlineStr">
        <is>
          <t>FY26A</t>
        </is>
      </c>
      <c r="C8" s="544" t="inlineStr">
        <is>
          <t>FY27E</t>
        </is>
      </c>
      <c r="D8" s="544" t="inlineStr">
        <is>
          <t>FY28E</t>
        </is>
      </c>
      <c r="E8" s="544" t="inlineStr">
        <is>
          <t>FY29E</t>
        </is>
      </c>
      <c r="F8" s="544" t="inlineStr">
        <is>
          <t>FY30E</t>
        </is>
      </c>
      <c r="G8" s="544" t="inlineStr">
        <is>
          <t>FY31E</t>
        </is>
      </c>
      <c r="H8" s="544" t="inlineStr">
        <is>
          <t>FY32E</t>
        </is>
      </c>
      <c r="I8" s="544" t="inlineStr">
        <is>
          <t>FY33E</t>
        </is>
      </c>
      <c r="J8" s="394" t="n"/>
      <c r="K8" s="394" t="n"/>
      <c r="L8" s="394" t="n"/>
      <c r="M8" s="394" t="n"/>
      <c r="N8" s="394" t="n"/>
    </row>
    <row r="9">
      <c r="A9" s="670" t="inlineStr">
        <is>
          <t>Imports (Mt)</t>
        </is>
      </c>
      <c r="B9" s="1119">
        <f>$C$76</f>
        <v/>
      </c>
      <c r="C9" s="1119">
        <f>$D$76</f>
        <v/>
      </c>
      <c r="D9" s="1119">
        <f>$E$76</f>
        <v/>
      </c>
      <c r="E9" s="1119">
        <f>$F$76</f>
        <v/>
      </c>
      <c r="F9" s="1119">
        <f>$G$76</f>
        <v/>
      </c>
      <c r="G9" s="1119">
        <f>$H$76</f>
        <v/>
      </c>
      <c r="H9" s="1119">
        <f>$I$76</f>
        <v/>
      </c>
      <c r="I9" s="1119">
        <f>$J$76</f>
        <v/>
      </c>
      <c r="J9" s="394" t="n"/>
      <c r="K9" s="394" t="n"/>
      <c r="L9" s="394" t="n"/>
      <c r="M9" s="394" t="n"/>
      <c r="N9" s="394" t="n"/>
    </row>
    <row r="10">
      <c r="A10" s="670" t="inlineStr">
        <is>
          <t>Exports (Mt)</t>
        </is>
      </c>
      <c r="B10" s="1119">
        <f>$C$78</f>
        <v/>
      </c>
      <c r="C10" s="1119">
        <f>$D$78</f>
        <v/>
      </c>
      <c r="D10" s="1119">
        <f>$E$78</f>
        <v/>
      </c>
      <c r="E10" s="1119">
        <f>$F$78</f>
        <v/>
      </c>
      <c r="F10" s="1119">
        <f>$G$78</f>
        <v/>
      </c>
      <c r="G10" s="1119">
        <f>$H$78</f>
        <v/>
      </c>
      <c r="H10" s="1119">
        <f>$I$78</f>
        <v/>
      </c>
      <c r="I10" s="1119">
        <f>$J$78</f>
        <v/>
      </c>
      <c r="J10" s="394" t="n"/>
      <c r="K10" s="394" t="n"/>
      <c r="L10" s="394" t="n"/>
      <c r="M10" s="394" t="n"/>
      <c r="N10" s="394" t="n"/>
    </row>
    <row r="11">
      <c r="A11" s="670" t="inlineStr">
        <is>
          <t>Net Trade (Mt)</t>
        </is>
      </c>
      <c r="B11" s="1126">
        <f>$C$85</f>
        <v/>
      </c>
      <c r="C11" s="1126">
        <f>$D$85</f>
        <v/>
      </c>
      <c r="D11" s="1126">
        <f>$E$85</f>
        <v/>
      </c>
      <c r="E11" s="1126">
        <f>$F$85</f>
        <v/>
      </c>
      <c r="F11" s="1126">
        <f>$G$85</f>
        <v/>
      </c>
      <c r="G11" s="1126">
        <f>$H$85</f>
        <v/>
      </c>
      <c r="H11" s="1126">
        <f>$I$85</f>
        <v/>
      </c>
      <c r="I11" s="1126">
        <f>$J$85</f>
        <v/>
      </c>
      <c r="J11" s="394" t="n"/>
      <c r="K11" s="394" t="n"/>
      <c r="L11" s="394" t="n"/>
      <c r="M11" s="394" t="n"/>
      <c r="N11" s="394" t="n"/>
    </row>
    <row r="12">
      <c r="A12" s="670" t="inlineStr">
        <is>
          <t>Import Dependency (%)</t>
        </is>
      </c>
      <c r="B12" s="1091">
        <f>$C$83</f>
        <v/>
      </c>
      <c r="C12" s="1091">
        <f>$D$83</f>
        <v/>
      </c>
      <c r="D12" s="1091">
        <f>$E$83</f>
        <v/>
      </c>
      <c r="E12" s="1091">
        <f>$F$83</f>
        <v/>
      </c>
      <c r="F12" s="1091">
        <f>$G$83</f>
        <v/>
      </c>
      <c r="G12" s="1091">
        <f>$H$83</f>
        <v/>
      </c>
      <c r="H12" s="1091">
        <f>$I$83</f>
        <v/>
      </c>
      <c r="I12" s="1091">
        <f>$J$83</f>
        <v/>
      </c>
      <c r="J12" s="394" t="n"/>
      <c r="K12" s="394" t="n"/>
      <c r="L12" s="394" t="n"/>
      <c r="M12" s="394" t="n"/>
      <c r="N12" s="394" t="n"/>
    </row>
    <row r="13">
      <c r="A13" s="670" t="inlineStr">
        <is>
          <t>Export Ratio (%)</t>
        </is>
      </c>
      <c r="B13" s="1091">
        <f>$C$84</f>
        <v/>
      </c>
      <c r="C13" s="1091">
        <f>$D$84</f>
        <v/>
      </c>
      <c r="D13" s="1091">
        <f>$E$84</f>
        <v/>
      </c>
      <c r="E13" s="1091">
        <f>$F$84</f>
        <v/>
      </c>
      <c r="F13" s="1091">
        <f>$G$84</f>
        <v/>
      </c>
      <c r="G13" s="1091">
        <f>$H$84</f>
        <v/>
      </c>
      <c r="H13" s="1091">
        <f>$I$84</f>
        <v/>
      </c>
      <c r="I13" s="1091">
        <f>$J$84</f>
        <v/>
      </c>
      <c r="J13" s="394" t="n"/>
      <c r="K13" s="394" t="n"/>
      <c r="L13" s="394" t="n"/>
      <c r="M13" s="394" t="n"/>
      <c r="N13" s="394" t="n"/>
    </row>
    <row r="14">
      <c r="A14" s="670" t="inlineStr">
        <is>
          <t>Trade Balance (₹ Cr)</t>
        </is>
      </c>
      <c r="B14" s="1101">
        <f>(C78-C76)*'Steel Price Forecast'!C103/10</f>
        <v/>
      </c>
      <c r="C14" s="1101">
        <f>(D78-D76)*'Steel Price Forecast'!D103/10</f>
        <v/>
      </c>
      <c r="D14" s="1101">
        <f>(E78-E76)*'Steel Price Forecast'!E103/10</f>
        <v/>
      </c>
      <c r="E14" s="1101">
        <f>(F78-F76)*'Steel Price Forecast'!F103/10</f>
        <v/>
      </c>
      <c r="F14" s="1101">
        <f>(G78-G76)*'Steel Price Forecast'!G103/10</f>
        <v/>
      </c>
      <c r="G14" s="1101">
        <f>(H78-H76)*'Steel Price Forecast'!H103/10</f>
        <v/>
      </c>
      <c r="H14" s="1101">
        <f>(I78-I76)*'Steel Price Forecast'!I103/10</f>
        <v/>
      </c>
      <c r="I14" s="1101">
        <f>(J78-J76)*'Steel Price Forecast'!J103/10</f>
        <v/>
      </c>
      <c r="J14" s="394" t="n"/>
      <c r="K14" s="394" t="n"/>
      <c r="L14" s="394" t="n"/>
      <c r="M14" s="394" t="n"/>
      <c r="N14" s="394" t="n"/>
    </row>
    <row r="15">
      <c r="A15" s="394" t="n"/>
      <c r="B15" s="394" t="n"/>
      <c r="C15" s="394" t="n"/>
      <c r="D15" s="394" t="n"/>
      <c r="E15" s="394" t="n"/>
      <c r="F15" s="394" t="n"/>
      <c r="G15" s="394" t="n"/>
      <c r="H15" s="394" t="n"/>
      <c r="I15" s="394" t="n"/>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ht="15.6" customHeight="1" s="632">
      <c r="A17" s="612" t="inlineStr">
        <is>
          <t>Historical Trade</t>
        </is>
      </c>
      <c r="G17" s="394" t="n"/>
      <c r="H17" s="608" t="inlineStr">
        <is>
          <t>Trade Forecast</t>
        </is>
      </c>
      <c r="I17" s="699" t="n"/>
      <c r="J17" s="699" t="n"/>
      <c r="K17" s="699" t="n"/>
      <c r="L17" s="699" t="n"/>
      <c r="M17" s="394" t="n"/>
      <c r="N17" s="394" t="n"/>
    </row>
    <row r="18" ht="18" customHeight="1" s="632">
      <c r="A18" s="539" t="inlineStr">
        <is>
          <t>Year</t>
        </is>
      </c>
      <c r="B18" s="539" t="inlineStr">
        <is>
          <t>Imports</t>
        </is>
      </c>
      <c r="C18" s="539" t="inlineStr">
        <is>
          <t>Exports</t>
        </is>
      </c>
      <c r="D18" s="539" t="inlineStr">
        <is>
          <t>Net Trade</t>
        </is>
      </c>
      <c r="E18" s="539" t="inlineStr">
        <is>
          <t>Import Growth</t>
        </is>
      </c>
      <c r="F18" s="539" t="inlineStr">
        <is>
          <t>Export Growth</t>
        </is>
      </c>
      <c r="G18" s="394" t="n"/>
      <c r="H18" s="539" t="inlineStr">
        <is>
          <t>Year</t>
        </is>
      </c>
      <c r="I18" s="539" t="inlineStr">
        <is>
          <t>Imports</t>
        </is>
      </c>
      <c r="J18" s="539" t="inlineStr">
        <is>
          <t>Exports</t>
        </is>
      </c>
      <c r="K18" s="539" t="inlineStr">
        <is>
          <t>Net Imports</t>
        </is>
      </c>
      <c r="L18" s="539" t="inlineStr">
        <is>
          <t>Trade Balance</t>
        </is>
      </c>
      <c r="M18" s="394" t="n"/>
      <c r="N18" s="707" t="inlineStr">
        <is>
          <t>Ref</t>
        </is>
      </c>
    </row>
    <row r="19">
      <c r="A19" s="670" t="inlineStr">
        <is>
          <t>FY21</t>
        </is>
      </c>
      <c r="B19" s="1127" t="n">
        <v>4.752</v>
      </c>
      <c r="C19" s="1127" t="n">
        <v>10.784</v>
      </c>
      <c r="D19" s="931">
        <f>C19-B19</f>
        <v/>
      </c>
      <c r="E19" s="955" t="n"/>
      <c r="F19" s="955" t="n"/>
      <c r="G19" s="394" t="n"/>
      <c r="H19" s="670" t="inlineStr">
        <is>
          <t>FY27E</t>
        </is>
      </c>
      <c r="I19" s="828">
        <f>$D$76</f>
        <v/>
      </c>
      <c r="J19" s="828">
        <f>$D$78</f>
        <v/>
      </c>
      <c r="K19" s="931">
        <f>I19-J19</f>
        <v/>
      </c>
      <c r="L19" s="1079">
        <f>(J19-I19)*'Steel Price Forecast'!D103/10</f>
        <v/>
      </c>
      <c r="M19" s="394" t="n"/>
      <c r="N19" s="394" t="n"/>
    </row>
    <row r="20">
      <c r="A20" s="670" t="inlineStr">
        <is>
          <t>FY22</t>
        </is>
      </c>
      <c r="B20" s="1127" t="n">
        <v>4.669</v>
      </c>
      <c r="C20" s="1127" t="n">
        <v>13.494</v>
      </c>
      <c r="D20" s="931">
        <f>C20-B20</f>
        <v/>
      </c>
      <c r="E20" s="954">
        <f>IFERROR(B20/B19-1,"")</f>
        <v/>
      </c>
      <c r="F20" s="954">
        <f>IFERROR(C20/C19-1,"")</f>
        <v/>
      </c>
      <c r="G20" s="394" t="n"/>
      <c r="H20" s="670" t="inlineStr">
        <is>
          <t>FY28E</t>
        </is>
      </c>
      <c r="I20" s="828">
        <f>$E$76</f>
        <v/>
      </c>
      <c r="J20" s="828">
        <f>$E$78</f>
        <v/>
      </c>
      <c r="K20" s="931">
        <f>I20-J20</f>
        <v/>
      </c>
      <c r="L20" s="1079">
        <f>(J20-I20)*'Steel Price Forecast'!E103/10</f>
        <v/>
      </c>
      <c r="M20" s="394" t="n"/>
      <c r="N20" s="394" t="n"/>
    </row>
    <row r="21">
      <c r="A21" s="670" t="inlineStr">
        <is>
          <t>FY23</t>
        </is>
      </c>
      <c r="B21" s="1127" t="n">
        <v>6.022</v>
      </c>
      <c r="C21" s="1127" t="n">
        <v>6.716</v>
      </c>
      <c r="D21" s="931">
        <f>C21-B21</f>
        <v/>
      </c>
      <c r="E21" s="954">
        <f>IFERROR(B21/B20-1,"")</f>
        <v/>
      </c>
      <c r="F21" s="954">
        <f>IFERROR(C21/C20-1,"")</f>
        <v/>
      </c>
      <c r="G21" s="394" t="n"/>
      <c r="H21" s="670" t="inlineStr">
        <is>
          <t>FY29E</t>
        </is>
      </c>
      <c r="I21" s="828">
        <f>$F$76</f>
        <v/>
      </c>
      <c r="J21" s="828">
        <f>$F$78</f>
        <v/>
      </c>
      <c r="K21" s="931">
        <f>I21-J21</f>
        <v/>
      </c>
      <c r="L21" s="1079">
        <f>(J21-I21)*'Steel Price Forecast'!F103/10</f>
        <v/>
      </c>
      <c r="M21" s="394" t="n"/>
      <c r="N21" s="394" t="n"/>
    </row>
    <row r="22">
      <c r="A22" s="670" t="inlineStr">
        <is>
          <t>FY24</t>
        </is>
      </c>
      <c r="B22" s="1127" t="n">
        <v>8.32</v>
      </c>
      <c r="C22" s="1127" t="n">
        <v>7.487</v>
      </c>
      <c r="D22" s="931">
        <f>C22-B22</f>
        <v/>
      </c>
      <c r="E22" s="954">
        <f>IFERROR(B22/B21-1,"")</f>
        <v/>
      </c>
      <c r="F22" s="954">
        <f>IFERROR(C22/C21-1,"")</f>
        <v/>
      </c>
      <c r="G22" s="394" t="n"/>
      <c r="H22" s="670" t="inlineStr">
        <is>
          <t>FY30E</t>
        </is>
      </c>
      <c r="I22" s="828">
        <f>$G$76</f>
        <v/>
      </c>
      <c r="J22" s="828">
        <f>$G$78</f>
        <v/>
      </c>
      <c r="K22" s="931">
        <f>I22-J22</f>
        <v/>
      </c>
      <c r="L22" s="1079">
        <f>(J22-I22)*'Steel Price Forecast'!G103/10</f>
        <v/>
      </c>
      <c r="M22" s="394" t="n"/>
      <c r="N22" s="394" t="n"/>
    </row>
    <row r="23">
      <c r="A23" s="670" t="inlineStr">
        <is>
          <t>FY25</t>
        </is>
      </c>
      <c r="B23" s="1127" t="n">
        <v>9.551</v>
      </c>
      <c r="C23" s="1127" t="n">
        <v>4.858</v>
      </c>
      <c r="D23" s="931">
        <f>C23-B23</f>
        <v/>
      </c>
      <c r="E23" s="954">
        <f>IFERROR(B23/B22-1,"")</f>
        <v/>
      </c>
      <c r="F23" s="954">
        <f>IFERROR(C23/C22-1,"")</f>
        <v/>
      </c>
      <c r="G23" s="394" t="n"/>
      <c r="H23" s="670" t="inlineStr">
        <is>
          <t>FY31E</t>
        </is>
      </c>
      <c r="I23" s="828">
        <f>$H$76</f>
        <v/>
      </c>
      <c r="J23" s="828">
        <f>$H$78</f>
        <v/>
      </c>
      <c r="K23" s="931">
        <f>I23-J23</f>
        <v/>
      </c>
      <c r="L23" s="1079">
        <f>(J23-I23)*'Steel Price Forecast'!H103/10</f>
        <v/>
      </c>
      <c r="M23" s="394" t="n"/>
      <c r="N23" s="394" t="n"/>
    </row>
    <row r="24">
      <c r="A24" s="670" t="inlineStr">
        <is>
          <t>FY26</t>
        </is>
      </c>
      <c r="B24" s="1127" t="n">
        <v>6.524</v>
      </c>
      <c r="C24" s="1127" t="n">
        <v>6.602</v>
      </c>
      <c r="D24" s="931">
        <f>C24-B24</f>
        <v/>
      </c>
      <c r="E24" s="954">
        <f>IFERROR(B24/B23-1,"")</f>
        <v/>
      </c>
      <c r="F24" s="954">
        <f>IFERROR(C24/C23-1,"")</f>
        <v/>
      </c>
      <c r="G24" s="394" t="n"/>
      <c r="H24" s="670" t="inlineStr">
        <is>
          <t>FY32E</t>
        </is>
      </c>
      <c r="I24" s="828">
        <f>$I$76</f>
        <v/>
      </c>
      <c r="J24" s="828">
        <f>$I$78</f>
        <v/>
      </c>
      <c r="K24" s="931">
        <f>I24-J24</f>
        <v/>
      </c>
      <c r="L24" s="1079">
        <f>(J24-I24)*'Steel Price Forecast'!I103/10</f>
        <v/>
      </c>
      <c r="M24" s="394" t="n"/>
      <c r="N24" s="708" t="inlineStr">
        <is>
          <t>TM01</t>
        </is>
      </c>
    </row>
    <row r="25">
      <c r="A25" s="394" t="n"/>
      <c r="B25" s="394" t="n"/>
      <c r="C25" s="394" t="n"/>
      <c r="D25" s="394" t="n"/>
      <c r="E25" s="394" t="n"/>
      <c r="F25" s="394" t="n"/>
      <c r="G25" s="394" t="n"/>
      <c r="H25" s="670" t="inlineStr">
        <is>
          <t>FY33E</t>
        </is>
      </c>
      <c r="I25" s="828">
        <f>$J$76</f>
        <v/>
      </c>
      <c r="J25" s="828">
        <f>$J$78</f>
        <v/>
      </c>
      <c r="K25" s="931">
        <f>I25-J25</f>
        <v/>
      </c>
      <c r="L25" s="1079">
        <f>(J25-I25)*'Steel Price Forecast'!J103/10</f>
        <v/>
      </c>
      <c r="M25" s="394" t="n"/>
      <c r="N25" s="394" t="n"/>
    </row>
    <row r="26">
      <c r="F26" s="394" t="n"/>
      <c r="G26" s="394" t="n"/>
      <c r="H26" s="394" t="n"/>
      <c r="I26" s="394" t="n"/>
      <c r="J26" s="394" t="n"/>
      <c r="K26" s="394" t="n"/>
      <c r="L26" s="394" t="n"/>
      <c r="M26" s="394" t="n"/>
      <c r="N26" s="394" t="n"/>
    </row>
    <row r="27">
      <c r="A27" s="394" t="n"/>
      <c r="B27" s="394" t="n"/>
      <c r="C27" s="394" t="n"/>
      <c r="D27" s="394" t="n"/>
      <c r="E27" s="394" t="n"/>
      <c r="F27" s="394" t="n"/>
      <c r="G27" s="394" t="n"/>
      <c r="H27" s="394" t="n"/>
      <c r="I27" s="394" t="n"/>
      <c r="J27" s="394" t="n"/>
      <c r="K27" s="394" t="n"/>
      <c r="L27" s="394" t="n"/>
      <c r="M27" s="394" t="n"/>
      <c r="N27" s="394" t="n"/>
    </row>
    <row r="28" ht="15.6" customHeight="1" s="632">
      <c r="A28" s="608" t="inlineStr">
        <is>
          <t>Export Destination Analysis</t>
        </is>
      </c>
      <c r="B28" s="699" t="n"/>
      <c r="C28" s="699" t="n"/>
      <c r="D28" s="699" t="n"/>
      <c r="E28" s="612" t="n"/>
      <c r="F28" s="608" t="inlineStr">
        <is>
          <t>Import Source Analysis</t>
        </is>
      </c>
      <c r="G28" s="699" t="n"/>
      <c r="H28" s="699" t="n"/>
      <c r="I28" s="699" t="n"/>
      <c r="J28" s="394" t="n"/>
      <c r="K28" s="394" t="n"/>
      <c r="L28" s="394" t="n"/>
      <c r="M28" s="394" t="n"/>
      <c r="N28" s="394" t="n"/>
    </row>
    <row r="29">
      <c r="A29" s="539" t="inlineStr">
        <is>
          <t>Region</t>
        </is>
      </c>
      <c r="B29" s="539" t="inlineStr">
        <is>
          <t>FY26A</t>
        </is>
      </c>
      <c r="C29" s="539" t="inlineStr">
        <is>
          <t>FY33E</t>
        </is>
      </c>
      <c r="D29" s="539" t="inlineStr">
        <is>
          <t>Share</t>
        </is>
      </c>
      <c r="E29" s="394" t="n"/>
      <c r="F29" s="539" t="inlineStr">
        <is>
          <t>Region</t>
        </is>
      </c>
      <c r="G29" s="539" t="inlineStr">
        <is>
          <t>FY26A</t>
        </is>
      </c>
      <c r="H29" s="539" t="inlineStr">
        <is>
          <t>FY33E</t>
        </is>
      </c>
      <c r="I29" s="539" t="inlineStr">
        <is>
          <t>Share</t>
        </is>
      </c>
      <c r="J29" s="394" t="n"/>
      <c r="K29" s="707" t="inlineStr">
        <is>
          <t>Ref</t>
        </is>
      </c>
      <c r="L29" s="394" t="n"/>
      <c r="M29" s="394" t="n"/>
      <c r="N29" s="394" t="n"/>
    </row>
    <row r="30">
      <c r="A30" s="670" t="inlineStr">
        <is>
          <t>Europe</t>
        </is>
      </c>
      <c r="B30" s="1128">
        <f>$C$78*D30</f>
        <v/>
      </c>
      <c r="C30" s="1128">
        <f>$J$78*D30</f>
        <v/>
      </c>
      <c r="D30" s="1129" t="n">
        <v>0.344</v>
      </c>
      <c r="E30" s="394" t="n"/>
      <c r="F30" s="670" t="inlineStr">
        <is>
          <t>China</t>
        </is>
      </c>
      <c r="G30" s="1130">
        <f>$C$76*I30</f>
        <v/>
      </c>
      <c r="H30" s="1130">
        <f>$J$76*I30</f>
        <v/>
      </c>
      <c r="I30" s="1131" t="n">
        <v>0.235</v>
      </c>
      <c r="J30" s="394" t="n"/>
      <c r="K30" s="708" t="inlineStr">
        <is>
          <t>TM02</t>
        </is>
      </c>
      <c r="L30" s="394" t="n"/>
      <c r="M30" s="394" t="n"/>
      <c r="N30" s="394" t="n"/>
    </row>
    <row r="31">
      <c r="A31" s="670" t="inlineStr">
        <is>
          <t>Middle East</t>
        </is>
      </c>
      <c r="B31" s="1128">
        <f>$C$78*D31</f>
        <v/>
      </c>
      <c r="C31" s="1128">
        <f>$J$78*D31</f>
        <v/>
      </c>
      <c r="D31" s="1129" t="n">
        <v>0.074</v>
      </c>
      <c r="E31" s="394" t="n"/>
      <c r="F31" s="670" t="inlineStr">
        <is>
          <t>Japan</t>
        </is>
      </c>
      <c r="G31" s="1130">
        <f>$C$76*I31</f>
        <v/>
      </c>
      <c r="H31" s="1130">
        <f>$J$76*I31</f>
        <v/>
      </c>
      <c r="I31" s="1131" t="n">
        <v>0.202</v>
      </c>
      <c r="J31" s="394" t="n"/>
      <c r="K31" s="394" t="n"/>
      <c r="L31" s="394" t="n"/>
      <c r="M31" s="394" t="n"/>
      <c r="N31" s="394" t="n"/>
    </row>
    <row r="32">
      <c r="A32" s="670" t="inlineStr">
        <is>
          <t>Southeast Asia</t>
        </is>
      </c>
      <c r="B32" s="1128">
        <f>$C$78*D32</f>
        <v/>
      </c>
      <c r="C32" s="1128">
        <f>$J$78*D32</f>
        <v/>
      </c>
      <c r="D32" s="1129" t="n">
        <v>0.117</v>
      </c>
      <c r="E32" s="394" t="n"/>
      <c r="F32" s="670" t="inlineStr">
        <is>
          <t>South Korea</t>
        </is>
      </c>
      <c r="G32" s="1130">
        <f>$C$76*I32</f>
        <v/>
      </c>
      <c r="H32" s="1130">
        <f>$J$76*I32</f>
        <v/>
      </c>
      <c r="I32" s="1131" t="n">
        <v>0.354</v>
      </c>
      <c r="J32" s="394" t="n"/>
      <c r="K32" s="394" t="n"/>
      <c r="L32" s="394" t="n"/>
      <c r="M32" s="394" t="n"/>
      <c r="N32" s="394" t="n"/>
    </row>
    <row r="33">
      <c r="A33" s="670" t="inlineStr">
        <is>
          <t>North America</t>
        </is>
      </c>
      <c r="B33" s="955" t="n"/>
      <c r="C33" s="955" t="n"/>
      <c r="D33" s="955" t="n"/>
      <c r="E33" s="394" t="n"/>
      <c r="F33" s="670" t="inlineStr">
        <is>
          <t>Vietnam</t>
        </is>
      </c>
      <c r="G33" s="1103" t="n"/>
      <c r="H33" s="1103" t="n"/>
      <c r="I33" s="1103" t="n"/>
      <c r="J33" s="394" t="n"/>
      <c r="K33" s="394" t="n"/>
      <c r="L33" s="394" t="n"/>
      <c r="M33" s="394" t="n"/>
      <c r="N33" s="394" t="n"/>
    </row>
    <row r="34">
      <c r="A34" s="670" t="inlineStr">
        <is>
          <t>Africa</t>
        </is>
      </c>
      <c r="B34" s="955" t="n"/>
      <c r="C34" s="955" t="n"/>
      <c r="D34" s="955" t="n"/>
      <c r="E34" s="394" t="n"/>
      <c r="F34" s="670" t="inlineStr">
        <is>
          <t>Indonesia</t>
        </is>
      </c>
      <c r="G34" s="1103" t="n"/>
      <c r="H34" s="1103" t="n"/>
      <c r="I34" s="1103" t="n"/>
      <c r="J34" s="394" t="n"/>
      <c r="K34" s="394" t="n"/>
      <c r="L34" s="394" t="n"/>
      <c r="M34" s="394" t="n"/>
      <c r="N34" s="394" t="n"/>
    </row>
    <row r="35">
      <c r="A35" s="670" t="inlineStr">
        <is>
          <t>Others</t>
        </is>
      </c>
      <c r="B35" s="1128">
        <f>$C$78*D35</f>
        <v/>
      </c>
      <c r="C35" s="1128">
        <f>$J$78*D35</f>
        <v/>
      </c>
      <c r="D35" s="954">
        <f>1-SUM(D30:D34)</f>
        <v/>
      </c>
      <c r="E35" s="394" t="n"/>
      <c r="F35" s="670" t="inlineStr">
        <is>
          <t>Others</t>
        </is>
      </c>
      <c r="G35" s="1132">
        <f>$C$76*I35</f>
        <v/>
      </c>
      <c r="H35" s="1132">
        <f>$J$76*I35</f>
        <v/>
      </c>
      <c r="I35" s="1092">
        <f>1-SUM(I30:I34)</f>
        <v/>
      </c>
      <c r="J35" s="394" t="n"/>
      <c r="K35" s="394" t="n"/>
      <c r="L35" s="394" t="n"/>
      <c r="M35" s="394" t="n"/>
      <c r="N35" s="394" t="n"/>
    </row>
    <row r="36">
      <c r="A36" s="683" t="n"/>
      <c r="B36" s="596" t="n"/>
      <c r="C36" s="596" t="n"/>
      <c r="D36" s="596" t="n"/>
      <c r="E36" s="394" t="n"/>
      <c r="F36" s="394" t="n"/>
      <c r="G36" s="394" t="n"/>
      <c r="H36" s="394" t="n"/>
      <c r="I36" s="394" t="n"/>
      <c r="J36" s="394" t="n"/>
      <c r="K36" s="394" t="n"/>
      <c r="L36" s="394" t="n"/>
      <c r="M36" s="394" t="n"/>
      <c r="N36" s="394" t="n"/>
    </row>
    <row r="37">
      <c r="A37" s="683" t="n"/>
      <c r="B37" s="596" t="n"/>
      <c r="C37" s="596" t="n"/>
      <c r="D37" s="596" t="n"/>
      <c r="E37" s="394" t="n"/>
      <c r="F37" s="394" t="n"/>
      <c r="G37" s="394" t="n"/>
      <c r="H37" s="394" t="n"/>
      <c r="I37" s="394" t="n"/>
      <c r="J37" s="394" t="n"/>
      <c r="K37" s="394" t="n"/>
      <c r="L37" s="394" t="n"/>
      <c r="M37" s="394" t="n"/>
      <c r="N37" s="394" t="n"/>
    </row>
    <row r="38" ht="15.6" customHeight="1" s="632">
      <c r="A38" s="612" t="inlineStr">
        <is>
          <t>Trade Drivers</t>
        </is>
      </c>
      <c r="I38" s="394" t="n"/>
      <c r="J38" s="394" t="n"/>
      <c r="K38" s="394" t="n"/>
      <c r="L38" s="394" t="n"/>
      <c r="M38" s="394" t="n"/>
      <c r="N38" s="394" t="n"/>
    </row>
    <row r="39">
      <c r="A39" s="539" t="inlineStr">
        <is>
          <t>Driver</t>
        </is>
      </c>
      <c r="B39" s="539" t="inlineStr">
        <is>
          <t>FY27E</t>
        </is>
      </c>
      <c r="C39" s="539" t="inlineStr">
        <is>
          <t>FY28E</t>
        </is>
      </c>
      <c r="D39" s="539" t="inlineStr">
        <is>
          <t>FY29E</t>
        </is>
      </c>
      <c r="E39" s="539" t="inlineStr">
        <is>
          <t>FY30E</t>
        </is>
      </c>
      <c r="F39" s="539" t="inlineStr">
        <is>
          <t>FY31E</t>
        </is>
      </c>
      <c r="G39" s="539" t="inlineStr">
        <is>
          <t>FY32E</t>
        </is>
      </c>
      <c r="H39" s="539" t="inlineStr">
        <is>
          <t>FY33E</t>
        </is>
      </c>
      <c r="I39" s="394" t="n"/>
      <c r="J39" s="707" t="inlineStr">
        <is>
          <t>Ref</t>
        </is>
      </c>
      <c r="K39" s="394" t="n"/>
      <c r="L39" s="394" t="n"/>
      <c r="M39" s="394" t="n"/>
      <c r="N39" s="394" t="n"/>
    </row>
    <row r="40">
      <c r="A40" s="670" t="inlineStr">
        <is>
          <t>Domestic Demand</t>
        </is>
      </c>
      <c r="B40" s="828">
        <f>'Steel Demand Model'!$D$116</f>
        <v/>
      </c>
      <c r="C40" s="828">
        <f>'Steel Demand Model'!$E$116</f>
        <v/>
      </c>
      <c r="D40" s="828">
        <f>'Steel Demand Model'!$F$116</f>
        <v/>
      </c>
      <c r="E40" s="828">
        <f>'Steel Demand Model'!$G$116</f>
        <v/>
      </c>
      <c r="F40" s="828">
        <f>'Steel Demand Model'!$H$116</f>
        <v/>
      </c>
      <c r="G40" s="828">
        <f>'Steel Demand Model'!$I$116</f>
        <v/>
      </c>
      <c r="H40" s="828">
        <f>'Steel Demand Model'!$J$116</f>
        <v/>
      </c>
      <c r="I40" s="394" t="n"/>
      <c r="J40" s="394" t="n"/>
      <c r="K40" s="394" t="n"/>
      <c r="L40" s="394" t="n"/>
      <c r="M40" s="394" t="n"/>
      <c r="N40" s="394" t="n"/>
    </row>
    <row r="41">
      <c r="A41" s="670" t="inlineStr">
        <is>
          <t>Domestic Supply</t>
        </is>
      </c>
      <c r="B41" s="828">
        <f>'Steel Supply Model'!$D$101</f>
        <v/>
      </c>
      <c r="C41" s="828">
        <f>'Steel Supply Model'!$E$101</f>
        <v/>
      </c>
      <c r="D41" s="828">
        <f>'Steel Supply Model'!$F$101</f>
        <v/>
      </c>
      <c r="E41" s="828">
        <f>'Steel Supply Model'!$G$101</f>
        <v/>
      </c>
      <c r="F41" s="828">
        <f>'Steel Supply Model'!$H$101</f>
        <v/>
      </c>
      <c r="G41" s="828">
        <f>'Steel Supply Model'!$I$101</f>
        <v/>
      </c>
      <c r="H41" s="828">
        <f>'Steel Supply Model'!$J$101</f>
        <v/>
      </c>
      <c r="I41" s="394" t="n"/>
      <c r="J41" s="394" t="n"/>
      <c r="K41" s="394" t="n"/>
      <c r="L41" s="394" t="n"/>
      <c r="M41" s="394" t="n"/>
      <c r="N41" s="394" t="n"/>
    </row>
    <row r="42">
      <c r="A42" s="670" t="inlineStr">
        <is>
          <t>Global Steel Prices</t>
        </is>
      </c>
      <c r="B42" s="955" t="n"/>
      <c r="C42" s="955" t="n"/>
      <c r="D42" s="955" t="n"/>
      <c r="E42" s="955" t="n"/>
      <c r="F42" s="955" t="n"/>
      <c r="G42" s="955" t="n"/>
      <c r="H42" s="955" t="n"/>
      <c r="I42" s="394" t="n"/>
      <c r="J42" s="708" t="inlineStr">
        <is>
          <t>TM18</t>
        </is>
      </c>
      <c r="K42" s="394" t="n"/>
      <c r="L42" s="394" t="n"/>
      <c r="M42" s="394" t="n"/>
      <c r="N42" s="394" t="n"/>
    </row>
    <row r="43">
      <c r="A43" s="670" t="inlineStr">
        <is>
          <t>Domestic Steel Prices</t>
        </is>
      </c>
      <c r="B43" s="997">
        <f>'Steel Price Forecast'!$D$103</f>
        <v/>
      </c>
      <c r="C43" s="997">
        <f>'Steel Price Forecast'!$E$103</f>
        <v/>
      </c>
      <c r="D43" s="997">
        <f>'Steel Price Forecast'!$F$103</f>
        <v/>
      </c>
      <c r="E43" s="997">
        <f>'Steel Price Forecast'!$G$103</f>
        <v/>
      </c>
      <c r="F43" s="997">
        <f>'Steel Price Forecast'!$H$103</f>
        <v/>
      </c>
      <c r="G43" s="997">
        <f>'Steel Price Forecast'!$I$103</f>
        <v/>
      </c>
      <c r="H43" s="997">
        <f>'Steel Price Forecast'!$J$103</f>
        <v/>
      </c>
      <c r="I43" s="394" t="n"/>
      <c r="J43" s="394" t="n"/>
      <c r="K43" s="394" t="n"/>
      <c r="L43" s="394" t="n"/>
      <c r="M43" s="394" t="n"/>
      <c r="N43" s="394" t="n"/>
    </row>
    <row r="44">
      <c r="A44" s="670" t="inlineStr">
        <is>
          <t>USD/INR</t>
        </is>
      </c>
      <c r="B44" s="828">
        <f>'Model Assumptions'!E$10</f>
        <v/>
      </c>
      <c r="C44" s="828">
        <f>'Model Assumptions'!F$10</f>
        <v/>
      </c>
      <c r="D44" s="828">
        <f>'Model Assumptions'!G$10</f>
        <v/>
      </c>
      <c r="E44" s="828">
        <f>'Model Assumptions'!H$10</f>
        <v/>
      </c>
      <c r="F44" s="828">
        <f>'Model Assumptions'!I$10</f>
        <v/>
      </c>
      <c r="G44" s="828">
        <f>'Model Assumptions'!J$10</f>
        <v/>
      </c>
      <c r="H44" s="828">
        <f>'Model Assumptions'!K$10</f>
        <v/>
      </c>
      <c r="I44" s="394" t="n"/>
      <c r="J44" s="394" t="n"/>
      <c r="K44" s="394" t="n"/>
      <c r="L44" s="394" t="n"/>
      <c r="M44" s="394" t="n"/>
      <c r="N44" s="394" t="n"/>
    </row>
    <row r="45">
      <c r="A45" s="670" t="inlineStr">
        <is>
          <t>Freight Costs</t>
        </is>
      </c>
      <c r="B45" s="955" t="n"/>
      <c r="C45" s="955" t="n"/>
      <c r="D45" s="955" t="n"/>
      <c r="E45" s="955" t="n"/>
      <c r="F45" s="955" t="n"/>
      <c r="G45" s="955" t="n"/>
      <c r="H45" s="955" t="n"/>
      <c r="I45" s="394" t="n"/>
      <c r="J45" s="708" t="inlineStr">
        <is>
          <t>TM18</t>
        </is>
      </c>
      <c r="K45" s="394" t="n"/>
      <c r="L45" s="394" t="n"/>
      <c r="M45" s="394" t="n"/>
      <c r="N45" s="394" t="n"/>
    </row>
    <row r="46">
      <c r="A46" s="670" t="inlineStr">
        <is>
          <t>Trade Policies</t>
        </is>
      </c>
      <c r="B46" s="875">
        <f>$D$88</f>
        <v/>
      </c>
      <c r="C46" s="875">
        <f>$E$88</f>
        <v/>
      </c>
      <c r="D46" s="875">
        <f>$F$88</f>
        <v/>
      </c>
      <c r="E46" s="875">
        <f>$G$88</f>
        <v/>
      </c>
      <c r="F46" s="875">
        <f>$H$88</f>
        <v/>
      </c>
      <c r="G46" s="875">
        <f>$I$88</f>
        <v/>
      </c>
      <c r="H46" s="875">
        <f>$J$88</f>
        <v/>
      </c>
      <c r="I46" s="394" t="n"/>
      <c r="J46" s="708" t="inlineStr">
        <is>
          <t>TM03</t>
        </is>
      </c>
      <c r="K46" s="394" t="n"/>
      <c r="L46" s="394" t="n"/>
      <c r="M46" s="394" t="n"/>
      <c r="N46" s="394" t="n"/>
    </row>
    <row r="47">
      <c r="A47" s="670" t="inlineStr">
        <is>
          <t>Anti-Dumping Duties</t>
        </is>
      </c>
      <c r="B47" s="955" t="n"/>
      <c r="C47" s="955" t="n"/>
      <c r="D47" s="955" t="n"/>
      <c r="E47" s="955" t="n"/>
      <c r="F47" s="955" t="n"/>
      <c r="G47" s="955" t="n"/>
      <c r="H47" s="955" t="n"/>
      <c r="I47" s="394" t="n"/>
      <c r="J47" s="708" t="inlineStr">
        <is>
          <t>TM18</t>
        </is>
      </c>
      <c r="K47" s="394" t="n"/>
      <c r="L47" s="394" t="n"/>
      <c r="M47" s="394" t="n"/>
      <c r="N47" s="394" t="n"/>
    </row>
    <row r="48">
      <c r="A48" s="683" t="n"/>
      <c r="B48" s="596" t="n"/>
      <c r="C48" s="596" t="n"/>
      <c r="D48" s="596" t="n"/>
      <c r="E48" s="394" t="n"/>
      <c r="F48" s="394" t="n"/>
      <c r="G48" s="394" t="n"/>
      <c r="H48" s="394" t="n"/>
      <c r="I48" s="394" t="n"/>
      <c r="J48" s="394" t="n"/>
      <c r="K48" s="394" t="n"/>
      <c r="L48" s="394" t="n"/>
      <c r="M48" s="394" t="n"/>
      <c r="N48" s="394" t="n"/>
    </row>
    <row r="49">
      <c r="A49" s="683" t="n"/>
      <c r="B49" s="596" t="n"/>
      <c r="C49" s="596" t="n"/>
      <c r="D49" s="596" t="n"/>
      <c r="E49" s="394" t="n"/>
      <c r="F49" s="394" t="n"/>
      <c r="G49" s="394" t="n"/>
      <c r="H49" s="394" t="n"/>
      <c r="I49" s="394" t="n"/>
      <c r="J49" s="394" t="n"/>
      <c r="K49" s="394" t="n"/>
      <c r="L49" s="394" t="n"/>
      <c r="M49" s="394" t="n"/>
      <c r="N49" s="394" t="n"/>
    </row>
    <row r="50" ht="15.6" customHeight="1" s="632">
      <c r="A50" s="612" t="inlineStr">
        <is>
          <t>Price Competitiveness</t>
        </is>
      </c>
      <c r="I50" s="394" t="n"/>
      <c r="J50" s="394" t="n"/>
      <c r="K50" s="394" t="n"/>
      <c r="L50" s="394" t="n"/>
      <c r="M50" s="394" t="n"/>
      <c r="N50" s="394" t="n"/>
    </row>
    <row r="51">
      <c r="A51" s="539" t="inlineStr">
        <is>
          <t>Metric</t>
        </is>
      </c>
      <c r="B51" s="539" t="inlineStr">
        <is>
          <t>FY26A</t>
        </is>
      </c>
      <c r="C51" s="539" t="inlineStr">
        <is>
          <t>FY27E</t>
        </is>
      </c>
      <c r="D51" s="539" t="inlineStr">
        <is>
          <t>FY28E</t>
        </is>
      </c>
      <c r="E51" s="539" t="inlineStr">
        <is>
          <t>FY29E</t>
        </is>
      </c>
      <c r="F51" s="539" t="inlineStr">
        <is>
          <t>FY30E</t>
        </is>
      </c>
      <c r="G51" s="539" t="inlineStr">
        <is>
          <t>FY31E</t>
        </is>
      </c>
      <c r="H51" s="539" t="inlineStr">
        <is>
          <t>FY32E</t>
        </is>
      </c>
      <c r="I51" s="539" t="inlineStr">
        <is>
          <t>FY33E</t>
        </is>
      </c>
      <c r="J51" s="394" t="n"/>
      <c r="K51" s="707" t="inlineStr">
        <is>
          <t>Ref</t>
        </is>
      </c>
      <c r="L51" s="394" t="n"/>
      <c r="M51" s="394" t="n"/>
      <c r="N51" s="394" t="n"/>
    </row>
    <row r="52">
      <c r="A52" s="670" t="inlineStr">
        <is>
          <t>India HRC Price</t>
        </is>
      </c>
      <c r="B52" s="997">
        <f>'Steel Price Forecast'!$B$9</f>
        <v/>
      </c>
      <c r="C52" s="997">
        <f>'Steel Price Forecast'!$C$9</f>
        <v/>
      </c>
      <c r="D52" s="997">
        <f>'Steel Price Forecast'!$D$9</f>
        <v/>
      </c>
      <c r="E52" s="997">
        <f>'Steel Price Forecast'!$E$9</f>
        <v/>
      </c>
      <c r="F52" s="997">
        <f>'Steel Price Forecast'!$F$9</f>
        <v/>
      </c>
      <c r="G52" s="997">
        <f>'Steel Price Forecast'!$G$9</f>
        <v/>
      </c>
      <c r="H52" s="997">
        <f>'Steel Price Forecast'!$H$9</f>
        <v/>
      </c>
      <c r="I52" s="997">
        <f>'Steel Price Forecast'!$I$9</f>
        <v/>
      </c>
      <c r="J52" s="394" t="n"/>
      <c r="K52" s="394" t="n"/>
      <c r="L52" s="394" t="n"/>
      <c r="M52" s="394" t="n"/>
      <c r="N52" s="394" t="n"/>
    </row>
    <row r="53">
      <c r="A53" s="670" t="inlineStr">
        <is>
          <t>China HRC Price</t>
        </is>
      </c>
      <c r="B53" s="1005" t="n">
        <v>48580</v>
      </c>
      <c r="C53" s="1002">
        <f>$B$53</f>
        <v/>
      </c>
      <c r="D53" s="1002">
        <f>$B$53</f>
        <v/>
      </c>
      <c r="E53" s="1002">
        <f>$B$53</f>
        <v/>
      </c>
      <c r="F53" s="1002">
        <f>$B$53</f>
        <v/>
      </c>
      <c r="G53" s="1002">
        <f>$B$53</f>
        <v/>
      </c>
      <c r="H53" s="1002">
        <f>$B$53</f>
        <v/>
      </c>
      <c r="I53" s="1002">
        <f>$B$53</f>
        <v/>
      </c>
      <c r="J53" s="394" t="n"/>
      <c r="K53" s="394" t="n"/>
      <c r="L53" s="394" t="n"/>
      <c r="M53" s="394" t="n"/>
      <c r="N53" s="394" t="n"/>
    </row>
    <row r="54">
      <c r="A54" s="670" t="inlineStr">
        <is>
          <t>Price Spread</t>
        </is>
      </c>
      <c r="B54" s="1002">
        <f>B52-B53</f>
        <v/>
      </c>
      <c r="C54" s="1002">
        <f>C52-C53</f>
        <v/>
      </c>
      <c r="D54" s="1002">
        <f>D52-D53</f>
        <v/>
      </c>
      <c r="E54" s="1002">
        <f>E52-E53</f>
        <v/>
      </c>
      <c r="F54" s="1002">
        <f>F52-F53</f>
        <v/>
      </c>
      <c r="G54" s="1002">
        <f>G52-G53</f>
        <v/>
      </c>
      <c r="H54" s="1002">
        <f>H52-H53</f>
        <v/>
      </c>
      <c r="I54" s="1002">
        <f>I52-I53</f>
        <v/>
      </c>
      <c r="J54" s="394" t="n"/>
      <c r="K54" s="708" t="inlineStr">
        <is>
          <t>TM04</t>
        </is>
      </c>
      <c r="L54" s="394" t="n"/>
      <c r="M54" s="394" t="n"/>
      <c r="N54" s="394" t="n"/>
    </row>
    <row r="55">
      <c r="A55" s="670" t="inlineStr">
        <is>
          <t>Export Competitiveness</t>
        </is>
      </c>
      <c r="B55" s="1122">
        <f>IF(B54&lt;0,"Competitive - India below China",IF(B54&lt;5000,"Broadly at parity","Uncompetitive on price"))</f>
        <v/>
      </c>
      <c r="C55" s="1122">
        <f>IF(C54&lt;0,"Competitive - India below China",IF(C54&lt;5000,"Broadly at parity","Uncompetitive on price"))</f>
        <v/>
      </c>
      <c r="D55" s="1122">
        <f>IF(D54&lt;0,"Competitive - India below China",IF(D54&lt;5000,"Broadly at parity","Uncompetitive on price"))</f>
        <v/>
      </c>
      <c r="E55" s="1122">
        <f>IF(E54&lt;0,"Competitive - India below China",IF(E54&lt;5000,"Broadly at parity","Uncompetitive on price"))</f>
        <v/>
      </c>
      <c r="F55" s="1122">
        <f>IF(F54&lt;0,"Competitive - India below China",IF(F54&lt;5000,"Broadly at parity","Uncompetitive on price"))</f>
        <v/>
      </c>
      <c r="G55" s="1122">
        <f>IF(G54&lt;0,"Competitive - India below China",IF(G54&lt;5000,"Broadly at parity","Uncompetitive on price"))</f>
        <v/>
      </c>
      <c r="H55" s="1122">
        <f>IF(H54&lt;0,"Competitive - India below China",IF(H54&lt;5000,"Broadly at parity","Uncompetitive on price"))</f>
        <v/>
      </c>
      <c r="I55" s="1122">
        <f>IF(I54&lt;0,"Competitive - India below China",IF(I54&lt;5000,"Broadly at parity","Uncompetitive on price"))</f>
        <v/>
      </c>
      <c r="J55" s="394" t="n"/>
      <c r="K55" s="394" t="n"/>
      <c r="L55" s="394" t="n"/>
      <c r="M55" s="394" t="n"/>
      <c r="N55" s="394" t="n"/>
    </row>
    <row r="56">
      <c r="A56" s="670" t="inlineStr">
        <is>
          <t>Import Attractiveness</t>
        </is>
      </c>
      <c r="B56" s="1122">
        <f>IF(B54&gt;7500,"High - imports attractive",IF(B54&gt;3000,"Moderate","Low"))</f>
        <v/>
      </c>
      <c r="C56" s="1122">
        <f>IF(C54&gt;7500,"High - imports attractive",IF(C54&gt;3000,"Moderate","Low"))</f>
        <v/>
      </c>
      <c r="D56" s="1122">
        <f>IF(D54&gt;7500,"High - imports attractive",IF(D54&gt;3000,"Moderate","Low"))</f>
        <v/>
      </c>
      <c r="E56" s="1122">
        <f>IF(E54&gt;7500,"High - imports attractive",IF(E54&gt;3000,"Moderate","Low"))</f>
        <v/>
      </c>
      <c r="F56" s="1122">
        <f>IF(F54&gt;7500,"High - imports attractive",IF(F54&gt;3000,"Moderate","Low"))</f>
        <v/>
      </c>
      <c r="G56" s="1122">
        <f>IF(G54&gt;7500,"High - imports attractive",IF(G54&gt;3000,"Moderate","Low"))</f>
        <v/>
      </c>
      <c r="H56" s="1122">
        <f>IF(H54&gt;7500,"High - imports attractive",IF(H54&gt;3000,"Moderate","Low"))</f>
        <v/>
      </c>
      <c r="I56" s="1122">
        <f>IF(I54&gt;7500,"High - imports attractive",IF(I54&gt;3000,"Moderate","Low"))</f>
        <v/>
      </c>
      <c r="J56" s="394" t="n"/>
      <c r="K56" s="394" t="n"/>
      <c r="L56" s="394" t="n"/>
      <c r="M56" s="394" t="n"/>
      <c r="N56" s="394" t="n"/>
    </row>
    <row r="57">
      <c r="A57" s="683" t="n"/>
      <c r="B57" s="596" t="n"/>
      <c r="C57" s="596" t="n"/>
      <c r="D57" s="596" t="n"/>
      <c r="E57" s="394" t="n"/>
      <c r="F57" s="394" t="n"/>
      <c r="G57" s="394" t="n"/>
      <c r="H57" s="394" t="n"/>
      <c r="I57" s="394" t="n"/>
      <c r="J57" s="394" t="n"/>
      <c r="K57" s="394" t="n"/>
      <c r="L57" s="394" t="n"/>
      <c r="M57" s="394" t="n"/>
      <c r="N57" s="394" t="n"/>
    </row>
    <row r="58">
      <c r="A58" s="683" t="n"/>
      <c r="B58" s="596" t="n"/>
      <c r="C58" s="596" t="n"/>
      <c r="D58" s="596" t="n"/>
      <c r="E58" s="394" t="n"/>
      <c r="F58" s="394" t="n"/>
      <c r="G58" s="394" t="n"/>
      <c r="H58" s="394" t="n"/>
      <c r="I58" s="394" t="n"/>
      <c r="J58" s="394" t="n"/>
      <c r="K58" s="394" t="n"/>
      <c r="L58" s="394" t="n"/>
      <c r="M58" s="394" t="n"/>
      <c r="N58" s="394" t="n"/>
    </row>
    <row r="59" ht="15.6" customHeight="1" s="632">
      <c r="A59" s="612" t="inlineStr">
        <is>
          <t>Scenario Analysis</t>
        </is>
      </c>
      <c r="I59" s="394" t="n"/>
      <c r="J59" s="394" t="n"/>
      <c r="K59" s="394" t="n"/>
      <c r="L59" s="394" t="n"/>
      <c r="M59" s="394" t="n"/>
      <c r="N59" s="394" t="n"/>
    </row>
    <row r="60">
      <c r="A60" s="539" t="inlineStr">
        <is>
          <t>Year</t>
        </is>
      </c>
      <c r="B60" s="539" t="inlineStr">
        <is>
          <t>Base</t>
        </is>
      </c>
      <c r="C60" s="539" t="inlineStr">
        <is>
          <t>Bull</t>
        </is>
      </c>
      <c r="D60" s="539" t="inlineStr">
        <is>
          <t>Bear</t>
        </is>
      </c>
      <c r="E60" s="539" t="inlineStr">
        <is>
          <t>Stress</t>
        </is>
      </c>
      <c r="F60" s="394" t="n"/>
      <c r="G60" s="707" t="inlineStr">
        <is>
          <t>Ref</t>
        </is>
      </c>
      <c r="H60" s="394" t="n"/>
      <c r="I60" s="394" t="n"/>
      <c r="J60" s="394" t="n"/>
      <c r="K60" s="394" t="n"/>
      <c r="L60" s="394" t="n"/>
      <c r="M60" s="394" t="n"/>
      <c r="N60" s="394" t="n"/>
    </row>
    <row r="61">
      <c r="A61" s="670" t="inlineStr">
        <is>
          <t>Imports</t>
        </is>
      </c>
      <c r="B61" s="828">
        <f>'Scenario Manager'!$J$151</f>
        <v/>
      </c>
      <c r="C61" s="828">
        <f>'Scenario Manager'!$J$227</f>
        <v/>
      </c>
      <c r="D61" s="828">
        <f>'Scenario Manager'!$J$303</f>
        <v/>
      </c>
      <c r="E61" s="828">
        <f>'Scenario Manager'!$J$379</f>
        <v/>
      </c>
      <c r="F61" s="394" t="n"/>
      <c r="G61" s="394" t="n"/>
      <c r="H61" s="394" t="n"/>
      <c r="I61" s="394" t="n"/>
      <c r="J61" s="394" t="n"/>
      <c r="K61" s="394" t="n"/>
      <c r="L61" s="394" t="n"/>
      <c r="M61" s="394" t="n"/>
      <c r="N61" s="394" t="n"/>
    </row>
    <row r="62">
      <c r="A62" s="670" t="inlineStr">
        <is>
          <t>Exports</t>
        </is>
      </c>
      <c r="B62" s="828">
        <f>'Scenario Manager'!$J$152</f>
        <v/>
      </c>
      <c r="C62" s="828">
        <f>'Scenario Manager'!$J$228</f>
        <v/>
      </c>
      <c r="D62" s="828">
        <f>'Scenario Manager'!$J$304</f>
        <v/>
      </c>
      <c r="E62" s="828">
        <f>'Scenario Manager'!$J$380</f>
        <v/>
      </c>
      <c r="F62" s="394" t="n"/>
      <c r="G62" s="394" t="n"/>
      <c r="H62" s="394" t="n"/>
      <c r="I62" s="394" t="n"/>
      <c r="J62" s="394" t="n"/>
      <c r="K62" s="394" t="n"/>
      <c r="L62" s="394" t="n"/>
      <c r="M62" s="394" t="n"/>
      <c r="N62" s="394" t="n"/>
    </row>
    <row r="63">
      <c r="A63" s="670" t="inlineStr">
        <is>
          <t>Net Trade</t>
        </is>
      </c>
      <c r="B63" s="931">
        <f>B62-B61</f>
        <v/>
      </c>
      <c r="C63" s="931">
        <f>C62-C61</f>
        <v/>
      </c>
      <c r="D63" s="931">
        <f>D62-D61</f>
        <v/>
      </c>
      <c r="E63" s="931">
        <f>E62-E61</f>
        <v/>
      </c>
      <c r="F63" s="394" t="n"/>
      <c r="G63" s="708" t="inlineStr">
        <is>
          <t>TM05</t>
        </is>
      </c>
      <c r="H63" s="394" t="n"/>
      <c r="I63" s="394" t="n"/>
      <c r="J63" s="394" t="n"/>
      <c r="K63" s="394" t="n"/>
      <c r="L63" s="394" t="n"/>
      <c r="M63" s="394" t="n"/>
      <c r="N63" s="394" t="n"/>
    </row>
    <row r="64">
      <c r="A64" s="683" t="n"/>
      <c r="B64" s="596" t="n"/>
      <c r="C64" s="596" t="n"/>
      <c r="D64" s="596" t="n"/>
      <c r="E64" s="394" t="n"/>
      <c r="F64" s="394" t="n"/>
      <c r="G64" s="394" t="n"/>
      <c r="H64" s="394" t="n"/>
      <c r="I64" s="394" t="n"/>
      <c r="J64" s="394" t="n"/>
      <c r="K64" s="394" t="n"/>
      <c r="L64" s="394" t="n"/>
      <c r="M64" s="394" t="n"/>
      <c r="N64" s="394" t="n"/>
    </row>
    <row r="65">
      <c r="A65" s="683" t="n"/>
      <c r="B65" s="596" t="n"/>
      <c r="C65" s="596" t="n"/>
      <c r="D65" s="596" t="n"/>
      <c r="E65" s="394" t="n"/>
      <c r="F65" s="394" t="n"/>
      <c r="G65" s="394" t="n"/>
      <c r="H65" s="394" t="n"/>
      <c r="I65" s="394" t="n"/>
      <c r="J65" s="394" t="n"/>
      <c r="K65" s="394" t="n"/>
      <c r="L65" s="394" t="n"/>
      <c r="M65" s="394" t="n"/>
      <c r="N65" s="394" t="n"/>
    </row>
    <row r="66">
      <c r="A66" s="683" t="n"/>
      <c r="B66" s="596" t="n"/>
      <c r="C66" s="596" t="n"/>
      <c r="D66" s="596" t="n"/>
      <c r="E66" s="394" t="n"/>
      <c r="F66" s="394" t="n"/>
      <c r="G66" s="394" t="n"/>
      <c r="H66" s="394" t="n"/>
      <c r="I66" s="394" t="n"/>
      <c r="J66" s="394" t="n"/>
      <c r="K66" s="394" t="n"/>
      <c r="L66" s="394" t="n"/>
      <c r="M66" s="394" t="n"/>
      <c r="N66" s="394" t="n"/>
    </row>
    <row r="67">
      <c r="A67" s="683" t="n"/>
      <c r="B67" s="596" t="n"/>
      <c r="C67" s="596" t="n"/>
      <c r="D67" s="596" t="n"/>
      <c r="E67" s="394" t="n"/>
      <c r="F67" s="394" t="n"/>
      <c r="G67" s="394" t="n"/>
      <c r="H67" s="394" t="n"/>
      <c r="I67" s="394" t="n"/>
      <c r="J67" s="394" t="n"/>
      <c r="K67" s="394" t="n"/>
      <c r="L67" s="394" t="n"/>
      <c r="M67" s="394" t="n"/>
      <c r="N67" s="394" t="n"/>
    </row>
    <row r="68">
      <c r="A68" s="683" t="n"/>
      <c r="B68" s="596" t="n"/>
      <c r="C68" s="596" t="n"/>
      <c r="D68" s="596" t="n"/>
      <c r="E68" s="394" t="n"/>
      <c r="F68" s="394" t="n"/>
      <c r="G68" s="394" t="n"/>
      <c r="H68" s="394" t="n"/>
      <c r="I68" s="394" t="n"/>
      <c r="J68" s="394" t="n"/>
      <c r="K68" s="394" t="n"/>
      <c r="L68" s="394" t="n"/>
      <c r="M68" s="394" t="n"/>
      <c r="N68" s="394" t="n"/>
    </row>
    <row r="69">
      <c r="A69" s="683" t="n"/>
      <c r="B69" s="596" t="n"/>
      <c r="C69" s="596" t="n"/>
      <c r="D69" s="596" t="n"/>
      <c r="E69" s="394" t="n"/>
      <c r="F69" s="394" t="n"/>
      <c r="G69" s="394" t="n"/>
      <c r="H69" s="394" t="n"/>
      <c r="I69" s="394" t="n"/>
      <c r="J69" s="394" t="n"/>
      <c r="K69" s="394" t="n"/>
      <c r="L69" s="394" t="n"/>
      <c r="M69" s="394" t="n"/>
      <c r="N69" s="394" t="n"/>
    </row>
    <row r="70">
      <c r="A70" s="394" t="n"/>
      <c r="B70" s="394" t="n"/>
      <c r="C70" s="394" t="n"/>
      <c r="D70" s="394" t="n"/>
      <c r="E70" s="394" t="n"/>
      <c r="F70" s="394" t="n"/>
      <c r="G70" s="394" t="n"/>
      <c r="H70" s="394" t="n"/>
      <c r="I70" s="394" t="n"/>
      <c r="J70" s="394" t="n"/>
      <c r="K70" s="394" t="n"/>
      <c r="L70" s="394" t="n"/>
      <c r="M70" s="394" t="n"/>
      <c r="N70" s="394" t="n"/>
    </row>
    <row r="71">
      <c r="A71" s="394" t="n"/>
      <c r="B71" s="394" t="n"/>
      <c r="C71" s="394" t="n"/>
      <c r="D71" s="394" t="n"/>
      <c r="E71" s="394" t="n"/>
      <c r="F71" s="394" t="n"/>
      <c r="G71" s="394" t="n"/>
      <c r="H71" s="394" t="n"/>
      <c r="I71" s="394" t="n"/>
      <c r="J71" s="394" t="n"/>
      <c r="K71" s="394" t="n"/>
      <c r="L71" s="394" t="n"/>
      <c r="M71" s="394" t="n"/>
      <c r="N71" s="394" t="n"/>
    </row>
    <row r="72" ht="15" customHeight="1" s="632" thickBot="1">
      <c r="A72" s="415" t="n"/>
    </row>
    <row r="73">
      <c r="A73" s="63" t="inlineStr">
        <is>
          <t>Line item</t>
        </is>
      </c>
      <c r="B73" s="65" t="inlineStr">
        <is>
          <t>Unit</t>
        </is>
      </c>
      <c r="C73" s="65" t="inlineStr">
        <is>
          <t>FY2026A</t>
        </is>
      </c>
      <c r="D73" s="65" t="inlineStr">
        <is>
          <t>FY2027E</t>
        </is>
      </c>
      <c r="E73" s="65" t="inlineStr">
        <is>
          <t>FY2028E</t>
        </is>
      </c>
      <c r="F73" s="65" t="inlineStr">
        <is>
          <t>FY2029E</t>
        </is>
      </c>
      <c r="G73" s="65" t="inlineStr">
        <is>
          <t>FY2030E</t>
        </is>
      </c>
      <c r="H73" s="65" t="inlineStr">
        <is>
          <t>FY2031E</t>
        </is>
      </c>
      <c r="I73" s="65" t="inlineStr">
        <is>
          <t>FY2032E</t>
        </is>
      </c>
      <c r="J73" s="65" t="inlineStr">
        <is>
          <t>FY2033E</t>
        </is>
      </c>
      <c r="K73" s="65" t="inlineStr">
        <is>
          <t>CAGR</t>
        </is>
      </c>
      <c r="L73" s="409" t="inlineStr">
        <is>
          <t>Source</t>
        </is>
      </c>
      <c r="M73" s="65" t="inlineStr">
        <is>
          <t>Conf.</t>
        </is>
      </c>
      <c r="N73" s="410" t="inlineStr">
        <is>
          <t>Notes / methodology</t>
        </is>
      </c>
      <c r="P73" s="707" t="inlineStr">
        <is>
          <t>Ref</t>
        </is>
      </c>
    </row>
    <row r="74" ht="48" customHeight="1" s="632">
      <c r="A74" s="69" t="inlineStr">
        <is>
          <t>Finished steel imports - driver</t>
        </is>
      </c>
      <c r="B74" s="78" t="inlineStr">
        <is>
          <t>Mt</t>
        </is>
      </c>
      <c r="C74" s="907" t="n">
        <v>6.524</v>
      </c>
      <c r="D74" s="907">
        <f>'Model Assumptions'!E$28</f>
        <v/>
      </c>
      <c r="E74" s="907">
        <f>'Model Assumptions'!F$28</f>
        <v/>
      </c>
      <c r="F74" s="907">
        <f>'Model Assumptions'!G$28</f>
        <v/>
      </c>
      <c r="G74" s="907">
        <f>'Model Assumptions'!H$28</f>
        <v/>
      </c>
      <c r="H74" s="907">
        <f>'Model Assumptions'!I$28</f>
        <v/>
      </c>
      <c r="I74" s="907">
        <f>'Model Assumptions'!J$28</f>
        <v/>
      </c>
      <c r="J74" s="907">
        <f>'Model Assumptions'!K$28</f>
        <v/>
      </c>
      <c r="K74" s="45" t="n"/>
      <c r="L74" s="344" t="inlineStr">
        <is>
          <t>Derived from Master DB</t>
        </is>
      </c>
      <c r="M74" s="352" t="inlineStr">
        <is>
          <t>Medium</t>
        </is>
      </c>
      <c r="N74" s="345" t="inlineStr">
        <is>
          <t>FY2026A of 6.524 Mt, down 31.7% from 9.551 Mt as the safeguard duty bit. NOTE THE SCENARIO SIGNS: the BULL case carries HIGHER imports because strong demand pulls material in; the BEAR case carries LOWER imports because weak demand makes imports uncompetitive.</t>
        </is>
      </c>
      <c r="P74" s="708" t="inlineStr">
        <is>
          <t>TM06</t>
        </is>
      </c>
    </row>
    <row r="75" ht="27.6" customHeight="1" s="632">
      <c r="A75" s="69" t="inlineStr">
        <is>
          <t>Shortfall routed from supply ceiling</t>
        </is>
      </c>
      <c r="B75" s="78" t="inlineStr">
        <is>
          <t>Mt</t>
        </is>
      </c>
      <c r="C75" s="907" t="n">
        <v>0</v>
      </c>
      <c r="D75" s="907">
        <f>'Steel Supply Model'!D$102</f>
        <v/>
      </c>
      <c r="E75" s="907">
        <f>'Steel Supply Model'!E$102</f>
        <v/>
      </c>
      <c r="F75" s="907">
        <f>'Steel Supply Model'!F$102</f>
        <v/>
      </c>
      <c r="G75" s="907">
        <f>'Steel Supply Model'!G$102</f>
        <v/>
      </c>
      <c r="H75" s="907">
        <f>'Steel Supply Model'!H$102</f>
        <v/>
      </c>
      <c r="I75" s="907">
        <f>'Steel Supply Model'!I$102</f>
        <v/>
      </c>
      <c r="J75" s="907">
        <f>'Steel Supply Model'!J$102</f>
        <v/>
      </c>
      <c r="K75" s="45" t="n"/>
      <c r="L75" s="344" t="inlineStr">
        <is>
          <t>05 Supply</t>
        </is>
      </c>
      <c r="M75" s="352" t="inlineStr">
        <is>
          <t>High</t>
        </is>
      </c>
      <c r="N75" s="345" t="inlineStr">
        <is>
          <t>Non-zero only where the capacity ceiling binds.</t>
        </is>
      </c>
      <c r="P75" s="708" t="inlineStr">
        <is>
          <t>TM07</t>
        </is>
      </c>
    </row>
    <row r="76">
      <c r="A76" s="76" t="inlineStr">
        <is>
          <t>Total finished steel imports</t>
        </is>
      </c>
      <c r="B76" s="78" t="inlineStr">
        <is>
          <t>Mt</t>
        </is>
      </c>
      <c r="C76" s="905" t="n">
        <v>6.524</v>
      </c>
      <c r="D76" s="905">
        <f>D74+D75</f>
        <v/>
      </c>
      <c r="E76" s="905">
        <f>E74+E75</f>
        <v/>
      </c>
      <c r="F76" s="905">
        <f>F74+F75</f>
        <v/>
      </c>
      <c r="G76" s="905">
        <f>G74+G75</f>
        <v/>
      </c>
      <c r="H76" s="905">
        <f>H74+H75</f>
        <v/>
      </c>
      <c r="I76" s="905">
        <f>I74+I75</f>
        <v/>
      </c>
      <c r="J76" s="905">
        <f>J74+J75</f>
        <v/>
      </c>
      <c r="K76" s="45" t="n"/>
      <c r="L76" s="344" t="inlineStr">
        <is>
          <t>Computed</t>
        </is>
      </c>
      <c r="M76" s="352" t="inlineStr">
        <is>
          <t>Medium</t>
        </is>
      </c>
      <c r="N76" s="68" t="n"/>
      <c r="P76" s="708" t="inlineStr">
        <is>
          <t>TM08</t>
        </is>
      </c>
    </row>
    <row r="77">
      <c r="A77" s="69" t="inlineStr">
        <is>
          <t>Net finished steel exports</t>
        </is>
      </c>
      <c r="B77" s="78" t="inlineStr">
        <is>
          <t>Mt</t>
        </is>
      </c>
      <c r="C77" s="907" t="n">
        <v>0.078</v>
      </c>
      <c r="D77" s="907">
        <f>'Steel Supply Model'!D$90</f>
        <v/>
      </c>
      <c r="E77" s="907">
        <f>'Steel Supply Model'!E$90</f>
        <v/>
      </c>
      <c r="F77" s="907">
        <f>'Steel Supply Model'!F$90</f>
        <v/>
      </c>
      <c r="G77" s="907">
        <f>'Steel Supply Model'!G$90</f>
        <v/>
      </c>
      <c r="H77" s="907">
        <f>'Steel Supply Model'!H$90</f>
        <v/>
      </c>
      <c r="I77" s="907">
        <f>'Steel Supply Model'!I$90</f>
        <v/>
      </c>
      <c r="J77" s="907">
        <f>'Steel Supply Model'!J$90</f>
        <v/>
      </c>
      <c r="K77" s="45" t="n"/>
      <c r="L77" s="344" t="inlineStr">
        <is>
          <t>05 Supply</t>
        </is>
      </c>
      <c r="M77" s="352" t="inlineStr">
        <is>
          <t>Medium</t>
        </is>
      </c>
      <c r="N77" s="68" t="n"/>
      <c r="P77" s="708" t="inlineStr">
        <is>
          <t>TM09</t>
        </is>
      </c>
    </row>
    <row r="78" ht="24" customHeight="1" s="632">
      <c r="A78" s="76" t="inlineStr">
        <is>
          <t>Finished steel exports</t>
        </is>
      </c>
      <c r="B78" s="78" t="inlineStr">
        <is>
          <t>Mt</t>
        </is>
      </c>
      <c r="C78" s="905" t="n">
        <v>6.602</v>
      </c>
      <c r="D78" s="905">
        <f>D74+D77</f>
        <v/>
      </c>
      <c r="E78" s="905">
        <f>E74+E77</f>
        <v/>
      </c>
      <c r="F78" s="905">
        <f>F74+F77</f>
        <v/>
      </c>
      <c r="G78" s="905">
        <f>G74+G77</f>
        <v/>
      </c>
      <c r="H78" s="905">
        <f>H74+H77</f>
        <v/>
      </c>
      <c r="I78" s="905">
        <f>I74+I77</f>
        <v/>
      </c>
      <c r="J78" s="905">
        <f>J74+J77</f>
        <v/>
      </c>
      <c r="K78" s="45" t="n"/>
      <c r="L78" s="344" t="inlineStr">
        <is>
          <t>Computed</t>
        </is>
      </c>
      <c r="M78" s="352" t="inlineStr">
        <is>
          <t>Medium</t>
        </is>
      </c>
      <c r="N78" s="345" t="inlineStr">
        <is>
          <t>Derived as the import driver plus net exports, which guarantees the trade block reconciles to the supply balance on 05.</t>
        </is>
      </c>
      <c r="P78" s="708" t="inlineStr">
        <is>
          <t>TM10</t>
        </is>
      </c>
    </row>
    <row r="79" ht="15" customHeight="1" s="632" thickBot="1">
      <c r="A79" s="71" t="n"/>
      <c r="B79" s="83" t="n"/>
      <c r="C79" s="83" t="n"/>
      <c r="D79" s="83" t="n"/>
      <c r="E79" s="83" t="n"/>
      <c r="F79" s="83" t="n"/>
      <c r="G79" s="83" t="n"/>
      <c r="H79" s="83" t="n"/>
      <c r="I79" s="83" t="n"/>
      <c r="J79" s="83" t="n"/>
      <c r="K79" s="45" t="n"/>
      <c r="L79" s="45" t="n"/>
      <c r="M79" s="83" t="n"/>
      <c r="N79" s="68" t="n"/>
    </row>
    <row r="80">
      <c r="A80" s="1133" t="inlineStr">
        <is>
          <t>TRADE INTENSITY</t>
        </is>
      </c>
      <c r="B80" s="1134" t="n"/>
      <c r="C80" s="1134" t="n"/>
      <c r="D80" s="1134" t="n"/>
      <c r="E80" s="1134" t="n"/>
      <c r="F80" s="1134" t="n"/>
      <c r="G80" s="1134" t="n"/>
      <c r="H80" s="1134" t="n"/>
      <c r="I80" s="1134" t="n"/>
      <c r="J80" s="1134" t="n"/>
      <c r="K80" s="1134" t="n"/>
      <c r="L80" s="1134" t="n"/>
      <c r="M80" s="1134" t="n"/>
      <c r="N80" s="1135" t="n"/>
    </row>
    <row r="81">
      <c r="A81" s="69" t="inlineStr">
        <is>
          <t>Apparent consumption</t>
        </is>
      </c>
      <c r="B81" s="78" t="inlineStr">
        <is>
          <t>Mt</t>
        </is>
      </c>
      <c r="C81" s="907" t="n">
        <v>163.74</v>
      </c>
      <c r="D81" s="907">
        <f>'Steel Demand Model'!D$116</f>
        <v/>
      </c>
      <c r="E81" s="907">
        <f>'Steel Demand Model'!E$116</f>
        <v/>
      </c>
      <c r="F81" s="907">
        <f>'Steel Demand Model'!F$116</f>
        <v/>
      </c>
      <c r="G81" s="907">
        <f>'Steel Demand Model'!G$116</f>
        <v/>
      </c>
      <c r="H81" s="907">
        <f>'Steel Demand Model'!H$116</f>
        <v/>
      </c>
      <c r="I81" s="907">
        <f>'Steel Demand Model'!I$116</f>
        <v/>
      </c>
      <c r="J81" s="907">
        <f>'Steel Demand Model'!J$116</f>
        <v/>
      </c>
      <c r="K81" s="45" t="n"/>
      <c r="L81" s="344" t="inlineStr">
        <is>
          <t>04 Demand</t>
        </is>
      </c>
      <c r="M81" s="352" t="inlineStr">
        <is>
          <t>High</t>
        </is>
      </c>
      <c r="N81" s="68" t="n"/>
      <c r="P81" s="708" t="inlineStr">
        <is>
          <t>TM11</t>
        </is>
      </c>
    </row>
    <row r="82">
      <c r="A82" s="69" t="inlineStr">
        <is>
          <t>Finished steel production</t>
        </is>
      </c>
      <c r="B82" s="78" t="inlineStr">
        <is>
          <t>Mt</t>
        </is>
      </c>
      <c r="C82" s="907" t="n">
        <v>160.94</v>
      </c>
      <c r="D82" s="907">
        <f>'Steel Supply Model'!D$101</f>
        <v/>
      </c>
      <c r="E82" s="907">
        <f>'Steel Supply Model'!E$101</f>
        <v/>
      </c>
      <c r="F82" s="907">
        <f>'Steel Supply Model'!F$101</f>
        <v/>
      </c>
      <c r="G82" s="907">
        <f>'Steel Supply Model'!G$101</f>
        <v/>
      </c>
      <c r="H82" s="907">
        <f>'Steel Supply Model'!H$101</f>
        <v/>
      </c>
      <c r="I82" s="907">
        <f>'Steel Supply Model'!I$101</f>
        <v/>
      </c>
      <c r="J82" s="907">
        <f>'Steel Supply Model'!J$101</f>
        <v/>
      </c>
      <c r="K82" s="45" t="n"/>
      <c r="L82" s="344" t="inlineStr">
        <is>
          <t>05 Supply</t>
        </is>
      </c>
      <c r="M82" s="352" t="inlineStr">
        <is>
          <t>High</t>
        </is>
      </c>
      <c r="N82" s="68" t="n"/>
      <c r="P82" s="708" t="inlineStr">
        <is>
          <t>TM12</t>
        </is>
      </c>
    </row>
    <row r="83" ht="24" customHeight="1" s="632">
      <c r="A83" s="69" t="inlineStr">
        <is>
          <t>Import penetration</t>
        </is>
      </c>
      <c r="B83" s="78" t="inlineStr">
        <is>
          <t>% of consumption</t>
        </is>
      </c>
      <c r="C83" s="904" t="n">
        <v>0.03984365457432515</v>
      </c>
      <c r="D83" s="904">
        <f>D76/D81</f>
        <v/>
      </c>
      <c r="E83" s="904">
        <f>E76/E81</f>
        <v/>
      </c>
      <c r="F83" s="904">
        <f>F76/F81</f>
        <v/>
      </c>
      <c r="G83" s="904">
        <f>G76/G81</f>
        <v/>
      </c>
      <c r="H83" s="904">
        <f>H76/H81</f>
        <v/>
      </c>
      <c r="I83" s="904">
        <f>I76/I81</f>
        <v/>
      </c>
      <c r="J83" s="904">
        <f>J76/J81</f>
        <v/>
      </c>
      <c r="K83" s="45" t="n"/>
      <c r="L83" s="344" t="inlineStr">
        <is>
          <t>Computed</t>
        </is>
      </c>
      <c r="M83" s="352" t="inlineStr">
        <is>
          <t>Medium</t>
        </is>
      </c>
      <c r="N83" s="345" t="inlineStr">
        <is>
          <t>FY2026A of 4.0%, down from 6.3% in FY2025. Below roughly 5% is generally consistent with domestic producers retaining pricing power.</t>
        </is>
      </c>
      <c r="P83" s="708" t="inlineStr">
        <is>
          <t>TM13</t>
        </is>
      </c>
    </row>
    <row r="84" ht="24" customHeight="1" s="632">
      <c r="A84" s="69" t="inlineStr">
        <is>
          <t>Export intensity</t>
        </is>
      </c>
      <c r="B84" s="78" t="inlineStr">
        <is>
          <t>% of production</t>
        </is>
      </c>
      <c r="C84" s="904" t="n">
        <v>0.0410214986951659</v>
      </c>
      <c r="D84" s="904">
        <f>D78/D82</f>
        <v/>
      </c>
      <c r="E84" s="904">
        <f>E78/E82</f>
        <v/>
      </c>
      <c r="F84" s="904">
        <f>F78/F82</f>
        <v/>
      </c>
      <c r="G84" s="904">
        <f>G78/G82</f>
        <v/>
      </c>
      <c r="H84" s="904">
        <f>H78/H82</f>
        <v/>
      </c>
      <c r="I84" s="904">
        <f>I78/I82</f>
        <v/>
      </c>
      <c r="J84" s="904">
        <f>J78/J82</f>
        <v/>
      </c>
      <c r="K84" s="45" t="n"/>
      <c r="L84" s="344" t="inlineStr">
        <is>
          <t>Computed</t>
        </is>
      </c>
      <c r="M84" s="352" t="inlineStr">
        <is>
          <t>Medium</t>
        </is>
      </c>
      <c r="N84" s="345" t="inlineStr">
        <is>
          <t>FY2026A of 4.1%. India is fundamentally a domestic market, so global steel prices matter through the IMPORT channel rather than the export channel.</t>
        </is>
      </c>
      <c r="P84" s="708" t="inlineStr">
        <is>
          <t>TM14</t>
        </is>
      </c>
    </row>
    <row r="85" ht="36.6" customHeight="1" s="632" thickBot="1">
      <c r="A85" s="102" t="inlineStr">
        <is>
          <t>Net trade position</t>
        </is>
      </c>
      <c r="B85" s="79" t="inlineStr">
        <is>
          <t>Mt</t>
        </is>
      </c>
      <c r="C85" s="1136" t="n">
        <v>0.07800000000000029</v>
      </c>
      <c r="D85" s="1136">
        <f>D78-D76</f>
        <v/>
      </c>
      <c r="E85" s="1136">
        <f>E78-E76</f>
        <v/>
      </c>
      <c r="F85" s="1136">
        <f>F78-F76</f>
        <v/>
      </c>
      <c r="G85" s="1136">
        <f>G78-G76</f>
        <v/>
      </c>
      <c r="H85" s="1136">
        <f>H78-H76</f>
        <v/>
      </c>
      <c r="I85" s="1136">
        <f>I78-I76</f>
        <v/>
      </c>
      <c r="J85" s="1136">
        <f>J78-J76</f>
        <v/>
      </c>
      <c r="K85" s="74" t="n"/>
      <c r="L85" s="346" t="inlineStr">
        <is>
          <t>Computed</t>
        </is>
      </c>
      <c r="M85" s="353" t="inlineStr">
        <is>
          <t>Medium</t>
        </is>
      </c>
      <c r="N85" s="347" t="inlineStr">
        <is>
          <t>Positive equals net exporter. Determines whether the domestic price sets at import parity (net importer) or export parity (net exporter) - which drives the entire price deck.</t>
        </is>
      </c>
      <c r="P85" s="708" t="inlineStr">
        <is>
          <t>TM15</t>
        </is>
      </c>
    </row>
    <row r="86" ht="15" customHeight="1" s="632" thickBot="1"/>
    <row r="87">
      <c r="A87" s="1133" t="inlineStr">
        <is>
          <t>POLICY CONTEXT</t>
        </is>
      </c>
      <c r="B87" s="1134" t="n"/>
      <c r="C87" s="1134" t="n"/>
      <c r="D87" s="1134" t="n"/>
      <c r="E87" s="1134" t="n"/>
      <c r="F87" s="1134" t="n"/>
      <c r="G87" s="1134" t="n"/>
      <c r="H87" s="1134" t="n"/>
      <c r="I87" s="1134" t="n"/>
      <c r="J87" s="1134" t="n"/>
      <c r="K87" s="1134" t="n"/>
      <c r="L87" s="1134" t="n"/>
      <c r="M87" s="1134" t="n"/>
      <c r="N87" s="1135" t="n"/>
      <c r="P87" s="707" t="inlineStr">
        <is>
          <t>Ref</t>
        </is>
      </c>
    </row>
    <row r="88" ht="24.6" customHeight="1" s="632" thickBot="1">
      <c r="A88" s="72" t="inlineStr">
        <is>
          <t>Safeguard duty on flat products</t>
        </is>
      </c>
      <c r="B88" s="79" t="inlineStr">
        <is>
          <t>%</t>
        </is>
      </c>
      <c r="C88" s="910" t="n">
        <v>0.12</v>
      </c>
      <c r="D88" s="910" t="n">
        <v>0.115</v>
      </c>
      <c r="E88" s="910" t="n">
        <v>0.11</v>
      </c>
      <c r="F88" s="910" t="n">
        <v>0</v>
      </c>
      <c r="G88" s="910" t="n">
        <v>0</v>
      </c>
      <c r="H88" s="910" t="n">
        <v>0</v>
      </c>
      <c r="I88" s="910" t="n">
        <v>0</v>
      </c>
      <c r="J88" s="910" t="n">
        <v>0</v>
      </c>
      <c r="K88" s="74" t="n"/>
      <c r="L88" s="346" t="inlineStr">
        <is>
          <t>Master DB P03</t>
        </is>
      </c>
      <c r="M88" s="353" t="inlineStr">
        <is>
          <t>High</t>
        </is>
      </c>
      <c r="N88" s="347" t="inlineStr">
        <is>
          <t>Schedule, not a forecast. Expires 20-Apr-2028 subject to a mid-term review. Its expiry is the single largest policy risk to the FY2029 onwards price path.</t>
        </is>
      </c>
      <c r="P88" s="708" t="inlineStr">
        <is>
          <t>TM16</t>
        </is>
      </c>
    </row>
    <row r="89"/>
    <row r="90">
      <c r="A90" s="393" t="inlineStr">
        <is>
          <t>EU destinations - Italy, Belgium and Spain - were 34.4% of India's FY2026 exports, so the EU CBAM definitive regime that began 01-Jan-2026 bears on roughly a third of the export book. Quantified on 20 ESG Model.</t>
        </is>
      </c>
    </row>
  </sheetData>
  <mergeCells count="14">
    <mergeCell ref="A50:H50"/>
    <mergeCell ref="A7:I7"/>
    <mergeCell ref="A1:N1"/>
    <mergeCell ref="H17:L17"/>
    <mergeCell ref="A80:N80"/>
    <mergeCell ref="A59:H59"/>
    <mergeCell ref="A87:N87"/>
    <mergeCell ref="A38:H38"/>
    <mergeCell ref="A90:N90"/>
    <mergeCell ref="A2:G2"/>
    <mergeCell ref="A17:F17"/>
    <mergeCell ref="A5:N5"/>
    <mergeCell ref="A28:D28"/>
    <mergeCell ref="F28:I28"/>
  </mergeCells>
  <hyperlinks>
    <hyperlink ref="N24" location="'Audit Checks'!A596" tooltip="Open the reference register on 25 Audit Checks"/>
    <hyperlink ref="K30" location="'Audit Checks'!A596" tooltip="Open the reference register on 25 Audit Checks"/>
    <hyperlink ref="J42" location="'Audit Checks'!A596" tooltip="Open the reference register on 25 Audit Checks"/>
    <hyperlink ref="J45" location="'Audit Checks'!A596" tooltip="Open the reference register on 25 Audit Checks"/>
    <hyperlink ref="J46" location="'Audit Checks'!A596" tooltip="Open the reference register on 25 Audit Checks"/>
    <hyperlink ref="J47" location="'Audit Checks'!A596" tooltip="Open the reference register on 25 Audit Checks"/>
    <hyperlink ref="K54" location="'Audit Checks'!A596" tooltip="Open the reference register on 25 Audit Checks"/>
    <hyperlink ref="G63" location="'Audit Checks'!A596" tooltip="Open the reference register on 25 Audit Checks"/>
    <hyperlink ref="P74" location="'Audit Checks'!A596" tooltip="Open the reference register on 25 Audit Checks"/>
    <hyperlink ref="P75" location="'Audit Checks'!A596" tooltip="Open the reference register on 25 Audit Checks"/>
    <hyperlink ref="P76" location="'Audit Checks'!A596" tooltip="Open the reference register on 25 Audit Checks"/>
    <hyperlink ref="P77" location="'Audit Checks'!A596" tooltip="Open the reference register on 25 Audit Checks"/>
    <hyperlink ref="P78" location="'Audit Checks'!A596" tooltip="Open the reference register on 25 Audit Checks"/>
    <hyperlink ref="P81" location="'Audit Checks'!A596" tooltip="Open the reference register on 25 Audit Checks"/>
    <hyperlink ref="P82" location="'Audit Checks'!A596" tooltip="Open the reference register on 25 Audit Checks"/>
    <hyperlink ref="P83" location="'Audit Checks'!A596" tooltip="Open the reference register on 25 Audit Checks"/>
    <hyperlink ref="P84" location="'Audit Checks'!A596" tooltip="Open the reference register on 25 Audit Checks"/>
    <hyperlink ref="P85" location="'Audit Checks'!A596" tooltip="Open the reference register on 25 Audit Checks"/>
    <hyperlink ref="P88" location="'Audit Checks'!A596" tooltip="Open the reference register on 25 Audit Checks"/>
  </hyperlinks>
  <pageMargins left="0.7" right="0.7" top="0.75" bottom="0.75" header="0.3" footer="0.3"/>
  <drawing xmlns:r="http://schemas.openxmlformats.org/officeDocument/2006/relationships" r:id="rId1"/>
</worksheet>
</file>

<file path=xl/worksheets/sheet25.xml><?xml version="1.0" encoding="utf-8"?>
<worksheet xmlns="http://schemas.openxmlformats.org/spreadsheetml/2006/main">
  <sheetPr codeName="Sheet25">
    <tabColor rgb="FF002060"/>
    <outlinePr summaryBelow="1" summaryRight="1"/>
    <pageSetUpPr/>
  </sheetPr>
  <dimension ref="A1:P115"/>
  <sheetViews>
    <sheetView showGridLines="0" workbookViewId="0">
      <selection activeCell="A7" sqref="A7:I14"/>
    </sheetView>
  </sheetViews>
  <sheetFormatPr baseColWidth="8" defaultColWidth="34.6640625" defaultRowHeight="14.4"/>
  <cols>
    <col width="34.77734375" customWidth="1" style="690" min="1" max="1"/>
    <col width="12.109375" customWidth="1" style="129" min="2" max="9"/>
    <col width="7" customWidth="1" style="632" min="5" max="5"/>
    <col width="7" customWidth="1" style="632" min="6" max="6"/>
    <col width="10.5546875" customWidth="1" style="129" min="10" max="11"/>
    <col width="7" customWidth="1" style="632" min="11" max="11"/>
    <col width="10.5546875" bestFit="1" customWidth="1" style="129" min="12" max="12"/>
    <col width="6.5546875" bestFit="1" customWidth="1" style="690" min="13" max="13"/>
    <col width="46.109375" customWidth="1" style="690" min="14" max="14"/>
    <col width="34.6640625" customWidth="1" style="690" min="15" max="16384"/>
    <col width="7" customWidth="1" style="632" min="16" max="16"/>
  </cols>
  <sheetData>
    <row r="1" ht="25.8" customHeight="1" s="632">
      <c r="A1" s="365" t="inlineStr">
        <is>
          <t>ESG MODEL</t>
        </is>
      </c>
    </row>
    <row r="2">
      <c r="A2" s="494" t="inlineStr">
        <is>
          <t>Industry Financial Model  |  Indian Steel Industry  |  Horizon FY2027E-FY2033E  |  Base year FY2026A</t>
        </is>
      </c>
    </row>
    <row r="3">
      <c r="A3" s="415" t="n"/>
    </row>
    <row r="4">
      <c r="A4" s="411" t="inlineStr">
        <is>
          <t>OBJECTIVE</t>
        </is>
      </c>
    </row>
    <row r="5">
      <c r="A5" s="394" t="inlineStr">
        <is>
          <t>Forecast environmental, social, and governance trends and quantify their financial impact on the Indian steel industry.</t>
        </is>
      </c>
    </row>
    <row r="6">
      <c r="A6" s="394" t="n"/>
      <c r="B6" s="394" t="n"/>
      <c r="C6" s="394" t="n"/>
      <c r="D6" s="394" t="n"/>
      <c r="E6" s="394" t="n"/>
      <c r="F6" s="394" t="n"/>
      <c r="G6" s="394" t="n"/>
      <c r="H6" s="394" t="n"/>
      <c r="I6" s="394" t="n"/>
      <c r="J6" s="394" t="n"/>
      <c r="K6" s="394" t="n"/>
      <c r="L6" s="394" t="n"/>
      <c r="M6" s="394" t="n"/>
      <c r="N6" s="394" t="n"/>
    </row>
    <row r="7" ht="15.6" customHeight="1" s="632">
      <c r="A7" s="612" t="inlineStr">
        <is>
          <t>Executive Summary</t>
        </is>
      </c>
      <c r="J7" s="394" t="n"/>
      <c r="K7" s="394" t="n"/>
      <c r="L7" s="394" t="n"/>
      <c r="M7" s="394" t="n"/>
      <c r="N7" s="394" t="n"/>
    </row>
    <row r="8">
      <c r="A8" s="539" t="inlineStr">
        <is>
          <t>KPI</t>
        </is>
      </c>
      <c r="B8" s="544" t="inlineStr">
        <is>
          <t>FY26A</t>
        </is>
      </c>
      <c r="C8" s="544" t="inlineStr">
        <is>
          <t>FY27E</t>
        </is>
      </c>
      <c r="D8" s="544" t="inlineStr">
        <is>
          <t>FY28E</t>
        </is>
      </c>
      <c r="E8" s="544" t="inlineStr">
        <is>
          <t>FY29E</t>
        </is>
      </c>
      <c r="F8" s="544" t="inlineStr">
        <is>
          <t>FY30E</t>
        </is>
      </c>
      <c r="G8" s="544" t="inlineStr">
        <is>
          <t>FY31E</t>
        </is>
      </c>
      <c r="H8" s="544" t="inlineStr">
        <is>
          <t>FY32E</t>
        </is>
      </c>
      <c r="I8" s="544" t="inlineStr">
        <is>
          <t>FY33E</t>
        </is>
      </c>
      <c r="J8" s="394" t="n"/>
      <c r="K8" s="707" t="inlineStr">
        <is>
          <t>Ref</t>
        </is>
      </c>
      <c r="L8" s="394" t="n"/>
      <c r="M8" s="394" t="n"/>
      <c r="N8" s="394" t="n"/>
    </row>
    <row r="9">
      <c r="A9" s="670" t="inlineStr">
        <is>
          <t>ESG Score</t>
        </is>
      </c>
      <c r="B9" s="1137">
        <f>$C$72</f>
        <v/>
      </c>
      <c r="C9" s="1137">
        <f>$C$72</f>
        <v/>
      </c>
      <c r="D9" s="1137">
        <f>$C$72</f>
        <v/>
      </c>
      <c r="E9" s="1137">
        <f>$C$72</f>
        <v/>
      </c>
      <c r="F9" s="1137">
        <f>$C$72</f>
        <v/>
      </c>
      <c r="G9" s="1137">
        <f>$C$72</f>
        <v/>
      </c>
      <c r="H9" s="1137">
        <f>$C$72</f>
        <v/>
      </c>
      <c r="I9" s="1137">
        <f>$C$72</f>
        <v/>
      </c>
      <c r="J9" s="394" t="n"/>
      <c r="K9" s="708" t="inlineStr">
        <is>
          <t>ES02</t>
        </is>
      </c>
      <c r="L9" s="394" t="n"/>
      <c r="M9" s="394" t="n"/>
      <c r="N9" s="394" t="n"/>
    </row>
    <row r="10">
      <c r="A10" s="670" t="inlineStr">
        <is>
          <t>Carbon Intensity (tCO₂/t steel)</t>
        </is>
      </c>
      <c r="B10" s="1138">
        <f>$C$102</f>
        <v/>
      </c>
      <c r="C10" s="1138">
        <f>$D$102</f>
        <v/>
      </c>
      <c r="D10" s="1138">
        <f>$E$102</f>
        <v/>
      </c>
      <c r="E10" s="1138">
        <f>$F$102</f>
        <v/>
      </c>
      <c r="F10" s="1138">
        <f>$G$102</f>
        <v/>
      </c>
      <c r="G10" s="1138">
        <f>$H$102</f>
        <v/>
      </c>
      <c r="H10" s="1138">
        <f>$I$102</f>
        <v/>
      </c>
      <c r="I10" s="1138">
        <f>$J$102</f>
        <v/>
      </c>
      <c r="J10" s="394" t="n"/>
      <c r="K10" s="394" t="n"/>
      <c r="L10" s="394" t="n"/>
      <c r="M10" s="394" t="n"/>
      <c r="N10" s="394" t="n"/>
    </row>
    <row r="11">
      <c r="A11" s="670" t="inlineStr">
        <is>
          <t>Carbon Cost (₹ Cr)</t>
        </is>
      </c>
      <c r="B11" s="1102" t="n">
        <v>0</v>
      </c>
      <c r="C11" s="1098">
        <f>$D$112</f>
        <v/>
      </c>
      <c r="D11" s="1098">
        <f>$E$112</f>
        <v/>
      </c>
      <c r="E11" s="1098">
        <f>$F$112</f>
        <v/>
      </c>
      <c r="F11" s="1098">
        <f>$G$112</f>
        <v/>
      </c>
      <c r="G11" s="1098">
        <f>$H$112</f>
        <v/>
      </c>
      <c r="H11" s="1098">
        <f>$I$112</f>
        <v/>
      </c>
      <c r="I11" s="1098">
        <f>$J$112</f>
        <v/>
      </c>
      <c r="J11" s="394" t="n"/>
      <c r="K11" s="708" t="inlineStr">
        <is>
          <t>ES01</t>
        </is>
      </c>
      <c r="L11" s="394" t="n"/>
      <c r="M11" s="394" t="n"/>
      <c r="N11" s="394" t="n"/>
    </row>
    <row r="12">
      <c r="A12" s="670" t="inlineStr">
        <is>
          <t>ESG Capex (₹ Cr)</t>
        </is>
      </c>
      <c r="B12" s="1102" t="n">
        <v>0</v>
      </c>
      <c r="C12" s="1098">
        <f>$B$46</f>
        <v/>
      </c>
      <c r="D12" s="1098">
        <f>$C$46</f>
        <v/>
      </c>
      <c r="E12" s="1098">
        <f>$D$46</f>
        <v/>
      </c>
      <c r="F12" s="1098">
        <f>$E$46</f>
        <v/>
      </c>
      <c r="G12" s="1098">
        <f>$F$46</f>
        <v/>
      </c>
      <c r="H12" s="1098">
        <f>$G$46</f>
        <v/>
      </c>
      <c r="I12" s="1098">
        <f>$H$46</f>
        <v/>
      </c>
      <c r="J12" s="394" t="n"/>
      <c r="K12" s="708" t="inlineStr">
        <is>
          <t>ES02</t>
        </is>
      </c>
      <c r="L12" s="394" t="n"/>
      <c r="M12" s="394" t="n"/>
      <c r="N12" s="394" t="n"/>
    </row>
    <row r="13">
      <c r="A13" s="670" t="inlineStr">
        <is>
          <t>Renewable Energy (%)</t>
        </is>
      </c>
      <c r="B13" s="1091">
        <f>$B$21</f>
        <v/>
      </c>
      <c r="C13" s="1091">
        <f>$C$21</f>
        <v/>
      </c>
      <c r="D13" s="1091">
        <f>$D$21</f>
        <v/>
      </c>
      <c r="E13" s="1091">
        <f>$E$21</f>
        <v/>
      </c>
      <c r="F13" s="1091">
        <f>$F$21</f>
        <v/>
      </c>
      <c r="G13" s="1091">
        <f>$G$21</f>
        <v/>
      </c>
      <c r="H13" s="1091">
        <f>$H$21</f>
        <v/>
      </c>
      <c r="I13" s="1091">
        <f>$I$21</f>
        <v/>
      </c>
      <c r="J13" s="394" t="n"/>
      <c r="K13" s="708" t="inlineStr">
        <is>
          <t>ES02</t>
        </is>
      </c>
      <c r="L13" s="394" t="n"/>
      <c r="M13" s="394" t="n"/>
      <c r="N13" s="394" t="n"/>
    </row>
    <row r="14">
      <c r="A14" s="670" t="inlineStr">
        <is>
          <t>ESG Rating Trend</t>
        </is>
      </c>
      <c r="B14" s="1117">
        <f>IF(B20&lt;$C$98,"Improving - qualifies as green",IF(B20&lt;$C$99,"Improving","Stable - above the green threshold"))</f>
        <v/>
      </c>
      <c r="C14" s="1117">
        <f>IF(C20&lt;$C$98,"Improving - qualifies as green",IF(C20&lt;$C$99,"Improving","Stable - above the green threshold"))</f>
        <v/>
      </c>
      <c r="D14" s="1117">
        <f>IF(D20&lt;$C$98,"Improving - qualifies as green",IF(D20&lt;$C$99,"Improving","Stable - above the green threshold"))</f>
        <v/>
      </c>
      <c r="E14" s="1117">
        <f>IF(E20&lt;$C$98,"Improving - qualifies as green",IF(E20&lt;$C$99,"Improving","Stable - above the green threshold"))</f>
        <v/>
      </c>
      <c r="F14" s="1117">
        <f>IF(F20&lt;$C$98,"Improving - qualifies as green",IF(F20&lt;$C$99,"Improving","Stable - above the green threshold"))</f>
        <v/>
      </c>
      <c r="G14" s="1117">
        <f>IF(G20&lt;$C$98,"Improving - qualifies as green",IF(G20&lt;$C$99,"Improving","Stable - above the green threshold"))</f>
        <v/>
      </c>
      <c r="H14" s="1117">
        <f>IF(H20&lt;$C$98,"Improving - qualifies as green",IF(H20&lt;$C$99,"Improving","Stable - above the green threshold"))</f>
        <v/>
      </c>
      <c r="I14" s="1117">
        <f>IF(I20&lt;$C$98,"Improving - qualifies as green",IF(I20&lt;$C$99,"Improving","Stable - above the green threshold"))</f>
        <v/>
      </c>
      <c r="J14" s="394" t="n"/>
      <c r="K14" s="708" t="inlineStr">
        <is>
          <t>ES02</t>
        </is>
      </c>
      <c r="L14" s="394" t="n"/>
      <c r="M14" s="394" t="n"/>
      <c r="N14" s="394" t="n"/>
    </row>
    <row r="15">
      <c r="A15" s="394" t="n"/>
      <c r="B15" s="394" t="n"/>
      <c r="C15" s="394" t="n"/>
      <c r="D15" s="394" t="n"/>
      <c r="E15" s="394" t="n"/>
      <c r="F15" s="394" t="n"/>
      <c r="G15" s="394" t="n"/>
      <c r="H15" s="394" t="n"/>
      <c r="I15" s="394" t="n"/>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ht="15.6" customHeight="1" s="632">
      <c r="A17" s="612" t="inlineStr">
        <is>
          <t>Environmental KPIs</t>
        </is>
      </c>
      <c r="J17" s="394" t="n"/>
      <c r="K17" s="394" t="n"/>
      <c r="L17" s="394" t="n"/>
      <c r="M17" s="394" t="n"/>
      <c r="N17" s="394" t="n"/>
    </row>
    <row r="18">
      <c r="A18" s="539" t="inlineStr">
        <is>
          <t>KPI</t>
        </is>
      </c>
      <c r="B18" s="544" t="inlineStr">
        <is>
          <t>FY26A</t>
        </is>
      </c>
      <c r="C18" s="544" t="inlineStr">
        <is>
          <t>FY27E</t>
        </is>
      </c>
      <c r="D18" s="544" t="inlineStr">
        <is>
          <t>FY28E</t>
        </is>
      </c>
      <c r="E18" s="544" t="inlineStr">
        <is>
          <t>FY29E</t>
        </is>
      </c>
      <c r="F18" s="544" t="inlineStr">
        <is>
          <t>FY30E</t>
        </is>
      </c>
      <c r="G18" s="544" t="inlineStr">
        <is>
          <t>FY31E</t>
        </is>
      </c>
      <c r="H18" s="544" t="inlineStr">
        <is>
          <t>FY32E</t>
        </is>
      </c>
      <c r="I18" s="544" t="inlineStr">
        <is>
          <t>FY33E</t>
        </is>
      </c>
      <c r="J18" s="394" t="n"/>
      <c r="K18" s="707" t="inlineStr">
        <is>
          <t>Ref</t>
        </is>
      </c>
      <c r="L18" s="394" t="n"/>
      <c r="M18" s="394" t="n"/>
      <c r="N18" s="394" t="n"/>
    </row>
    <row r="19">
      <c r="A19" s="670" t="inlineStr">
        <is>
          <t>CO₂ Emissions (Mt)</t>
        </is>
      </c>
      <c r="B19" s="1139">
        <f>C102*'Steel Supply Model'!C101</f>
        <v/>
      </c>
      <c r="C19" s="1139">
        <f>D102*'Steel Supply Model'!D101</f>
        <v/>
      </c>
      <c r="D19" s="1139">
        <f>E102*'Steel Supply Model'!E101</f>
        <v/>
      </c>
      <c r="E19" s="1139">
        <f>F102*'Steel Supply Model'!F101</f>
        <v/>
      </c>
      <c r="F19" s="1139">
        <f>G102*'Steel Supply Model'!G101</f>
        <v/>
      </c>
      <c r="G19" s="1139">
        <f>H102*'Steel Supply Model'!H101</f>
        <v/>
      </c>
      <c r="H19" s="1139">
        <f>I102*'Steel Supply Model'!I101</f>
        <v/>
      </c>
      <c r="I19" s="1139">
        <f>J102*'Steel Supply Model'!J101</f>
        <v/>
      </c>
      <c r="J19" s="394" t="n"/>
      <c r="K19" s="708" t="inlineStr">
        <is>
          <t>ES09</t>
        </is>
      </c>
      <c r="L19" s="394" t="n"/>
      <c r="M19" s="394" t="n"/>
      <c r="N19" s="394" t="n"/>
    </row>
    <row r="20">
      <c r="A20" s="670" t="inlineStr">
        <is>
          <t>Carbon Intensity</t>
        </is>
      </c>
      <c r="B20" s="1138">
        <f>$C$102</f>
        <v/>
      </c>
      <c r="C20" s="1138">
        <f>$D$102</f>
        <v/>
      </c>
      <c r="D20" s="1138">
        <f>$E$102</f>
        <v/>
      </c>
      <c r="E20" s="1138">
        <f>$F$102</f>
        <v/>
      </c>
      <c r="F20" s="1138">
        <f>$G$102</f>
        <v/>
      </c>
      <c r="G20" s="1138">
        <f>$H$102</f>
        <v/>
      </c>
      <c r="H20" s="1138">
        <f>$I$102</f>
        <v/>
      </c>
      <c r="I20" s="1138">
        <f>$J$102</f>
        <v/>
      </c>
      <c r="J20" s="394" t="n"/>
      <c r="K20" s="394" t="n"/>
      <c r="L20" s="394" t="n"/>
      <c r="M20" s="394" t="n"/>
      <c r="N20" s="394" t="n"/>
    </row>
    <row r="21">
      <c r="A21" s="670" t="inlineStr">
        <is>
          <t>Renewable Energy Share</t>
        </is>
      </c>
      <c r="B21" s="1140" t="n">
        <v>0.06</v>
      </c>
      <c r="C21" s="1090">
        <f>$B$21+($I$21-$B$21)*1/7</f>
        <v/>
      </c>
      <c r="D21" s="1090">
        <f>$B$21+($I$21-$B$21)*2/7</f>
        <v/>
      </c>
      <c r="E21" s="1090">
        <f>$B$21+($I$21-$B$21)*3/7</f>
        <v/>
      </c>
      <c r="F21" s="1090">
        <f>$B$21+($I$21-$B$21)*4/7</f>
        <v/>
      </c>
      <c r="G21" s="1090">
        <f>$B$21+($I$21-$B$21)*5/7</f>
        <v/>
      </c>
      <c r="H21" s="1090">
        <f>$B$21+($I$21-$B$21)*6/7</f>
        <v/>
      </c>
      <c r="I21" s="1140" t="n">
        <v>0.25</v>
      </c>
      <c r="J21" s="394" t="n"/>
      <c r="K21" s="708" t="inlineStr">
        <is>
          <t>ES03</t>
        </is>
      </c>
      <c r="L21" s="394" t="n"/>
      <c r="M21" s="394" t="n"/>
      <c r="N21" s="394" t="n"/>
    </row>
    <row r="22">
      <c r="A22" s="670" t="inlineStr">
        <is>
          <t>Energy Consumption</t>
        </is>
      </c>
      <c r="B22" s="1141" t="n">
        <v>6</v>
      </c>
      <c r="C22" s="1142">
        <f>$B$22+($I$22-$B$22)*1/7</f>
        <v/>
      </c>
      <c r="D22" s="1142">
        <f>$B$22+($I$22-$B$22)*2/7</f>
        <v/>
      </c>
      <c r="E22" s="1142">
        <f>$B$22+($I$22-$B$22)*3/7</f>
        <v/>
      </c>
      <c r="F22" s="1142">
        <f>$B$22+($I$22-$B$22)*4/7</f>
        <v/>
      </c>
      <c r="G22" s="1142">
        <f>$B$22+($I$22-$B$22)*5/7</f>
        <v/>
      </c>
      <c r="H22" s="1142">
        <f>$B$22+($I$22-$B$22)*6/7</f>
        <v/>
      </c>
      <c r="I22" s="1141" t="n">
        <v>5.4</v>
      </c>
      <c r="J22" s="394" t="n"/>
      <c r="K22" s="708" t="inlineStr">
        <is>
          <t>ES04</t>
        </is>
      </c>
      <c r="L22" s="394" t="n"/>
      <c r="M22" s="394" t="n"/>
      <c r="N22" s="394" t="n"/>
    </row>
    <row r="23">
      <c r="A23" s="670" t="inlineStr">
        <is>
          <t>Water Consumption</t>
        </is>
      </c>
      <c r="B23" s="1141" t="n">
        <v>3.5</v>
      </c>
      <c r="C23" s="1142">
        <f>$B$23+($I$23-$B$23)*1/7</f>
        <v/>
      </c>
      <c r="D23" s="1142">
        <f>$B$23+($I$23-$B$23)*2/7</f>
        <v/>
      </c>
      <c r="E23" s="1142">
        <f>$B$23+($I$23-$B$23)*3/7</f>
        <v/>
      </c>
      <c r="F23" s="1142">
        <f>$B$23+($I$23-$B$23)*4/7</f>
        <v/>
      </c>
      <c r="G23" s="1142">
        <f>$B$23+($I$23-$B$23)*5/7</f>
        <v/>
      </c>
      <c r="H23" s="1142">
        <f>$B$23+($I$23-$B$23)*6/7</f>
        <v/>
      </c>
      <c r="I23" s="1141" t="n">
        <v>2.8</v>
      </c>
      <c r="J23" s="394" t="n"/>
      <c r="K23" s="708" t="inlineStr">
        <is>
          <t>ES05</t>
        </is>
      </c>
      <c r="L23" s="394" t="n"/>
      <c r="M23" s="394" t="n"/>
      <c r="N23" s="394" t="n"/>
    </row>
    <row r="24">
      <c r="A24" s="670" t="inlineStr">
        <is>
          <t>Water Recycling</t>
        </is>
      </c>
      <c r="B24" s="1120" t="n">
        <v>0.35</v>
      </c>
      <c r="C24" s="1143">
        <f>$B$24+($I$24-$B$24)*1/7</f>
        <v/>
      </c>
      <c r="D24" s="1143">
        <f>$B$24+($I$24-$B$24)*2/7</f>
        <v/>
      </c>
      <c r="E24" s="1143">
        <f>$B$24+($I$24-$B$24)*3/7</f>
        <v/>
      </c>
      <c r="F24" s="1143">
        <f>$B$24+($I$24-$B$24)*4/7</f>
        <v/>
      </c>
      <c r="G24" s="1143">
        <f>$B$24+($I$24-$B$24)*5/7</f>
        <v/>
      </c>
      <c r="H24" s="1143">
        <f>$B$24+($I$24-$B$24)*6/7</f>
        <v/>
      </c>
      <c r="I24" s="1120" t="n">
        <v>0.6</v>
      </c>
      <c r="J24" s="394" t="n"/>
      <c r="K24" s="708" t="inlineStr">
        <is>
          <t>ES06</t>
        </is>
      </c>
      <c r="L24" s="394" t="n"/>
      <c r="M24" s="394" t="n"/>
      <c r="N24" s="394" t="n"/>
    </row>
    <row r="25">
      <c r="A25" s="670" t="inlineStr">
        <is>
          <t>Waste Recycling</t>
        </is>
      </c>
      <c r="B25" s="1120" t="n">
        <v>0.85</v>
      </c>
      <c r="C25" s="1143">
        <f>$B$25+($I$25-$B$25)*1/7</f>
        <v/>
      </c>
      <c r="D25" s="1143">
        <f>$B$25+($I$25-$B$25)*2/7</f>
        <v/>
      </c>
      <c r="E25" s="1143">
        <f>$B$25+($I$25-$B$25)*3/7</f>
        <v/>
      </c>
      <c r="F25" s="1143">
        <f>$B$25+($I$25-$B$25)*4/7</f>
        <v/>
      </c>
      <c r="G25" s="1143">
        <f>$B$25+($I$25-$B$25)*5/7</f>
        <v/>
      </c>
      <c r="H25" s="1143">
        <f>$B$25+($I$25-$B$25)*6/7</f>
        <v/>
      </c>
      <c r="I25" s="1120" t="n">
        <v>0.95</v>
      </c>
      <c r="J25" s="394" t="n"/>
      <c r="K25" s="708" t="inlineStr">
        <is>
          <t>ES07</t>
        </is>
      </c>
      <c r="L25" s="394" t="n"/>
      <c r="M25" s="394" t="n"/>
      <c r="N25" s="394" t="n"/>
    </row>
    <row r="26">
      <c r="A26" s="670" t="inlineStr">
        <is>
          <t>Slag Utilisation</t>
        </is>
      </c>
      <c r="B26" s="1144" t="n">
        <v>0.75</v>
      </c>
      <c r="C26" s="1145">
        <f>$B$26+($I$26-$B$26)*1/7</f>
        <v/>
      </c>
      <c r="D26" s="1145">
        <f>$B$26+($I$26-$B$26)*2/7</f>
        <v/>
      </c>
      <c r="E26" s="1145">
        <f>$B$26+($I$26-$B$26)*3/7</f>
        <v/>
      </c>
      <c r="F26" s="1145">
        <f>$B$26+($I$26-$B$26)*4/7</f>
        <v/>
      </c>
      <c r="G26" s="1145">
        <f>$B$26+($I$26-$B$26)*5/7</f>
        <v/>
      </c>
      <c r="H26" s="1145">
        <f>$B$26+($I$26-$B$26)*6/7</f>
        <v/>
      </c>
      <c r="I26" s="1144" t="n">
        <v>0.95</v>
      </c>
      <c r="J26" s="394" t="n"/>
      <c r="K26" s="708" t="inlineStr">
        <is>
          <t>ES08</t>
        </is>
      </c>
      <c r="L26" s="394" t="n"/>
      <c r="M26" s="394" t="n"/>
      <c r="N26" s="394" t="n"/>
    </row>
    <row r="27">
      <c r="A27" s="394" t="n"/>
      <c r="B27" s="394" t="n"/>
      <c r="C27" s="394" t="n"/>
      <c r="D27" s="394" t="n"/>
      <c r="E27" s="394" t="n"/>
      <c r="F27" s="394" t="n"/>
      <c r="G27" s="394" t="n"/>
      <c r="H27" s="394" t="n"/>
      <c r="I27" s="394" t="n"/>
      <c r="J27" s="394" t="n"/>
      <c r="K27" s="394" t="n"/>
      <c r="L27" s="394" t="n"/>
      <c r="M27" s="394" t="n"/>
      <c r="N27" s="394" t="n"/>
    </row>
    <row r="28">
      <c r="A28" s="394" t="n"/>
      <c r="B28" s="394" t="n"/>
      <c r="C28" s="394" t="n"/>
      <c r="D28" s="394" t="n"/>
      <c r="E28" s="394" t="n"/>
      <c r="F28" s="394" t="n"/>
      <c r="G28" s="394" t="n"/>
      <c r="H28" s="394" t="n"/>
      <c r="I28" s="394" t="n"/>
      <c r="J28" s="394" t="n"/>
      <c r="K28" s="394" t="n"/>
      <c r="L28" s="394" t="n"/>
      <c r="M28" s="394" t="n"/>
      <c r="N28" s="394" t="n"/>
    </row>
    <row r="29" ht="15.6" customHeight="1" s="632">
      <c r="A29" s="608" t="inlineStr">
        <is>
          <t>Carbon Cost Forecast</t>
        </is>
      </c>
      <c r="B29" s="699" t="n"/>
      <c r="C29" s="699" t="n"/>
      <c r="D29" s="699" t="n"/>
      <c r="E29" s="699" t="n"/>
      <c r="F29" s="699" t="n"/>
      <c r="G29" s="699" t="n"/>
      <c r="H29" s="699" t="n"/>
      <c r="I29" s="612" t="n"/>
      <c r="J29" s="394" t="n"/>
      <c r="K29" s="394" t="n"/>
      <c r="L29" s="394" t="n"/>
      <c r="M29" s="394" t="n"/>
      <c r="N29" s="394" t="n"/>
    </row>
    <row r="30">
      <c r="A30" s="539" t="inlineStr">
        <is>
          <t>Item</t>
        </is>
      </c>
      <c r="B30" s="544" t="inlineStr">
        <is>
          <t>FY27E</t>
        </is>
      </c>
      <c r="C30" s="544" t="inlineStr">
        <is>
          <t>FY28E</t>
        </is>
      </c>
      <c r="D30" s="544" t="inlineStr">
        <is>
          <t>FY29E</t>
        </is>
      </c>
      <c r="E30" s="544" t="inlineStr">
        <is>
          <t>FY30E</t>
        </is>
      </c>
      <c r="F30" s="544" t="inlineStr">
        <is>
          <t>FY31E</t>
        </is>
      </c>
      <c r="G30" s="544" t="inlineStr">
        <is>
          <t>FY32E</t>
        </is>
      </c>
      <c r="H30" s="544" t="inlineStr">
        <is>
          <t>FY33E</t>
        </is>
      </c>
      <c r="J30" s="707" t="inlineStr">
        <is>
          <t>Ref</t>
        </is>
      </c>
      <c r="K30" s="394" t="n"/>
      <c r="L30" s="394" t="n"/>
      <c r="M30" s="394" t="n"/>
      <c r="N30" s="394" t="n"/>
    </row>
    <row r="31">
      <c r="A31" s="670" t="inlineStr">
        <is>
          <t>Carbon Price</t>
        </is>
      </c>
      <c r="B31" s="1056">
        <f>D104*D105</f>
        <v/>
      </c>
      <c r="C31" s="1056">
        <f>E104*E105</f>
        <v/>
      </c>
      <c r="D31" s="1056">
        <f>F104*F105</f>
        <v/>
      </c>
      <c r="E31" s="1056">
        <f>G104*G105</f>
        <v/>
      </c>
      <c r="F31" s="1056">
        <f>H104*H105</f>
        <v/>
      </c>
      <c r="G31" s="1056">
        <f>I104*I105</f>
        <v/>
      </c>
      <c r="H31" s="1056">
        <f>J104*J105</f>
        <v/>
      </c>
      <c r="J31" s="394" t="n"/>
      <c r="K31" s="394" t="n"/>
      <c r="L31" s="394" t="n"/>
      <c r="M31" s="394" t="n"/>
      <c r="N31" s="394" t="n"/>
    </row>
    <row r="32">
      <c r="A32" s="670" t="inlineStr">
        <is>
          <t>Emissions</t>
        </is>
      </c>
      <c r="B32" s="1146">
        <f>D110*D111</f>
        <v/>
      </c>
      <c r="C32" s="1146">
        <f>E110*E111</f>
        <v/>
      </c>
      <c r="D32" s="1146">
        <f>F110*F111</f>
        <v/>
      </c>
      <c r="E32" s="1146">
        <f>G110*G111</f>
        <v/>
      </c>
      <c r="F32" s="1146">
        <f>H110*H111</f>
        <v/>
      </c>
      <c r="G32" s="1146">
        <f>I110*I111</f>
        <v/>
      </c>
      <c r="H32" s="1146">
        <f>J110*J111</f>
        <v/>
      </c>
      <c r="J32" s="394" t="n"/>
      <c r="K32" s="394" t="n"/>
      <c r="L32" s="394" t="n"/>
      <c r="M32" s="394" t="n"/>
      <c r="N32" s="394" t="n"/>
    </row>
    <row r="33">
      <c r="A33" s="670" t="inlineStr">
        <is>
          <t>Gross Carbon Cost</t>
        </is>
      </c>
      <c r="B33" s="1098">
        <f>$D$112</f>
        <v/>
      </c>
      <c r="C33" s="1098">
        <f>$E$112</f>
        <v/>
      </c>
      <c r="D33" s="1098">
        <f>$F$112</f>
        <v/>
      </c>
      <c r="E33" s="1098">
        <f>$G$112</f>
        <v/>
      </c>
      <c r="F33" s="1098">
        <f>$H$112</f>
        <v/>
      </c>
      <c r="G33" s="1098">
        <f>$I$112</f>
        <v/>
      </c>
      <c r="H33" s="1098">
        <f>$J$112</f>
        <v/>
      </c>
      <c r="J33" s="394" t="n"/>
      <c r="K33" s="394" t="n"/>
      <c r="L33" s="394" t="n"/>
      <c r="M33" s="394" t="n"/>
      <c r="N33" s="394" t="n"/>
    </row>
    <row r="34">
      <c r="A34" s="670" t="inlineStr">
        <is>
          <t>Carbon Credits</t>
        </is>
      </c>
      <c r="B34" s="1102" t="n">
        <v>0</v>
      </c>
      <c r="C34" s="1102" t="n">
        <v>0</v>
      </c>
      <c r="D34" s="1102" t="n">
        <v>0</v>
      </c>
      <c r="E34" s="1102" t="n">
        <v>0</v>
      </c>
      <c r="F34" s="1102" t="n">
        <v>0</v>
      </c>
      <c r="G34" s="1102" t="n">
        <v>0</v>
      </c>
      <c r="H34" s="1102" t="n">
        <v>0</v>
      </c>
      <c r="J34" s="394" t="n"/>
      <c r="K34" s="394" t="n"/>
      <c r="L34" s="394" t="n"/>
      <c r="M34" s="394" t="n"/>
      <c r="N34" s="394" t="n"/>
    </row>
    <row r="35">
      <c r="A35" s="670" t="inlineStr">
        <is>
          <t>Net Carbon Cost</t>
        </is>
      </c>
      <c r="B35" s="1101">
        <f>B33-B34</f>
        <v/>
      </c>
      <c r="C35" s="1101">
        <f>C33-C34</f>
        <v/>
      </c>
      <c r="D35" s="1101">
        <f>D33-D34</f>
        <v/>
      </c>
      <c r="E35" s="1101">
        <f>E33-E34</f>
        <v/>
      </c>
      <c r="F35" s="1101">
        <f>F33-F34</f>
        <v/>
      </c>
      <c r="G35" s="1101">
        <f>G33-G34</f>
        <v/>
      </c>
      <c r="H35" s="1101">
        <f>H33-H34</f>
        <v/>
      </c>
      <c r="J35" s="708" t="inlineStr">
        <is>
          <t>ES10</t>
        </is>
      </c>
      <c r="K35" s="394" t="n"/>
      <c r="L35" s="394" t="n"/>
      <c r="M35" s="394" t="n"/>
      <c r="N35" s="394" t="n"/>
    </row>
    <row r="36">
      <c r="A36" s="394" t="n"/>
      <c r="B36" s="394" t="n"/>
      <c r="C36" s="394" t="n"/>
      <c r="D36" s="394" t="n"/>
      <c r="E36" s="394" t="n"/>
      <c r="F36" s="394" t="n"/>
      <c r="G36" s="394" t="n"/>
      <c r="H36" s="394" t="n"/>
      <c r="I36" s="394" t="n"/>
      <c r="J36" s="394" t="n"/>
      <c r="K36" s="394" t="n"/>
      <c r="L36" s="394" t="n"/>
      <c r="M36" s="394" t="n"/>
      <c r="N36" s="394" t="n"/>
    </row>
    <row r="37">
      <c r="A37" s="394" t="n"/>
      <c r="B37" s="394" t="n"/>
      <c r="C37" s="394" t="n"/>
      <c r="D37" s="394" t="n"/>
      <c r="E37" s="394" t="n"/>
      <c r="F37" s="394" t="n"/>
      <c r="G37" s="394" t="n"/>
      <c r="H37" s="394" t="n"/>
      <c r="I37" s="394" t="n"/>
      <c r="J37" s="394" t="n"/>
      <c r="K37" s="394" t="n"/>
      <c r="L37" s="394" t="n"/>
      <c r="M37" s="394" t="n"/>
      <c r="N37" s="394" t="n"/>
    </row>
    <row r="38" ht="15.6" customHeight="1" s="632">
      <c r="A38" s="608" t="inlineStr">
        <is>
          <t>ESG Capex</t>
        </is>
      </c>
      <c r="B38" s="699" t="n"/>
      <c r="C38" s="699" t="n"/>
      <c r="D38" s="699" t="n"/>
      <c r="E38" s="699" t="n"/>
      <c r="F38" s="699" t="n"/>
      <c r="G38" s="699" t="n"/>
      <c r="H38" s="699" t="n"/>
      <c r="I38" s="394" t="n"/>
      <c r="J38" s="394" t="n"/>
      <c r="K38" s="394" t="n"/>
      <c r="L38" s="394" t="n"/>
      <c r="M38" s="394" t="n"/>
      <c r="N38" s="394" t="n"/>
    </row>
    <row r="39">
      <c r="A39" s="539" t="inlineStr">
        <is>
          <t>Category</t>
        </is>
      </c>
      <c r="B39" s="544" t="inlineStr">
        <is>
          <t>FY27E</t>
        </is>
      </c>
      <c r="C39" s="544" t="inlineStr">
        <is>
          <t>FY28E</t>
        </is>
      </c>
      <c r="D39" s="544" t="inlineStr">
        <is>
          <t>FY29E</t>
        </is>
      </c>
      <c r="E39" s="544" t="inlineStr">
        <is>
          <t>FY30E</t>
        </is>
      </c>
      <c r="F39" s="544" t="inlineStr">
        <is>
          <t>FY31E</t>
        </is>
      </c>
      <c r="G39" s="544" t="inlineStr">
        <is>
          <t>FY32E</t>
        </is>
      </c>
      <c r="H39" s="544" t="inlineStr">
        <is>
          <t>FY33E</t>
        </is>
      </c>
      <c r="I39" s="394" t="n"/>
      <c r="J39" s="394" t="n"/>
      <c r="K39" s="394" t="n"/>
      <c r="L39" s="707" t="inlineStr">
        <is>
          <t>Ref</t>
        </is>
      </c>
      <c r="M39" s="394" t="n"/>
      <c r="N39" s="394" t="n"/>
    </row>
    <row r="40">
      <c r="A40" s="670" t="inlineStr">
        <is>
          <t>Decarbonisation</t>
        </is>
      </c>
      <c r="B40" s="1097">
        <f>$B$46*$J$40</f>
        <v/>
      </c>
      <c r="C40" s="1097">
        <f>$C$46*$J$40</f>
        <v/>
      </c>
      <c r="D40" s="1097">
        <f>$D$46*$J$40</f>
        <v/>
      </c>
      <c r="E40" s="1097">
        <f>$E$46*$J$40</f>
        <v/>
      </c>
      <c r="F40" s="1097">
        <f>$F$46*$J$40</f>
        <v/>
      </c>
      <c r="G40" s="1097">
        <f>$G$46*$J$40</f>
        <v/>
      </c>
      <c r="H40" s="1097">
        <f>$H$46*$J$40</f>
        <v/>
      </c>
      <c r="I40" s="394" t="n"/>
      <c r="J40" s="1111" t="n">
        <v>0.4</v>
      </c>
      <c r="K40" s="394" t="n"/>
      <c r="L40" s="708" t="inlineStr">
        <is>
          <t>ES11</t>
        </is>
      </c>
      <c r="M40" s="394" t="n"/>
      <c r="N40" s="394" t="n"/>
    </row>
    <row r="41">
      <c r="A41" s="670" t="inlineStr">
        <is>
          <t>Renewable Energy</t>
        </is>
      </c>
      <c r="B41" s="1097">
        <f>$B$46*$J$41</f>
        <v/>
      </c>
      <c r="C41" s="1097">
        <f>$C$46*$J$41</f>
        <v/>
      </c>
      <c r="D41" s="1097">
        <f>$D$46*$J$41</f>
        <v/>
      </c>
      <c r="E41" s="1097">
        <f>$E$46*$J$41</f>
        <v/>
      </c>
      <c r="F41" s="1097">
        <f>$F$46*$J$41</f>
        <v/>
      </c>
      <c r="G41" s="1097">
        <f>$G$46*$J$41</f>
        <v/>
      </c>
      <c r="H41" s="1097">
        <f>$H$46*$J$41</f>
        <v/>
      </c>
      <c r="I41" s="394" t="n"/>
      <c r="J41" s="1111" t="n">
        <v>0.22</v>
      </c>
      <c r="K41" s="394" t="n"/>
      <c r="L41" s="708" t="inlineStr">
        <is>
          <t>ES11</t>
        </is>
      </c>
      <c r="M41" s="394" t="n"/>
      <c r="N41" s="394" t="n"/>
    </row>
    <row r="42">
      <c r="A42" s="670" t="inlineStr">
        <is>
          <t>Energy Efficiency</t>
        </is>
      </c>
      <c r="B42" s="1097">
        <f>$B$46*$J$42</f>
        <v/>
      </c>
      <c r="C42" s="1097">
        <f>$C$46*$J$42</f>
        <v/>
      </c>
      <c r="D42" s="1097">
        <f>$D$46*$J$42</f>
        <v/>
      </c>
      <c r="E42" s="1097">
        <f>$E$46*$J$42</f>
        <v/>
      </c>
      <c r="F42" s="1097">
        <f>$F$46*$J$42</f>
        <v/>
      </c>
      <c r="G42" s="1097">
        <f>$G$46*$J$42</f>
        <v/>
      </c>
      <c r="H42" s="1097">
        <f>$H$46*$J$42</f>
        <v/>
      </c>
      <c r="I42" s="394" t="n"/>
      <c r="J42" s="1111" t="n">
        <v>0.15</v>
      </c>
      <c r="K42" s="394" t="n"/>
      <c r="L42" s="708" t="inlineStr">
        <is>
          <t>ES11</t>
        </is>
      </c>
      <c r="M42" s="394" t="n"/>
      <c r="N42" s="394" t="n"/>
    </row>
    <row r="43">
      <c r="A43" s="670" t="inlineStr">
        <is>
          <t>Water Projects</t>
        </is>
      </c>
      <c r="B43" s="1097">
        <f>$B$46*$J$43</f>
        <v/>
      </c>
      <c r="C43" s="1097">
        <f>$C$46*$J$43</f>
        <v/>
      </c>
      <c r="D43" s="1097">
        <f>$D$46*$J$43</f>
        <v/>
      </c>
      <c r="E43" s="1097">
        <f>$E$46*$J$43</f>
        <v/>
      </c>
      <c r="F43" s="1097">
        <f>$F$46*$J$43</f>
        <v/>
      </c>
      <c r="G43" s="1097">
        <f>$G$46*$J$43</f>
        <v/>
      </c>
      <c r="H43" s="1097">
        <f>$H$46*$J$43</f>
        <v/>
      </c>
      <c r="I43" s="394" t="n"/>
      <c r="J43" s="1111" t="n">
        <v>0.06</v>
      </c>
      <c r="K43" s="394" t="n"/>
      <c r="L43" s="708" t="inlineStr">
        <is>
          <t>ES11</t>
        </is>
      </c>
      <c r="M43" s="394" t="n"/>
      <c r="N43" s="394" t="n"/>
    </row>
    <row r="44">
      <c r="A44" s="670" t="inlineStr">
        <is>
          <t>Pollution Control</t>
        </is>
      </c>
      <c r="B44" s="1097">
        <f>$B$46*$J$44</f>
        <v/>
      </c>
      <c r="C44" s="1097">
        <f>$C$46*$J$44</f>
        <v/>
      </c>
      <c r="D44" s="1097">
        <f>$D$46*$J$44</f>
        <v/>
      </c>
      <c r="E44" s="1097">
        <f>$E$46*$J$44</f>
        <v/>
      </c>
      <c r="F44" s="1097">
        <f>$F$46*$J$44</f>
        <v/>
      </c>
      <c r="G44" s="1097">
        <f>$G$46*$J$44</f>
        <v/>
      </c>
      <c r="H44" s="1097">
        <f>$H$46*$J$44</f>
        <v/>
      </c>
      <c r="I44" s="394" t="n"/>
      <c r="J44" s="1111" t="n">
        <v>0.12</v>
      </c>
      <c r="K44" s="394" t="n"/>
      <c r="L44" s="708" t="inlineStr">
        <is>
          <t>ES11</t>
        </is>
      </c>
      <c r="M44" s="394" t="n"/>
      <c r="N44" s="394" t="n"/>
    </row>
    <row r="45">
      <c r="A45" s="670" t="inlineStr">
        <is>
          <t>Hydrogen Projects</t>
        </is>
      </c>
      <c r="B45" s="1097">
        <f>$B$46*$J$45</f>
        <v/>
      </c>
      <c r="C45" s="1097">
        <f>$C$46*$J$45</f>
        <v/>
      </c>
      <c r="D45" s="1097">
        <f>$D$46*$J$45</f>
        <v/>
      </c>
      <c r="E45" s="1097">
        <f>$E$46*$J$45</f>
        <v/>
      </c>
      <c r="F45" s="1097">
        <f>$F$46*$J$45</f>
        <v/>
      </c>
      <c r="G45" s="1097">
        <f>$G$46*$J$45</f>
        <v/>
      </c>
      <c r="H45" s="1097">
        <f>$H$46*$J$45</f>
        <v/>
      </c>
      <c r="I45" s="394" t="n"/>
      <c r="J45" s="1111" t="n">
        <v>0.05</v>
      </c>
      <c r="K45" s="394" t="n"/>
      <c r="L45" s="708" t="inlineStr">
        <is>
          <t>ES11</t>
        </is>
      </c>
      <c r="M45" s="394" t="n"/>
      <c r="N45" s="394" t="n"/>
    </row>
    <row r="46">
      <c r="A46" s="670" t="inlineStr">
        <is>
          <t>Total ESG Capex</t>
        </is>
      </c>
      <c r="B46" s="1101">
        <f>'Cash Flow Model'!D110*B47</f>
        <v/>
      </c>
      <c r="C46" s="1101">
        <f>'Cash Flow Model'!E110*C47</f>
        <v/>
      </c>
      <c r="D46" s="1101">
        <f>'Cash Flow Model'!F110*D47</f>
        <v/>
      </c>
      <c r="E46" s="1101">
        <f>'Cash Flow Model'!G110*E47</f>
        <v/>
      </c>
      <c r="F46" s="1101">
        <f>'Cash Flow Model'!H110*F47</f>
        <v/>
      </c>
      <c r="G46" s="1101">
        <f>'Cash Flow Model'!I110*G47</f>
        <v/>
      </c>
      <c r="H46" s="1101">
        <f>'Cash Flow Model'!J110*H47</f>
        <v/>
      </c>
      <c r="I46" s="394" t="n"/>
      <c r="J46" s="394" t="n"/>
      <c r="K46" s="394" t="n"/>
      <c r="L46" s="708" t="inlineStr">
        <is>
          <t>ES11</t>
        </is>
      </c>
      <c r="M46" s="394" t="n"/>
      <c r="N46" s="394" t="n"/>
    </row>
    <row r="47">
      <c r="A47" s="394" t="inlineStr">
        <is>
          <t>ESG capex as a share of total capex</t>
        </is>
      </c>
      <c r="B47" s="1111" t="n">
        <v>0.04</v>
      </c>
      <c r="C47" s="1111" t="n">
        <v>0.05</v>
      </c>
      <c r="D47" s="1111" t="n">
        <v>0.07000000000000001</v>
      </c>
      <c r="E47" s="1111" t="n">
        <v>0.09</v>
      </c>
      <c r="F47" s="1111" t="n">
        <v>0.11</v>
      </c>
      <c r="G47" s="1111" t="n">
        <v>0.12</v>
      </c>
      <c r="H47" s="1111" t="n">
        <v>0.12</v>
      </c>
      <c r="I47" s="394" t="n"/>
      <c r="J47" s="394" t="n"/>
      <c r="K47" s="394" t="n"/>
      <c r="L47" s="708" t="inlineStr">
        <is>
          <t>ES11</t>
        </is>
      </c>
      <c r="M47" s="394" t="n"/>
      <c r="N47" s="394" t="n"/>
    </row>
    <row r="48">
      <c r="A48" s="394" t="n"/>
      <c r="B48" s="394" t="n"/>
      <c r="C48" s="394" t="n"/>
      <c r="D48" s="394" t="n"/>
      <c r="E48" s="394" t="n"/>
      <c r="F48" s="394" t="n"/>
      <c r="G48" s="394" t="n"/>
      <c r="H48" s="394" t="n"/>
      <c r="I48" s="394" t="n"/>
      <c r="J48" s="394" t="n"/>
      <c r="K48" s="394" t="n"/>
      <c r="L48" s="394" t="n"/>
      <c r="M48" s="394" t="n"/>
      <c r="N48" s="394" t="n"/>
    </row>
    <row r="49" ht="15.6" customHeight="1" s="632">
      <c r="A49" s="608" t="inlineStr">
        <is>
          <t>Social Metrics</t>
        </is>
      </c>
      <c r="B49" s="699" t="n"/>
      <c r="C49" s="699" t="n"/>
      <c r="D49" s="699" t="n"/>
      <c r="E49" s="699" t="n"/>
      <c r="F49" s="699" t="n"/>
      <c r="G49" s="699" t="n"/>
      <c r="H49" s="699" t="n"/>
      <c r="I49" s="699" t="n"/>
      <c r="J49" s="394" t="n"/>
      <c r="K49" s="394" t="n"/>
      <c r="L49" s="394" t="n"/>
      <c r="M49" s="394" t="n"/>
      <c r="N49" s="394" t="n"/>
    </row>
    <row r="50">
      <c r="A50" s="539" t="inlineStr">
        <is>
          <t>KPIs</t>
        </is>
      </c>
      <c r="B50" s="544" t="inlineStr">
        <is>
          <t>FY26A</t>
        </is>
      </c>
      <c r="C50" s="544" t="inlineStr">
        <is>
          <t>FY27E</t>
        </is>
      </c>
      <c r="D50" s="544" t="inlineStr">
        <is>
          <t>FY28E</t>
        </is>
      </c>
      <c r="E50" s="544" t="inlineStr">
        <is>
          <t>FY29E</t>
        </is>
      </c>
      <c r="F50" s="544" t="inlineStr">
        <is>
          <t>FY30E</t>
        </is>
      </c>
      <c r="G50" s="544" t="inlineStr">
        <is>
          <t>FY31E</t>
        </is>
      </c>
      <c r="H50" s="544" t="inlineStr">
        <is>
          <t>FY32E</t>
        </is>
      </c>
      <c r="I50" s="544" t="inlineStr">
        <is>
          <t>FY33E</t>
        </is>
      </c>
      <c r="J50" s="394" t="n"/>
      <c r="K50" s="394" t="n"/>
      <c r="L50" s="707" t="inlineStr">
        <is>
          <t>Ref</t>
        </is>
      </c>
      <c r="M50" s="394" t="n"/>
      <c r="N50" s="394" t="n"/>
    </row>
    <row r="51">
      <c r="A51" s="670" t="inlineStr">
        <is>
          <t>Employees</t>
        </is>
      </c>
      <c r="B51" s="1147" t="n">
        <v>600000</v>
      </c>
      <c r="C51" s="1056">
        <f>$B$51*'Steel Supply Model'!D101/'Steel Supply Model'!$C$101*(1-$J$51)^1</f>
        <v/>
      </c>
      <c r="D51" s="1056">
        <f>$B$51*'Steel Supply Model'!E101/'Steel Supply Model'!$C$101*(1-$J$51)^2</f>
        <v/>
      </c>
      <c r="E51" s="1056">
        <f>$B$51*'Steel Supply Model'!F101/'Steel Supply Model'!$C$101*(1-$J$51)^3</f>
        <v/>
      </c>
      <c r="F51" s="1056">
        <f>$B$51*'Steel Supply Model'!G101/'Steel Supply Model'!$C$101*(1-$J$51)^4</f>
        <v/>
      </c>
      <c r="G51" s="1056">
        <f>$B$51*'Steel Supply Model'!H101/'Steel Supply Model'!$C$101*(1-$J$51)^5</f>
        <v/>
      </c>
      <c r="H51" s="1056">
        <f>$B$51*'Steel Supply Model'!I101/'Steel Supply Model'!$C$101*(1-$J$51)^6</f>
        <v/>
      </c>
      <c r="I51" s="1056">
        <f>$B$51*'Steel Supply Model'!J101/'Steel Supply Model'!$C$101*(1-$J$51)^7</f>
        <v/>
      </c>
      <c r="J51" s="1148" t="n">
        <v>0.02</v>
      </c>
      <c r="K51" s="394" t="n"/>
      <c r="L51" s="708" t="inlineStr">
        <is>
          <t>ES15</t>
        </is>
      </c>
      <c r="M51" s="394" t="n"/>
      <c r="N51" s="394" t="n"/>
    </row>
    <row r="52">
      <c r="A52" s="670" t="inlineStr">
        <is>
          <t>Lost Time Injury Frequency Rate</t>
        </is>
      </c>
      <c r="B52" s="1141" t="n">
        <v>0.4</v>
      </c>
      <c r="C52" s="1142">
        <f>$B$52+($I$52-$B$52)*1/7</f>
        <v/>
      </c>
      <c r="D52" s="1142">
        <f>$B$52+($I$52-$B$52)*2/7</f>
        <v/>
      </c>
      <c r="E52" s="1142">
        <f>$B$52+($I$52-$B$52)*3/7</f>
        <v/>
      </c>
      <c r="F52" s="1142">
        <f>$B$52+($I$52-$B$52)*4/7</f>
        <v/>
      </c>
      <c r="G52" s="1142">
        <f>$B$52+($I$52-$B$52)*5/7</f>
        <v/>
      </c>
      <c r="H52" s="1142">
        <f>$B$52+($I$52-$B$52)*6/7</f>
        <v/>
      </c>
      <c r="I52" s="1141" t="n">
        <v>0.2</v>
      </c>
      <c r="J52" s="394" t="n"/>
      <c r="K52" s="394" t="n"/>
      <c r="L52" s="708" t="inlineStr">
        <is>
          <t>ES12</t>
        </is>
      </c>
      <c r="M52" s="394" t="n"/>
      <c r="N52" s="394" t="n"/>
    </row>
    <row r="53">
      <c r="A53" s="670" t="inlineStr">
        <is>
          <t>Training Hours</t>
        </is>
      </c>
      <c r="B53" s="1149" t="n">
        <v>25</v>
      </c>
      <c r="C53" s="1139">
        <f>$B$53+($I$53-$B$53)*1/7</f>
        <v/>
      </c>
      <c r="D53" s="1139">
        <f>$B$53+($I$53-$B$53)*2/7</f>
        <v/>
      </c>
      <c r="E53" s="1139">
        <f>$B$53+($I$53-$B$53)*3/7</f>
        <v/>
      </c>
      <c r="F53" s="1139">
        <f>$B$53+($I$53-$B$53)*4/7</f>
        <v/>
      </c>
      <c r="G53" s="1139">
        <f>$B$53+($I$53-$B$53)*5/7</f>
        <v/>
      </c>
      <c r="H53" s="1139">
        <f>$B$53+($I$53-$B$53)*6/7</f>
        <v/>
      </c>
      <c r="I53" s="1149" t="n">
        <v>40</v>
      </c>
      <c r="J53" s="394" t="n"/>
      <c r="K53" s="394" t="n"/>
      <c r="L53" s="708" t="inlineStr">
        <is>
          <t>ES13</t>
        </is>
      </c>
      <c r="M53" s="394" t="n"/>
      <c r="N53" s="394" t="n"/>
    </row>
    <row r="54">
      <c r="A54" s="670" t="inlineStr">
        <is>
          <t>Diversity (%)</t>
        </is>
      </c>
      <c r="B54" s="1140" t="n">
        <v>0.12</v>
      </c>
      <c r="C54" s="1090">
        <f>$B$54+($I$54-$B$54)*1/7</f>
        <v/>
      </c>
      <c r="D54" s="1090">
        <f>$B$54+($I$54-$B$54)*2/7</f>
        <v/>
      </c>
      <c r="E54" s="1090">
        <f>$B$54+($I$54-$B$54)*3/7</f>
        <v/>
      </c>
      <c r="F54" s="1090">
        <f>$B$54+($I$54-$B$54)*4/7</f>
        <v/>
      </c>
      <c r="G54" s="1090">
        <f>$B$54+($I$54-$B$54)*5/7</f>
        <v/>
      </c>
      <c r="H54" s="1090">
        <f>$B$54+($I$54-$B$54)*6/7</f>
        <v/>
      </c>
      <c r="I54" s="1140" t="n">
        <v>0.2</v>
      </c>
      <c r="J54" s="394" t="n"/>
      <c r="K54" s="394" t="n"/>
      <c r="L54" s="708" t="inlineStr">
        <is>
          <t>ES14</t>
        </is>
      </c>
      <c r="M54" s="394" t="n"/>
      <c r="N54" s="394" t="n"/>
    </row>
    <row r="55">
      <c r="A55" s="670" t="inlineStr">
        <is>
          <t>Community Investment (₹ Cr)</t>
        </is>
      </c>
      <c r="B55" s="1101">
        <f>$J$55*('EBITDA Model'!C103-'Cash Flow Model'!C99)*(1-'Cash Flow Model'!C101)</f>
        <v/>
      </c>
      <c r="C55" s="1101">
        <f>$J$55*('EBITDA Model'!D103-'Cash Flow Model'!D99)*(1-'Cash Flow Model'!D101)</f>
        <v/>
      </c>
      <c r="D55" s="1101">
        <f>$J$55*('EBITDA Model'!E103-'Cash Flow Model'!E99)*(1-'Cash Flow Model'!E101)</f>
        <v/>
      </c>
      <c r="E55" s="1101">
        <f>$J$55*('EBITDA Model'!F103-'Cash Flow Model'!F99)*(1-'Cash Flow Model'!F101)</f>
        <v/>
      </c>
      <c r="F55" s="1101">
        <f>$J$55*('EBITDA Model'!G103-'Cash Flow Model'!G99)*(1-'Cash Flow Model'!G101)</f>
        <v/>
      </c>
      <c r="G55" s="1101">
        <f>$J$55*('EBITDA Model'!H103-'Cash Flow Model'!H99)*(1-'Cash Flow Model'!H101)</f>
        <v/>
      </c>
      <c r="H55" s="1101">
        <f>$J$55*('EBITDA Model'!I103-'Cash Flow Model'!I99)*(1-'Cash Flow Model'!I101)</f>
        <v/>
      </c>
      <c r="I55" s="1101">
        <f>$J$55*('EBITDA Model'!J103-'Cash Flow Model'!J99)*(1-'Cash Flow Model'!J101)</f>
        <v/>
      </c>
      <c r="J55" s="1148" t="n">
        <v>0.02</v>
      </c>
      <c r="K55" s="394" t="n"/>
      <c r="L55" s="708" t="inlineStr">
        <is>
          <t>ES16</t>
        </is>
      </c>
      <c r="M55" s="394" t="n"/>
      <c r="N55" s="394" t="n"/>
    </row>
    <row r="56">
      <c r="A56" s="394" t="n"/>
      <c r="B56" s="394" t="n"/>
      <c r="C56" s="394" t="n"/>
      <c r="D56" s="394" t="n"/>
      <c r="E56" s="394" t="n"/>
      <c r="F56" s="394" t="n"/>
      <c r="G56" s="394" t="n"/>
      <c r="H56" s="394" t="n"/>
      <c r="I56" s="394" t="n"/>
      <c r="J56" s="394" t="n"/>
      <c r="K56" s="394" t="n"/>
      <c r="L56" s="394" t="n"/>
      <c r="M56" s="394" t="n"/>
      <c r="N56" s="394" t="n"/>
    </row>
    <row r="57">
      <c r="A57" s="394" t="n"/>
      <c r="B57" s="394" t="n"/>
      <c r="C57" s="394" t="n"/>
      <c r="D57" s="394" t="n"/>
      <c r="E57" s="394" t="n"/>
      <c r="F57" s="394" t="n"/>
      <c r="G57" s="394" t="n"/>
      <c r="H57" s="394" t="n"/>
      <c r="I57" s="394" t="n"/>
      <c r="J57" s="394" t="n"/>
      <c r="K57" s="394" t="n"/>
      <c r="L57" s="394" t="n"/>
      <c r="M57" s="394" t="n"/>
      <c r="N57" s="394" t="n"/>
    </row>
    <row r="58" ht="15.6" customHeight="1" s="632">
      <c r="A58" s="608" t="inlineStr">
        <is>
          <t>Governance Metrics</t>
        </is>
      </c>
      <c r="B58" s="699" t="n"/>
      <c r="C58" s="699" t="n"/>
      <c r="D58" s="699" t="n"/>
      <c r="E58" s="699" t="n"/>
      <c r="F58" s="699" t="n"/>
      <c r="G58" s="699" t="n"/>
      <c r="H58" s="699" t="n"/>
      <c r="I58" s="699" t="n"/>
      <c r="J58" s="394" t="n"/>
      <c r="K58" s="394" t="n"/>
      <c r="L58" s="394" t="n"/>
      <c r="M58" s="394" t="n"/>
      <c r="N58" s="394" t="n"/>
    </row>
    <row r="59">
      <c r="A59" s="539" t="inlineStr">
        <is>
          <t>KPIs</t>
        </is>
      </c>
      <c r="B59" s="544" t="inlineStr">
        <is>
          <t>FY26A</t>
        </is>
      </c>
      <c r="C59" s="544" t="inlineStr">
        <is>
          <t>FY27E</t>
        </is>
      </c>
      <c r="D59" s="544" t="inlineStr">
        <is>
          <t>FY28E</t>
        </is>
      </c>
      <c r="E59" s="544" t="inlineStr">
        <is>
          <t>FY29E</t>
        </is>
      </c>
      <c r="F59" s="544" t="inlineStr">
        <is>
          <t>FY30E</t>
        </is>
      </c>
      <c r="G59" s="544" t="inlineStr">
        <is>
          <t>FY31E</t>
        </is>
      </c>
      <c r="H59" s="544" t="inlineStr">
        <is>
          <t>FY32E</t>
        </is>
      </c>
      <c r="I59" s="544" t="inlineStr">
        <is>
          <t>FY33E</t>
        </is>
      </c>
      <c r="J59" s="394" t="n"/>
      <c r="K59" s="707" t="inlineStr">
        <is>
          <t>Ref</t>
        </is>
      </c>
      <c r="L59" s="394" t="n"/>
      <c r="M59" s="394" t="n"/>
      <c r="N59" s="394" t="n"/>
    </row>
    <row r="60">
      <c r="A60" s="670" t="inlineStr">
        <is>
          <t>Independent Directors (%)</t>
        </is>
      </c>
      <c r="B60" s="1120" t="n">
        <v>0.5</v>
      </c>
      <c r="C60" s="1143">
        <f>$B$60+($I$60-$B$60)*1/7</f>
        <v/>
      </c>
      <c r="D60" s="1143">
        <f>$B$60+($I$60-$B$60)*2/7</f>
        <v/>
      </c>
      <c r="E60" s="1143">
        <f>$B$60+($I$60-$B$60)*3/7</f>
        <v/>
      </c>
      <c r="F60" s="1143">
        <f>$B$60+($I$60-$B$60)*4/7</f>
        <v/>
      </c>
      <c r="G60" s="1143">
        <f>$B$60+($I$60-$B$60)*5/7</f>
        <v/>
      </c>
      <c r="H60" s="1143">
        <f>$B$60+($I$60-$B$60)*6/7</f>
        <v/>
      </c>
      <c r="I60" s="1120" t="n">
        <v>0.55</v>
      </c>
      <c r="J60" s="394" t="n"/>
      <c r="K60" s="708" t="inlineStr">
        <is>
          <t>ES17</t>
        </is>
      </c>
      <c r="L60" s="394" t="n"/>
      <c r="M60" s="394" t="n"/>
      <c r="N60" s="394" t="n"/>
    </row>
    <row r="61">
      <c r="A61" s="670" t="inlineStr">
        <is>
          <t>Board Diversity (%)</t>
        </is>
      </c>
      <c r="B61" s="1120" t="n">
        <v>0.18</v>
      </c>
      <c r="C61" s="1143">
        <f>$B$61+($I$61-$B$61)*1/7</f>
        <v/>
      </c>
      <c r="D61" s="1143">
        <f>$B$61+($I$61-$B$61)*2/7</f>
        <v/>
      </c>
      <c r="E61" s="1143">
        <f>$B$61+($I$61-$B$61)*3/7</f>
        <v/>
      </c>
      <c r="F61" s="1143">
        <f>$B$61+($I$61-$B$61)*4/7</f>
        <v/>
      </c>
      <c r="G61" s="1143">
        <f>$B$61+($I$61-$B$61)*5/7</f>
        <v/>
      </c>
      <c r="H61" s="1143">
        <f>$B$61+($I$61-$B$61)*6/7</f>
        <v/>
      </c>
      <c r="I61" s="1120" t="n">
        <v>0.25</v>
      </c>
      <c r="J61" s="394" t="n"/>
      <c r="K61" s="708" t="inlineStr">
        <is>
          <t>ES18</t>
        </is>
      </c>
      <c r="L61" s="394" t="n"/>
      <c r="M61" s="394" t="n"/>
      <c r="N61" s="394" t="n"/>
    </row>
    <row r="62">
      <c r="A62" s="670" t="inlineStr">
        <is>
          <t>ESG-linked Compensation (%)</t>
        </is>
      </c>
      <c r="B62" s="1120" t="n">
        <v>0.2</v>
      </c>
      <c r="C62" s="1143">
        <f>$B$62+($I$62-$B$62)*1/7</f>
        <v/>
      </c>
      <c r="D62" s="1143">
        <f>$B$62+($I$62-$B$62)*2/7</f>
        <v/>
      </c>
      <c r="E62" s="1143">
        <f>$B$62+($I$62-$B$62)*3/7</f>
        <v/>
      </c>
      <c r="F62" s="1143">
        <f>$B$62+($I$62-$B$62)*4/7</f>
        <v/>
      </c>
      <c r="G62" s="1143">
        <f>$B$62+($I$62-$B$62)*5/7</f>
        <v/>
      </c>
      <c r="H62" s="1143">
        <f>$B$62+($I$62-$B$62)*6/7</f>
        <v/>
      </c>
      <c r="I62" s="1120" t="n">
        <v>0.45</v>
      </c>
      <c r="J62" s="394" t="n"/>
      <c r="K62" s="708" t="inlineStr">
        <is>
          <t>ES19</t>
        </is>
      </c>
      <c r="L62" s="394" t="n"/>
      <c r="M62" s="394" t="n"/>
      <c r="N62" s="394" t="n"/>
    </row>
    <row r="63">
      <c r="A63" s="670" t="inlineStr">
        <is>
          <t>Compliance Score</t>
        </is>
      </c>
      <c r="B63" s="1149" t="n">
        <v>92</v>
      </c>
      <c r="C63" s="1139">
        <f>$B$63+($I$63-$B$63)*1/7</f>
        <v/>
      </c>
      <c r="D63" s="1139">
        <f>$B$63+($I$63-$B$63)*2/7</f>
        <v/>
      </c>
      <c r="E63" s="1139">
        <f>$B$63+($I$63-$B$63)*3/7</f>
        <v/>
      </c>
      <c r="F63" s="1139">
        <f>$B$63+($I$63-$B$63)*4/7</f>
        <v/>
      </c>
      <c r="G63" s="1139">
        <f>$B$63+($I$63-$B$63)*5/7</f>
        <v/>
      </c>
      <c r="H63" s="1139">
        <f>$B$63+($I$63-$B$63)*6/7</f>
        <v/>
      </c>
      <c r="I63" s="1149" t="n">
        <v>96</v>
      </c>
      <c r="J63" s="394" t="n"/>
      <c r="K63" s="708" t="inlineStr">
        <is>
          <t>ES20</t>
        </is>
      </c>
      <c r="L63" s="394" t="n"/>
      <c r="M63" s="394" t="n"/>
      <c r="N63" s="394" t="n"/>
    </row>
    <row r="64">
      <c r="A64" s="670" t="inlineStr">
        <is>
          <t>Governance Score</t>
        </is>
      </c>
      <c r="B64" s="1150">
        <f>(B60/60%*25+B61/30%*25+B62/50%*25+B63/100*25)</f>
        <v/>
      </c>
      <c r="C64" s="1150">
        <f>(C60/60%*25+C61/30%*25+C62/50%*25+C63/100*25)</f>
        <v/>
      </c>
      <c r="D64" s="1150">
        <f>(D60/60%*25+D61/30%*25+D62/50%*25+D63/100*25)</f>
        <v/>
      </c>
      <c r="E64" s="1150">
        <f>(E60/60%*25+E61/30%*25+E62/50%*25+E63/100*25)</f>
        <v/>
      </c>
      <c r="F64" s="1150">
        <f>(F60/60%*25+F61/30%*25+F62/50%*25+F63/100*25)</f>
        <v/>
      </c>
      <c r="G64" s="1150">
        <f>(G60/60%*25+G61/30%*25+G62/50%*25+G63/100*25)</f>
        <v/>
      </c>
      <c r="H64" s="1150">
        <f>(H60/60%*25+H61/30%*25+H62/50%*25+H63/100*25)</f>
        <v/>
      </c>
      <c r="I64" s="1150">
        <f>(I60/60%*25+I61/30%*25+I62/50%*25+I63/100*25)</f>
        <v/>
      </c>
      <c r="J64" s="394" t="n"/>
      <c r="K64" s="708" t="inlineStr">
        <is>
          <t>ES21</t>
        </is>
      </c>
      <c r="L64" s="394" t="n"/>
      <c r="M64" s="394" t="n"/>
      <c r="N64" s="394" t="n"/>
    </row>
    <row r="65">
      <c r="A65" s="394" t="n"/>
      <c r="B65" s="394" t="n"/>
      <c r="C65" s="394" t="n"/>
      <c r="D65" s="394" t="n"/>
      <c r="E65" s="394" t="n"/>
      <c r="F65" s="394" t="n"/>
      <c r="G65" s="394" t="n"/>
      <c r="H65" s="394" t="n"/>
      <c r="I65" s="394" t="n"/>
      <c r="J65" s="394" t="n"/>
      <c r="K65" s="394" t="n"/>
      <c r="L65" s="394" t="n"/>
      <c r="M65" s="394" t="n"/>
      <c r="N65" s="394" t="n"/>
    </row>
    <row r="66">
      <c r="A66" s="394" t="n"/>
      <c r="B66" s="394" t="n"/>
      <c r="C66" s="394" t="n"/>
      <c r="D66" s="394" t="n"/>
      <c r="E66" s="394" t="n"/>
      <c r="F66" s="394" t="n"/>
      <c r="G66" s="394" t="n"/>
      <c r="H66" s="394" t="n"/>
      <c r="I66" s="394" t="n"/>
      <c r="J66" s="394" t="n"/>
      <c r="K66" s="394" t="n"/>
      <c r="L66" s="394" t="n"/>
      <c r="M66" s="394" t="n"/>
      <c r="N66" s="394" t="n"/>
    </row>
    <row r="67" ht="15.6" customHeight="1" s="632">
      <c r="A67" s="679" t="inlineStr">
        <is>
          <t>ESG Scorecard</t>
        </is>
      </c>
      <c r="B67" s="703" t="n"/>
      <c r="C67" s="729" t="n"/>
      <c r="D67" s="612" t="n"/>
      <c r="E67" s="612" t="n"/>
      <c r="F67" s="612" t="n"/>
      <c r="G67" s="612" t="n"/>
      <c r="H67" s="612" t="n"/>
      <c r="I67" s="394" t="n"/>
      <c r="J67" s="394" t="n"/>
      <c r="K67" s="394" t="n"/>
      <c r="L67" s="394" t="n"/>
      <c r="M67" s="394" t="n"/>
      <c r="N67" s="394" t="n"/>
    </row>
    <row r="68">
      <c r="A68" s="539" t="inlineStr">
        <is>
          <t>Pillar</t>
        </is>
      </c>
      <c r="B68" s="539" t="inlineStr">
        <is>
          <t>Weight</t>
        </is>
      </c>
      <c r="C68" s="539" t="inlineStr">
        <is>
          <t>Score</t>
        </is>
      </c>
      <c r="D68" s="394" t="n"/>
      <c r="E68" s="707" t="inlineStr">
        <is>
          <t>Ref</t>
        </is>
      </c>
      <c r="F68" s="394" t="n"/>
      <c r="G68" s="394" t="n"/>
      <c r="H68" s="394" t="n"/>
      <c r="I68" s="394" t="n"/>
      <c r="J68" s="394" t="n"/>
      <c r="K68" s="394" t="n"/>
      <c r="L68" s="394" t="n"/>
      <c r="M68" s="394" t="n"/>
      <c r="N68" s="394" t="n"/>
    </row>
    <row r="69">
      <c r="A69" s="670" t="inlineStr">
        <is>
          <t>Environmental</t>
        </is>
      </c>
      <c r="B69" s="540" t="n">
        <v>0.5</v>
      </c>
      <c r="C69" s="1118">
        <f>MIN(100,MAX(0,($C$99-$C$102)/($C$99-$C$96)*100))</f>
        <v/>
      </c>
      <c r="D69" s="394" t="n"/>
      <c r="E69" s="708" t="inlineStr">
        <is>
          <t>ES23</t>
        </is>
      </c>
      <c r="F69" s="394" t="n"/>
      <c r="G69" s="394" t="n"/>
      <c r="H69" s="394" t="n"/>
      <c r="I69" s="394" t="n"/>
      <c r="J69" s="394" t="n"/>
      <c r="K69" s="394" t="n"/>
      <c r="L69" s="394" t="n"/>
      <c r="M69" s="394" t="n"/>
      <c r="N69" s="394" t="n"/>
    </row>
    <row r="70">
      <c r="A70" s="670" t="inlineStr">
        <is>
          <t>Social</t>
        </is>
      </c>
      <c r="B70" s="540" t="n">
        <v>0.25</v>
      </c>
      <c r="C70" s="1118">
        <f>(MIN(100,MAX(0,(0.5-$B$52)/0.4*100))+MIN(100,MAX(0,$B$54/25%*100))+MIN(100,MAX(0,$B$53/50*100)))/3</f>
        <v/>
      </c>
      <c r="D70" s="394" t="n"/>
      <c r="E70" s="708" t="inlineStr">
        <is>
          <t>ES22</t>
        </is>
      </c>
      <c r="F70" s="394" t="n"/>
      <c r="G70" s="394" t="n"/>
      <c r="H70" s="394" t="n"/>
      <c r="I70" s="394" t="n"/>
      <c r="J70" s="394" t="n"/>
      <c r="K70" s="394" t="n"/>
      <c r="L70" s="394" t="n"/>
      <c r="M70" s="394" t="n"/>
      <c r="N70" s="394" t="n"/>
    </row>
    <row r="71">
      <c r="A71" s="670" t="inlineStr">
        <is>
          <t>Governance</t>
        </is>
      </c>
      <c r="B71" s="540" t="n">
        <v>0.25</v>
      </c>
      <c r="C71" s="1121">
        <f>$B$64</f>
        <v/>
      </c>
      <c r="D71" s="394" t="n"/>
      <c r="E71" s="708" t="inlineStr">
        <is>
          <t>ES22</t>
        </is>
      </c>
      <c r="F71" s="394" t="n"/>
      <c r="G71" s="394" t="n"/>
      <c r="H71" s="394" t="n"/>
      <c r="I71" s="394" t="n"/>
      <c r="J71" s="394" t="n"/>
      <c r="K71" s="394" t="n"/>
      <c r="L71" s="394" t="n"/>
      <c r="M71" s="394" t="n"/>
      <c r="N71" s="394" t="n"/>
    </row>
    <row r="72">
      <c r="A72" s="489" t="inlineStr">
        <is>
          <t>Overall ESG Score</t>
        </is>
      </c>
      <c r="B72" s="573" t="n">
        <v>1</v>
      </c>
      <c r="C72" s="1118">
        <f>SUMPRODUCT($B$69:$B$71,C69:C71)</f>
        <v/>
      </c>
      <c r="D72" s="394" t="n"/>
      <c r="E72" s="394" t="n"/>
      <c r="F72" s="394" t="n"/>
      <c r="G72" s="394" t="n"/>
      <c r="H72" s="394" t="n"/>
      <c r="I72" s="394" t="n"/>
      <c r="J72" s="394" t="n"/>
      <c r="K72" s="394" t="n"/>
      <c r="L72" s="394" t="n"/>
      <c r="M72" s="394" t="n"/>
      <c r="N72" s="394" t="n"/>
    </row>
    <row r="73">
      <c r="A73" s="394" t="n"/>
      <c r="B73" s="394" t="n"/>
      <c r="C73" s="394" t="n"/>
      <c r="D73" s="394" t="n"/>
      <c r="E73" s="394" t="n"/>
      <c r="F73" s="394" t="n"/>
      <c r="G73" s="394" t="n"/>
      <c r="H73" s="394" t="n"/>
      <c r="I73" s="394" t="n"/>
      <c r="J73" s="394" t="n"/>
      <c r="K73" s="394" t="n"/>
      <c r="L73" s="394" t="n"/>
      <c r="M73" s="394" t="n"/>
      <c r="N73" s="394" t="n"/>
    </row>
    <row r="74">
      <c r="A74" s="394" t="n"/>
      <c r="B74" s="394" t="n"/>
      <c r="C74" s="394" t="n"/>
      <c r="D74" s="394" t="n"/>
      <c r="E74" s="394" t="n"/>
      <c r="F74" s="394" t="n"/>
      <c r="G74" s="394" t="n"/>
      <c r="H74" s="394" t="n"/>
      <c r="I74" s="394" t="n"/>
      <c r="J74" s="394" t="n"/>
      <c r="K74" s="394" t="n"/>
      <c r="L74" s="394" t="n"/>
      <c r="M74" s="394" t="n"/>
      <c r="N74" s="394" t="n"/>
    </row>
    <row r="75" ht="15.6" customHeight="1" s="632">
      <c r="A75" s="608" t="inlineStr">
        <is>
          <t>ESG Financial Impact</t>
        </is>
      </c>
      <c r="B75" s="699" t="n"/>
      <c r="C75" s="699" t="n"/>
      <c r="D75" s="699" t="n"/>
      <c r="E75" s="699" t="n"/>
      <c r="F75" s="699" t="n"/>
      <c r="G75" s="699" t="n"/>
      <c r="H75" s="699" t="n"/>
      <c r="I75" s="612" t="n"/>
      <c r="J75" s="394" t="n"/>
      <c r="K75" s="394" t="n"/>
      <c r="L75" s="394" t="n"/>
      <c r="M75" s="394" t="n"/>
      <c r="N75" s="394" t="n"/>
    </row>
    <row r="76">
      <c r="A76" s="539" t="inlineStr">
        <is>
          <t>Driver</t>
        </is>
      </c>
      <c r="B76" s="544" t="inlineStr">
        <is>
          <t>FY27E</t>
        </is>
      </c>
      <c r="C76" s="544" t="inlineStr">
        <is>
          <t>FY28E</t>
        </is>
      </c>
      <c r="D76" s="544" t="inlineStr">
        <is>
          <t>FY29E</t>
        </is>
      </c>
      <c r="E76" s="544" t="inlineStr">
        <is>
          <t>FY30E</t>
        </is>
      </c>
      <c r="F76" s="544" t="inlineStr">
        <is>
          <t>FY31E</t>
        </is>
      </c>
      <c r="G76" s="544" t="inlineStr">
        <is>
          <t>FY32E</t>
        </is>
      </c>
      <c r="H76" s="544" t="inlineStr">
        <is>
          <t>FY33E</t>
        </is>
      </c>
      <c r="J76" s="707" t="inlineStr">
        <is>
          <t>Ref</t>
        </is>
      </c>
      <c r="K76" s="394" t="n"/>
      <c r="L76" s="394" t="n"/>
      <c r="M76" s="394" t="n"/>
      <c r="N76" s="394" t="n"/>
    </row>
    <row r="77">
      <c r="A77" s="670" t="inlineStr">
        <is>
          <t>ESG Capex</t>
        </is>
      </c>
      <c r="B77" s="1098">
        <f>$B$46</f>
        <v/>
      </c>
      <c r="C77" s="1098">
        <f>$C$46</f>
        <v/>
      </c>
      <c r="D77" s="1098">
        <f>$D$46</f>
        <v/>
      </c>
      <c r="E77" s="1098">
        <f>$E$46</f>
        <v/>
      </c>
      <c r="F77" s="1098">
        <f>$F$46</f>
        <v/>
      </c>
      <c r="G77" s="1098">
        <f>$G$46</f>
        <v/>
      </c>
      <c r="H77" s="1098">
        <f>$H$46</f>
        <v/>
      </c>
      <c r="J77" s="394" t="n"/>
      <c r="K77" s="394" t="n"/>
      <c r="L77" s="394" t="n"/>
      <c r="M77" s="394" t="n"/>
      <c r="N77" s="394" t="n"/>
    </row>
    <row r="78">
      <c r="A78" s="670" t="inlineStr">
        <is>
          <t>Carbon Cost</t>
        </is>
      </c>
      <c r="B78" s="1098">
        <f>$D$112</f>
        <v/>
      </c>
      <c r="C78" s="1098">
        <f>$E$112</f>
        <v/>
      </c>
      <c r="D78" s="1098">
        <f>$F$112</f>
        <v/>
      </c>
      <c r="E78" s="1098">
        <f>$G$112</f>
        <v/>
      </c>
      <c r="F78" s="1098">
        <f>$H$112</f>
        <v/>
      </c>
      <c r="G78" s="1098">
        <f>$I$112</f>
        <v/>
      </c>
      <c r="H78" s="1098">
        <f>$J$112</f>
        <v/>
      </c>
      <c r="J78" s="394" t="n"/>
      <c r="K78" s="394" t="n"/>
      <c r="L78" s="394" t="n"/>
      <c r="M78" s="394" t="n"/>
      <c r="N78" s="394" t="n"/>
    </row>
    <row r="79">
      <c r="A79" s="670" t="inlineStr">
        <is>
          <t>EBITDA Impact</t>
        </is>
      </c>
      <c r="B79" s="1097">
        <f>-D112</f>
        <v/>
      </c>
      <c r="C79" s="1097">
        <f>-E112</f>
        <v/>
      </c>
      <c r="D79" s="1097">
        <f>-F112</f>
        <v/>
      </c>
      <c r="E79" s="1097">
        <f>-G112</f>
        <v/>
      </c>
      <c r="F79" s="1097">
        <f>-H112</f>
        <v/>
      </c>
      <c r="G79" s="1097">
        <f>-I112</f>
        <v/>
      </c>
      <c r="H79" s="1097">
        <f>-J112</f>
        <v/>
      </c>
      <c r="J79" s="394" t="n"/>
      <c r="K79" s="394" t="n"/>
      <c r="L79" s="394" t="n"/>
      <c r="M79" s="394" t="n"/>
      <c r="N79" s="394" t="n"/>
    </row>
    <row r="80">
      <c r="A80" s="670" t="inlineStr">
        <is>
          <t>Free Cash Flow Impact</t>
        </is>
      </c>
      <c r="B80" s="1097">
        <f>-D112</f>
        <v/>
      </c>
      <c r="C80" s="1097">
        <f>-E112</f>
        <v/>
      </c>
      <c r="D80" s="1097">
        <f>-F112</f>
        <v/>
      </c>
      <c r="E80" s="1097">
        <f>-G112</f>
        <v/>
      </c>
      <c r="F80" s="1097">
        <f>-H112</f>
        <v/>
      </c>
      <c r="G80" s="1097">
        <f>-I112</f>
        <v/>
      </c>
      <c r="H80" s="1097">
        <f>-J112</f>
        <v/>
      </c>
      <c r="J80" s="394" t="n"/>
      <c r="K80" s="394" t="n"/>
      <c r="L80" s="394" t="n"/>
      <c r="M80" s="394" t="n"/>
      <c r="N80" s="394" t="n"/>
    </row>
    <row r="81">
      <c r="A81" s="670" t="inlineStr">
        <is>
          <t>Valuation Impact</t>
        </is>
      </c>
      <c r="B81" s="1101">
        <f>-D112*'Model Assumptions'!E$26</f>
        <v/>
      </c>
      <c r="C81" s="1101">
        <f>-E112*'Model Assumptions'!F$26</f>
        <v/>
      </c>
      <c r="D81" s="1101">
        <f>-F112*'Model Assumptions'!G$26</f>
        <v/>
      </c>
      <c r="E81" s="1101">
        <f>-G112*'Model Assumptions'!H$26</f>
        <v/>
      </c>
      <c r="F81" s="1101">
        <f>-H112*'Model Assumptions'!I$26</f>
        <v/>
      </c>
      <c r="G81" s="1101">
        <f>-I112*'Model Assumptions'!J$26</f>
        <v/>
      </c>
      <c r="H81" s="1101">
        <f>-J112*'Model Assumptions'!K$26</f>
        <v/>
      </c>
      <c r="J81" s="708" t="inlineStr">
        <is>
          <t>ES24</t>
        </is>
      </c>
      <c r="K81" s="394" t="n"/>
      <c r="L81" s="394" t="n"/>
      <c r="M81" s="394" t="n"/>
      <c r="N81" s="394" t="n"/>
    </row>
    <row r="82">
      <c r="A82" s="683" t="n"/>
      <c r="J82" s="394" t="n"/>
      <c r="K82" s="394" t="n"/>
      <c r="L82" s="394" t="n"/>
      <c r="M82" s="394" t="n"/>
      <c r="N82" s="394" t="n"/>
    </row>
    <row r="83">
      <c r="A83" s="683" t="n"/>
      <c r="J83" s="394" t="n"/>
      <c r="K83" s="394" t="n"/>
      <c r="L83" s="394" t="n"/>
      <c r="M83" s="394" t="n"/>
      <c r="N83" s="394" t="n"/>
    </row>
    <row r="84" ht="15.6" customHeight="1" s="632">
      <c r="A84" s="608" t="inlineStr">
        <is>
          <t>Scenario Analysis</t>
        </is>
      </c>
      <c r="B84" s="699" t="n"/>
      <c r="C84" s="699" t="n"/>
      <c r="D84" s="699" t="n"/>
      <c r="E84" s="612" t="n"/>
      <c r="F84" s="612" t="n"/>
      <c r="G84" s="612" t="n"/>
      <c r="H84" s="612" t="n"/>
      <c r="I84" s="394" t="n"/>
      <c r="J84" s="394" t="n"/>
      <c r="K84" s="394" t="n"/>
      <c r="L84" s="394" t="n"/>
      <c r="M84" s="394" t="n"/>
      <c r="N84" s="394" t="n"/>
    </row>
    <row r="85" ht="28.8" customHeight="1" s="632">
      <c r="A85" s="539" t="inlineStr">
        <is>
          <t>Scenario</t>
        </is>
      </c>
      <c r="B85" s="539" t="inlineStr">
        <is>
          <t>Carbon Price</t>
        </is>
      </c>
      <c r="C85" s="539" t="inlineStr">
        <is>
          <t>ESG Capex</t>
        </is>
      </c>
      <c r="D85" s="539" t="inlineStr">
        <is>
          <t>EBITDA Impact</t>
        </is>
      </c>
      <c r="E85" s="394" t="n"/>
      <c r="F85" s="707" t="inlineStr">
        <is>
          <t>Ref</t>
        </is>
      </c>
      <c r="G85" s="394" t="n"/>
      <c r="H85" s="394" t="n"/>
      <c r="I85" s="394" t="n"/>
      <c r="J85" s="394" t="n"/>
      <c r="K85" s="394" t="n"/>
      <c r="L85" s="394" t="n"/>
      <c r="M85" s="394" t="n"/>
      <c r="N85" s="394" t="n"/>
    </row>
    <row r="86">
      <c r="A86" s="670" t="inlineStr">
        <is>
          <t>Base</t>
        </is>
      </c>
      <c r="B86" s="1002">
        <f>$D$104*$D$105</f>
        <v/>
      </c>
      <c r="C86" s="1073">
        <f>'Scenario Manager'!$J$142*$H$47</f>
        <v/>
      </c>
      <c r="D86" s="1073">
        <f>-'Scenario Manager'!$J$152*$J$106*$J$111*$J$104*$J$105/10</f>
        <v/>
      </c>
      <c r="E86" s="394" t="n"/>
      <c r="F86" s="708" t="inlineStr">
        <is>
          <t>ES25, ES26</t>
        </is>
      </c>
      <c r="G86" s="394" t="n"/>
      <c r="H86" s="394" t="n"/>
      <c r="I86" s="394" t="n"/>
      <c r="J86" s="394" t="n"/>
      <c r="K86" s="394" t="n"/>
      <c r="L86" s="394" t="n"/>
      <c r="M86" s="394" t="n"/>
      <c r="N86" s="394" t="n"/>
    </row>
    <row r="87">
      <c r="A87" s="670" t="inlineStr">
        <is>
          <t>Bull</t>
        </is>
      </c>
      <c r="B87" s="1002">
        <f>$D$104*$D$105</f>
        <v/>
      </c>
      <c r="C87" s="1073">
        <f>'Scenario Manager'!$J$218*$H$47</f>
        <v/>
      </c>
      <c r="D87" s="1073">
        <f>-'Scenario Manager'!$J$228*$J$106*$J$111*$J$104*$J$105/10</f>
        <v/>
      </c>
      <c r="E87" s="394" t="n"/>
      <c r="F87" s="708" t="inlineStr">
        <is>
          <t>ES25</t>
        </is>
      </c>
      <c r="G87" s="394" t="n"/>
      <c r="H87" s="394" t="n"/>
      <c r="I87" s="394" t="n"/>
      <c r="J87" s="394" t="n"/>
      <c r="K87" s="394" t="n"/>
      <c r="L87" s="394" t="n"/>
      <c r="M87" s="394" t="n"/>
      <c r="N87" s="394" t="n"/>
    </row>
    <row r="88">
      <c r="A88" s="670" t="inlineStr">
        <is>
          <t>Bear</t>
        </is>
      </c>
      <c r="B88" s="1002">
        <f>$D$104*$D$105</f>
        <v/>
      </c>
      <c r="C88" s="1073">
        <f>'Scenario Manager'!$J$294*$H$47</f>
        <v/>
      </c>
      <c r="D88" s="1073">
        <f>-'Scenario Manager'!$J$304*$J$106*$J$111*$J$104*$J$105/10</f>
        <v/>
      </c>
      <c r="E88" s="394" t="n"/>
      <c r="F88" s="708" t="inlineStr">
        <is>
          <t>ES25</t>
        </is>
      </c>
      <c r="G88" s="394" t="n"/>
      <c r="H88" s="394" t="n"/>
      <c r="I88" s="394" t="n"/>
      <c r="J88" s="394" t="n"/>
      <c r="K88" s="394" t="n"/>
      <c r="L88" s="394" t="n"/>
      <c r="M88" s="394" t="n"/>
      <c r="N88" s="394" t="n"/>
    </row>
    <row r="89">
      <c r="A89" s="670" t="inlineStr">
        <is>
          <t>Stress</t>
        </is>
      </c>
      <c r="B89" s="1002">
        <f>$D$104*$D$105</f>
        <v/>
      </c>
      <c r="C89" s="1073">
        <f>'Scenario Manager'!$J$370*$H$47</f>
        <v/>
      </c>
      <c r="D89" s="1073">
        <f>-'Scenario Manager'!$J$380*$J$106*$J$111*$J$104*$J$105/10</f>
        <v/>
      </c>
      <c r="E89" s="394" t="n"/>
      <c r="F89" s="708" t="inlineStr">
        <is>
          <t>ES25</t>
        </is>
      </c>
      <c r="G89" s="394" t="n"/>
      <c r="H89" s="394" t="n"/>
      <c r="I89" s="394" t="n"/>
      <c r="J89" s="394" t="n"/>
      <c r="K89" s="394" t="n"/>
      <c r="L89" s="394" t="n"/>
      <c r="M89" s="394" t="n"/>
      <c r="N89" s="394" t="n"/>
    </row>
    <row r="90">
      <c r="A90" s="683" t="n"/>
      <c r="B90" s="596" t="n"/>
      <c r="C90" s="596" t="n"/>
      <c r="D90" s="596" t="n"/>
      <c r="E90" s="394" t="n"/>
      <c r="F90" s="394" t="n"/>
      <c r="G90" s="394" t="n"/>
      <c r="H90" s="394" t="n"/>
      <c r="I90" s="394" t="n"/>
      <c r="J90" s="394" t="n"/>
      <c r="K90" s="394" t="n"/>
      <c r="L90" s="394" t="n"/>
      <c r="M90" s="394" t="n"/>
      <c r="N90" s="394" t="n"/>
    </row>
    <row r="91">
      <c r="A91" s="683" t="n"/>
      <c r="B91" s="596" t="n"/>
      <c r="C91" s="596" t="n"/>
      <c r="D91" s="596" t="n"/>
      <c r="E91" s="394" t="n"/>
      <c r="F91" s="394" t="n"/>
      <c r="G91" s="394" t="n"/>
      <c r="H91" s="394" t="n"/>
      <c r="I91" s="394" t="n"/>
      <c r="J91" s="394" t="n"/>
      <c r="K91" s="394" t="n"/>
      <c r="L91" s="394" t="n"/>
      <c r="M91" s="394" t="n"/>
      <c r="N91" s="394" t="n"/>
    </row>
    <row r="92">
      <c r="A92" s="683" t="n"/>
      <c r="B92" s="596" t="n"/>
      <c r="C92" s="596" t="n"/>
      <c r="D92" s="596" t="n"/>
      <c r="E92" s="394" t="n"/>
      <c r="F92" s="394" t="n"/>
      <c r="G92" s="394" t="n"/>
      <c r="H92" s="394" t="n"/>
      <c r="I92" s="394" t="n"/>
      <c r="J92" s="394" t="n"/>
      <c r="K92" s="394" t="n"/>
      <c r="L92" s="394" t="n"/>
      <c r="M92" s="394" t="n"/>
      <c r="N92" s="394" t="n"/>
    </row>
    <row r="93" ht="15" customHeight="1" s="632" thickBot="1">
      <c r="A93" s="415" t="n"/>
    </row>
    <row r="94">
      <c r="A94" s="63" t="inlineStr">
        <is>
          <t>Line item</t>
        </is>
      </c>
      <c r="B94" s="65" t="inlineStr">
        <is>
          <t>Unit</t>
        </is>
      </c>
      <c r="C94" s="65" t="inlineStr">
        <is>
          <t>FY2026A</t>
        </is>
      </c>
      <c r="D94" s="65" t="inlineStr">
        <is>
          <t>FY2027E</t>
        </is>
      </c>
      <c r="E94" s="65" t="inlineStr">
        <is>
          <t>FY2028E</t>
        </is>
      </c>
      <c r="F94" s="65" t="inlineStr">
        <is>
          <t>FY2029E</t>
        </is>
      </c>
      <c r="G94" s="65" t="inlineStr">
        <is>
          <t>FY2030E</t>
        </is>
      </c>
      <c r="H94" s="65" t="inlineStr">
        <is>
          <t>FY2031E</t>
        </is>
      </c>
      <c r="I94" s="65" t="inlineStr">
        <is>
          <t>FY2032E</t>
        </is>
      </c>
      <c r="J94" s="65" t="inlineStr">
        <is>
          <t>FY2033E</t>
        </is>
      </c>
      <c r="K94" s="65" t="inlineStr">
        <is>
          <t>CAGR</t>
        </is>
      </c>
      <c r="L94" s="65" t="inlineStr">
        <is>
          <t>Source</t>
        </is>
      </c>
      <c r="M94" s="65" t="inlineStr">
        <is>
          <t>Conf.</t>
        </is>
      </c>
      <c r="N94" s="410" t="inlineStr">
        <is>
          <t>Notes / methodology</t>
        </is>
      </c>
      <c r="P94" s="707" t="inlineStr">
        <is>
          <t>Ref</t>
        </is>
      </c>
    </row>
    <row r="95">
      <c r="A95" s="836" t="inlineStr">
        <is>
          <t>GREEN STEEL TAXONOMY THRESHOLDS (notified 23-Dec-2024)</t>
        </is>
      </c>
      <c r="B95" s="837" t="n"/>
      <c r="C95" s="837" t="n"/>
      <c r="D95" s="837" t="n"/>
      <c r="E95" s="837" t="n"/>
      <c r="F95" s="837" t="n"/>
      <c r="G95" s="837" t="n"/>
      <c r="H95" s="837" t="n"/>
      <c r="I95" s="837" t="n"/>
      <c r="J95" s="837" t="n"/>
      <c r="K95" s="837" t="n"/>
      <c r="L95" s="837" t="n"/>
      <c r="M95" s="837" t="n"/>
      <c r="N95" s="838" t="n"/>
    </row>
    <row r="96" ht="36" customHeight="1" s="632">
      <c r="A96" s="69" t="inlineStr">
        <is>
          <t>5-star green steel</t>
        </is>
      </c>
      <c r="B96" s="78" t="inlineStr">
        <is>
          <t>tCO2e/tfs</t>
        </is>
      </c>
      <c r="C96" s="907" t="n">
        <v>1.6</v>
      </c>
      <c r="D96" s="83" t="n"/>
      <c r="E96" s="83" t="n"/>
      <c r="F96" s="83" t="n"/>
      <c r="G96" s="83" t="n"/>
      <c r="H96" s="83" t="n"/>
      <c r="I96" s="83" t="n"/>
      <c r="J96" s="83" t="n"/>
      <c r="K96" s="83" t="n"/>
      <c r="L96" s="352" t="inlineStr">
        <is>
          <t>Master DB P15</t>
        </is>
      </c>
      <c r="M96" s="352" t="inlineStr">
        <is>
          <t>High</t>
        </is>
      </c>
      <c r="N96" s="345" t="inlineStr">
        <is>
          <t>Below 1.6 tCO2e/tfs. Tata Steel's 0.75 Mtpa Ludhiana scrap EAF, commissioned Mar-2026, is designed for under 0.3 tCO2e/t and therefore qualifies.</t>
        </is>
      </c>
      <c r="P96" s="708" t="inlineStr">
        <is>
          <t>ES27</t>
        </is>
      </c>
    </row>
    <row r="97">
      <c r="A97" s="69" t="inlineStr">
        <is>
          <t>4-star green steel</t>
        </is>
      </c>
      <c r="B97" s="78" t="inlineStr">
        <is>
          <t>tCO2e/tfs</t>
        </is>
      </c>
      <c r="C97" s="907" t="n">
        <v>2</v>
      </c>
      <c r="D97" s="83" t="n"/>
      <c r="E97" s="83" t="n"/>
      <c r="F97" s="83" t="n"/>
      <c r="G97" s="83" t="n"/>
      <c r="H97" s="83" t="n"/>
      <c r="I97" s="83" t="n"/>
      <c r="J97" s="83" t="n"/>
      <c r="K97" s="83" t="n"/>
      <c r="L97" s="352" t="inlineStr">
        <is>
          <t>Master DB P15</t>
        </is>
      </c>
      <c r="M97" s="352" t="inlineStr">
        <is>
          <t>High</t>
        </is>
      </c>
      <c r="N97" s="345" t="inlineStr">
        <is>
          <t>1.6 to 2.0 tCO2e/tfs.</t>
        </is>
      </c>
      <c r="P97" s="708" t="inlineStr">
        <is>
          <t>ES28</t>
        </is>
      </c>
    </row>
    <row r="98" ht="24" customHeight="1" s="632">
      <c r="A98" s="69" t="inlineStr">
        <is>
          <t>3-star green steel</t>
        </is>
      </c>
      <c r="B98" s="78" t="inlineStr">
        <is>
          <t>tCO2e/tfs</t>
        </is>
      </c>
      <c r="C98" s="907" t="n">
        <v>2.2</v>
      </c>
      <c r="D98" s="83" t="n"/>
      <c r="E98" s="83" t="n"/>
      <c r="F98" s="83" t="n"/>
      <c r="G98" s="83" t="n"/>
      <c r="H98" s="83" t="n"/>
      <c r="I98" s="83" t="n"/>
      <c r="J98" s="83" t="n"/>
      <c r="K98" s="83" t="n"/>
      <c r="L98" s="352" t="inlineStr">
        <is>
          <t>Master DB P15</t>
        </is>
      </c>
      <c r="M98" s="352" t="inlineStr">
        <is>
          <t>High</t>
        </is>
      </c>
      <c r="N98" s="345" t="inlineStr">
        <is>
          <t>2.0 to 2.2 tCO2e/tfs. This is also the headline definition of green steel.</t>
        </is>
      </c>
      <c r="P98" s="708" t="inlineStr">
        <is>
          <t>ES29</t>
        </is>
      </c>
    </row>
    <row r="99" ht="24" customHeight="1" s="632">
      <c r="A99" s="69" t="inlineStr">
        <is>
          <t>Not classified as green steel</t>
        </is>
      </c>
      <c r="B99" s="78" t="inlineStr">
        <is>
          <t>tCO2e/tfs</t>
        </is>
      </c>
      <c r="C99" s="907" t="n">
        <v>2.2</v>
      </c>
      <c r="D99" s="83" t="n"/>
      <c r="E99" s="83" t="n"/>
      <c r="F99" s="83" t="n"/>
      <c r="G99" s="83" t="n"/>
      <c r="H99" s="83" t="n"/>
      <c r="I99" s="83" t="n"/>
      <c r="J99" s="83" t="n"/>
      <c r="K99" s="83" t="n"/>
      <c r="L99" s="352" t="inlineStr">
        <is>
          <t>Master DB P15</t>
        </is>
      </c>
      <c r="M99" s="352" t="inlineStr">
        <is>
          <t>High</t>
        </is>
      </c>
      <c r="N99" s="345" t="inlineStr">
        <is>
          <t>Above 2.2 tCO2e/tfs. Conventional Indian BF-BOF production sits well above this.</t>
        </is>
      </c>
      <c r="P99" s="708" t="inlineStr">
        <is>
          <t>ES30</t>
        </is>
      </c>
    </row>
    <row r="100">
      <c r="A100" s="71" t="n"/>
      <c r="B100" s="83" t="n"/>
      <c r="C100" s="83" t="n"/>
      <c r="D100" s="83" t="n"/>
      <c r="E100" s="83" t="n"/>
      <c r="F100" s="83" t="n"/>
      <c r="G100" s="83" t="n"/>
      <c r="H100" s="83" t="n"/>
      <c r="I100" s="83" t="n"/>
      <c r="J100" s="83" t="n"/>
      <c r="K100" s="83" t="n"/>
      <c r="L100" s="83" t="n"/>
      <c r="M100" s="45" t="n"/>
      <c r="N100" s="68" t="n"/>
    </row>
    <row r="101">
      <c r="A101" s="836" t="inlineStr">
        <is>
          <t>USER INPUTS - NOT SOURCED, EDIT BEFORE USE</t>
        </is>
      </c>
      <c r="B101" s="837" t="n"/>
      <c r="C101" s="837" t="n"/>
      <c r="D101" s="837" t="n"/>
      <c r="E101" s="837" t="n"/>
      <c r="F101" s="837" t="n"/>
      <c r="G101" s="837" t="n"/>
      <c r="H101" s="837" t="n"/>
      <c r="I101" s="837" t="n"/>
      <c r="J101" s="837" t="n"/>
      <c r="K101" s="837" t="n"/>
      <c r="L101" s="837" t="n"/>
      <c r="M101" s="837" t="n"/>
      <c r="N101" s="838" t="n"/>
    </row>
    <row r="102" ht="60" customHeight="1" s="632">
      <c r="A102" s="147" t="inlineStr">
        <is>
          <t>Indian average emission intensity</t>
        </is>
      </c>
      <c r="B102" s="150" t="inlineStr">
        <is>
          <t>tCO2e/tfs</t>
        </is>
      </c>
      <c r="C102" s="1151" t="n">
        <v>2.55</v>
      </c>
      <c r="D102" s="1151" t="n">
        <v>2.55</v>
      </c>
      <c r="E102" s="1151" t="n">
        <v>2.55</v>
      </c>
      <c r="F102" s="1151" t="n">
        <v>2.55</v>
      </c>
      <c r="G102" s="1151" t="n">
        <v>2.55</v>
      </c>
      <c r="H102" s="1151" t="n">
        <v>2.55</v>
      </c>
      <c r="I102" s="1151" t="n">
        <v>2.55</v>
      </c>
      <c r="J102" s="1151" t="n">
        <v>2.55</v>
      </c>
      <c r="K102" s="83" t="n"/>
      <c r="L102" s="352" t="inlineStr">
        <is>
          <t>NOT SOURCED</t>
        </is>
      </c>
      <c r="M102" s="352" t="inlineStr">
        <is>
          <t>Low</t>
        </is>
      </c>
      <c r="N102" s="345" t="inlineStr">
        <is>
          <t>USER INPUT. Not sourced in this research cycle. Indian BF-BOF is generally understood to sit well above the 2.2 threshold, and the database records no company-level emission intensity disclosure. Replace with company Business Responsibility and Sustainability Report data.</t>
        </is>
      </c>
      <c r="P102" s="708" t="inlineStr">
        <is>
          <t>ES31</t>
        </is>
      </c>
    </row>
    <row r="103">
      <c r="A103" s="147" t="inlineStr">
        <is>
          <t>EU benchmark emission intensity</t>
        </is>
      </c>
      <c r="B103" s="150" t="inlineStr">
        <is>
          <t>tCO2e/tfs</t>
        </is>
      </c>
      <c r="C103" s="1151" t="n">
        <v>1.85</v>
      </c>
      <c r="D103" s="1151" t="n">
        <v>1.85</v>
      </c>
      <c r="E103" s="1151" t="n">
        <v>1.85</v>
      </c>
      <c r="F103" s="1151" t="n">
        <v>1.85</v>
      </c>
      <c r="G103" s="1151" t="n">
        <v>1.85</v>
      </c>
      <c r="H103" s="1151" t="n">
        <v>1.85</v>
      </c>
      <c r="I103" s="1151" t="n">
        <v>1.85</v>
      </c>
      <c r="J103" s="1151" t="n">
        <v>1.85</v>
      </c>
      <c r="K103" s="83" t="n"/>
      <c r="L103" s="352" t="inlineStr">
        <is>
          <t>NOT SOURCED</t>
        </is>
      </c>
      <c r="M103" s="352" t="inlineStr">
        <is>
          <t>Low</t>
        </is>
      </c>
      <c r="N103" s="345" t="inlineStr">
        <is>
          <t>USER INPUT. Not sourced.</t>
        </is>
      </c>
      <c r="P103" s="708" t="inlineStr">
        <is>
          <t>ES32</t>
        </is>
      </c>
    </row>
    <row r="104" ht="24" customHeight="1" s="632">
      <c r="A104" s="147" t="inlineStr">
        <is>
          <t>EU carbon price</t>
        </is>
      </c>
      <c r="B104" s="150" t="inlineStr">
        <is>
          <t>EUR/tCO2</t>
        </is>
      </c>
      <c r="C104" s="1152" t="n">
        <v>85</v>
      </c>
      <c r="D104" s="1152" t="n">
        <v>85</v>
      </c>
      <c r="E104" s="1152" t="n">
        <v>85</v>
      </c>
      <c r="F104" s="1152" t="n">
        <v>85</v>
      </c>
      <c r="G104" s="1152" t="n">
        <v>85</v>
      </c>
      <c r="H104" s="1152" t="n">
        <v>85</v>
      </c>
      <c r="I104" s="1152" t="n">
        <v>85</v>
      </c>
      <c r="J104" s="1152" t="n">
        <v>85</v>
      </c>
      <c r="K104" s="83" t="n"/>
      <c r="L104" s="352" t="inlineStr">
        <is>
          <t>NOT SOURCED</t>
        </is>
      </c>
      <c r="M104" s="352" t="inlineStr">
        <is>
          <t>Low</t>
        </is>
      </c>
      <c r="N104" s="345" t="inlineStr">
        <is>
          <t>USER INPUT. Not sourced. EU ETS prices are observable and should be substituted.</t>
        </is>
      </c>
      <c r="P104" s="708" t="inlineStr">
        <is>
          <t>ES33</t>
        </is>
      </c>
    </row>
    <row r="105" ht="24" customHeight="1" s="632">
      <c r="A105" s="147" t="inlineStr">
        <is>
          <t>EUR/INR</t>
        </is>
      </c>
      <c r="B105" s="150" t="inlineStr">
        <is>
          <t>Rs/EUR</t>
        </is>
      </c>
      <c r="C105" s="1152" t="n">
        <v>103</v>
      </c>
      <c r="D105" s="1152" t="n">
        <v>103</v>
      </c>
      <c r="E105" s="1152" t="n">
        <v>103</v>
      </c>
      <c r="F105" s="1152" t="n">
        <v>103</v>
      </c>
      <c r="G105" s="1152" t="n">
        <v>103</v>
      </c>
      <c r="H105" s="1152" t="n">
        <v>103</v>
      </c>
      <c r="I105" s="1152" t="n">
        <v>103</v>
      </c>
      <c r="J105" s="1152" t="n">
        <v>103</v>
      </c>
      <c r="K105" s="83" t="n"/>
      <c r="L105" s="352" t="inlineStr">
        <is>
          <t>NOT SOURCED</t>
        </is>
      </c>
      <c r="M105" s="352" t="inlineStr">
        <is>
          <t>Low</t>
        </is>
      </c>
      <c r="N105" s="345" t="inlineStr">
        <is>
          <t>USER INPUT. Not sourced. Implied cross from the derived USD/INR of 88.4 at a EUR/USD of roughly 1.17.</t>
        </is>
      </c>
      <c r="P105" s="708" t="inlineStr">
        <is>
          <t>ES34</t>
        </is>
      </c>
    </row>
    <row r="106" ht="24" customHeight="1" s="632">
      <c r="A106" s="69" t="inlineStr">
        <is>
          <t>EU share of Indian exports</t>
        </is>
      </c>
      <c r="B106" s="78" t="inlineStr">
        <is>
          <t>%</t>
        </is>
      </c>
      <c r="C106" s="904" t="n">
        <v>0.344</v>
      </c>
      <c r="D106" s="904" t="n">
        <v>0.344</v>
      </c>
      <c r="E106" s="904" t="n">
        <v>0.344</v>
      </c>
      <c r="F106" s="904" t="n">
        <v>0.344</v>
      </c>
      <c r="G106" s="904" t="n">
        <v>0.344</v>
      </c>
      <c r="H106" s="904" t="n">
        <v>0.344</v>
      </c>
      <c r="I106" s="904" t="n">
        <v>0.344</v>
      </c>
      <c r="J106" s="904" t="n">
        <v>0.344</v>
      </c>
      <c r="K106" s="83" t="n"/>
      <c r="L106" s="352" t="inlineStr">
        <is>
          <t>Master DB</t>
        </is>
      </c>
      <c r="M106" s="352" t="inlineStr">
        <is>
          <t>High</t>
        </is>
      </c>
      <c r="N106" s="345" t="inlineStr">
        <is>
          <t>Italy 16.2%, Belgium 10.9% and Spain 7.3% of FY2026 finished steel exports.</t>
        </is>
      </c>
      <c r="P106" s="708" t="inlineStr">
        <is>
          <t>ES35</t>
        </is>
      </c>
    </row>
    <row r="107">
      <c r="A107" s="71" t="n"/>
      <c r="B107" s="83" t="n"/>
      <c r="C107" s="83" t="n"/>
      <c r="D107" s="83" t="n"/>
      <c r="E107" s="83" t="n"/>
      <c r="F107" s="83" t="n"/>
      <c r="G107" s="83" t="n"/>
      <c r="H107" s="83" t="n"/>
      <c r="I107" s="83" t="n"/>
      <c r="J107" s="83" t="n"/>
      <c r="K107" s="83" t="n"/>
      <c r="L107" s="83" t="n"/>
      <c r="M107" s="45" t="n"/>
      <c r="N107" s="68" t="n"/>
    </row>
    <row r="108">
      <c r="A108" s="836" t="inlineStr">
        <is>
          <t>CBAM EXPOSURE (live calculation on the inputs above)</t>
        </is>
      </c>
      <c r="B108" s="837" t="n"/>
      <c r="C108" s="837" t="n"/>
      <c r="D108" s="837" t="n"/>
      <c r="E108" s="837" t="n"/>
      <c r="F108" s="837" t="n"/>
      <c r="G108" s="837" t="n"/>
      <c r="H108" s="837" t="n"/>
      <c r="I108" s="837" t="n"/>
      <c r="J108" s="837" t="n"/>
      <c r="K108" s="837" t="n"/>
      <c r="L108" s="837" t="n"/>
      <c r="M108" s="837" t="n"/>
      <c r="N108" s="838" t="n"/>
    </row>
    <row r="109">
      <c r="A109" s="69" t="inlineStr">
        <is>
          <t>Finished steel exports</t>
        </is>
      </c>
      <c r="B109" s="78" t="inlineStr">
        <is>
          <t>Mt</t>
        </is>
      </c>
      <c r="C109" s="907" t="n">
        <v>6.602</v>
      </c>
      <c r="D109" s="907">
        <f>'Trade Model'!D$78</f>
        <v/>
      </c>
      <c r="E109" s="907">
        <f>'Trade Model'!E$78</f>
        <v/>
      </c>
      <c r="F109" s="907">
        <f>'Trade Model'!F$78</f>
        <v/>
      </c>
      <c r="G109" s="907">
        <f>'Trade Model'!G$78</f>
        <v/>
      </c>
      <c r="H109" s="907">
        <f>'Trade Model'!H$78</f>
        <v/>
      </c>
      <c r="I109" s="907">
        <f>'Trade Model'!I$78</f>
        <v/>
      </c>
      <c r="J109" s="907">
        <f>'Trade Model'!J$78</f>
        <v/>
      </c>
      <c r="K109" s="83" t="n"/>
      <c r="L109" s="352" t="inlineStr">
        <is>
          <t>19 Trade</t>
        </is>
      </c>
      <c r="M109" s="352" t="inlineStr">
        <is>
          <t>Medium</t>
        </is>
      </c>
      <c r="N109" s="68" t="n"/>
      <c r="P109" s="708" t="inlineStr">
        <is>
          <t>ES36</t>
        </is>
      </c>
    </row>
    <row r="110">
      <c r="A110" s="69" t="inlineStr">
        <is>
          <t>EU-destined exports</t>
        </is>
      </c>
      <c r="B110" s="78" t="inlineStr">
        <is>
          <t>Mt</t>
        </is>
      </c>
      <c r="C110" s="83" t="n"/>
      <c r="D110" s="907">
        <f>D109*D106</f>
        <v/>
      </c>
      <c r="E110" s="907">
        <f>E109*E106</f>
        <v/>
      </c>
      <c r="F110" s="907">
        <f>F109*F106</f>
        <v/>
      </c>
      <c r="G110" s="907">
        <f>G109*G106</f>
        <v/>
      </c>
      <c r="H110" s="907">
        <f>H109*H106</f>
        <v/>
      </c>
      <c r="I110" s="907">
        <f>I109*I106</f>
        <v/>
      </c>
      <c r="J110" s="907">
        <f>J109*J106</f>
        <v/>
      </c>
      <c r="K110" s="83" t="n"/>
      <c r="L110" s="352" t="inlineStr">
        <is>
          <t>Computed</t>
        </is>
      </c>
      <c r="M110" s="352" t="inlineStr">
        <is>
          <t>Medium</t>
        </is>
      </c>
      <c r="N110" s="68" t="n"/>
      <c r="P110" s="708" t="inlineStr">
        <is>
          <t>ES37</t>
        </is>
      </c>
    </row>
    <row r="111" ht="27.6" customHeight="1" s="632">
      <c r="A111" s="69" t="inlineStr">
        <is>
          <t>Emission intensity excess vs EU benchmark</t>
        </is>
      </c>
      <c r="B111" s="78" t="inlineStr">
        <is>
          <t>tCO2e/tfs</t>
        </is>
      </c>
      <c r="C111" s="83" t="n"/>
      <c r="D111" s="907">
        <f>MAX(0,D102-D103)</f>
        <v/>
      </c>
      <c r="E111" s="907">
        <f>MAX(0,E102-E103)</f>
        <v/>
      </c>
      <c r="F111" s="907">
        <f>MAX(0,F102-F103)</f>
        <v/>
      </c>
      <c r="G111" s="907">
        <f>MAX(0,G102-G103)</f>
        <v/>
      </c>
      <c r="H111" s="907">
        <f>MAX(0,H102-H103)</f>
        <v/>
      </c>
      <c r="I111" s="907">
        <f>MAX(0,I102-I103)</f>
        <v/>
      </c>
      <c r="J111" s="907">
        <f>MAX(0,J102-J103)</f>
        <v/>
      </c>
      <c r="K111" s="83" t="n"/>
      <c r="L111" s="352" t="inlineStr">
        <is>
          <t>Computed</t>
        </is>
      </c>
      <c r="M111" s="352" t="inlineStr">
        <is>
          <t>Low</t>
        </is>
      </c>
      <c r="N111" s="68" t="n"/>
      <c r="P111" s="708" t="inlineStr">
        <is>
          <t>ES38</t>
        </is>
      </c>
    </row>
    <row r="112" ht="24" customHeight="1" s="632">
      <c r="A112" s="76" t="inlineStr">
        <is>
          <t>CBAM cost</t>
        </is>
      </c>
      <c r="B112" s="78" t="inlineStr">
        <is>
          <t>Rs cr</t>
        </is>
      </c>
      <c r="C112" s="83" t="n"/>
      <c r="D112" s="1153">
        <f>D110*D111*D104*D105/10</f>
        <v/>
      </c>
      <c r="E112" s="1153">
        <f>E110*E111*E104*E105/10</f>
        <v/>
      </c>
      <c r="F112" s="1153">
        <f>F110*F111*F104*F105/10</f>
        <v/>
      </c>
      <c r="G112" s="1153">
        <f>G110*G111*G104*G105/10</f>
        <v/>
      </c>
      <c r="H112" s="1153">
        <f>H110*H111*H104*H105/10</f>
        <v/>
      </c>
      <c r="I112" s="1153">
        <f>I110*I111*I104*I105/10</f>
        <v/>
      </c>
      <c r="J112" s="1153">
        <f>J110*J111*J104*J105/10</f>
        <v/>
      </c>
      <c r="K112" s="83" t="n"/>
      <c r="L112" s="352" t="inlineStr">
        <is>
          <t>Computed</t>
        </is>
      </c>
      <c r="M112" s="352" t="inlineStr">
        <is>
          <t>Low</t>
        </is>
      </c>
      <c r="N112" s="345" t="inlineStr">
        <is>
          <t>Mt x tCO2e/t x EUR/tCO2 x Rs/EUR / 10 = Rs crore. Live on the user inputs above.</t>
        </is>
      </c>
      <c r="P112" s="708" t="inlineStr">
        <is>
          <t>ES39</t>
        </is>
      </c>
    </row>
    <row r="113" ht="36.6" customHeight="1" s="632" thickBot="1">
      <c r="A113" s="72" t="inlineStr">
        <is>
          <t>CBAM cost per tonne of EU-destined export</t>
        </is>
      </c>
      <c r="B113" s="79" t="inlineStr">
        <is>
          <t>Rs/t</t>
        </is>
      </c>
      <c r="C113" s="97" t="n"/>
      <c r="D113" s="1072">
        <f>IFERROR(D112/D110*10,"")</f>
        <v/>
      </c>
      <c r="E113" s="1072">
        <f>IFERROR(E112/E110*10,"")</f>
        <v/>
      </c>
      <c r="F113" s="1072">
        <f>IFERROR(F112/F110*10,"")</f>
        <v/>
      </c>
      <c r="G113" s="1072">
        <f>IFERROR(G112/G110*10,"")</f>
        <v/>
      </c>
      <c r="H113" s="1072">
        <f>IFERROR(H112/H110*10,"")</f>
        <v/>
      </c>
      <c r="I113" s="1072">
        <f>IFERROR(I112/I110*10,"")</f>
        <v/>
      </c>
      <c r="J113" s="1072">
        <f>IFERROR(J112/J110*10,"")</f>
        <v/>
      </c>
      <c r="K113" s="97" t="n"/>
      <c r="L113" s="353" t="inlineStr">
        <is>
          <t>Computed</t>
        </is>
      </c>
      <c r="M113" s="353" t="inlineStr">
        <is>
          <t>Low</t>
        </is>
      </c>
      <c r="N113" s="347" t="inlineStr">
        <is>
          <t>Compare against industry EBITDA per tonne on 13: this is the margin that CBAM removes from EU-destined tonnes unless emission intensity falls.</t>
        </is>
      </c>
      <c r="P113" s="708" t="inlineStr">
        <is>
          <t>ES40</t>
        </is>
      </c>
    </row>
    <row r="114"/>
    <row r="115">
      <c r="A115" s="393" t="inlineStr">
        <is>
          <t>Also unmodelled: the proposed 37% government procurement share for green steel (a PROPOSAL, not an enacted mandate) and the Tata Steel Netherlands going-concern uncertainty, which is company-specific and outside this India model.</t>
        </is>
      </c>
    </row>
  </sheetData>
  <mergeCells count="16">
    <mergeCell ref="A7:I7"/>
    <mergeCell ref="A49:I49"/>
    <mergeCell ref="A29:H29"/>
    <mergeCell ref="A2:E2"/>
    <mergeCell ref="A75:H75"/>
    <mergeCell ref="A101:N101"/>
    <mergeCell ref="A38:H38"/>
    <mergeCell ref="A5:N5"/>
    <mergeCell ref="A17:I17"/>
    <mergeCell ref="A67:C67"/>
    <mergeCell ref="A95:N95"/>
    <mergeCell ref="A108:N108"/>
    <mergeCell ref="A58:I58"/>
    <mergeCell ref="A115:N115"/>
    <mergeCell ref="A84:D84"/>
    <mergeCell ref="A1:N1"/>
  </mergeCells>
  <hyperlinks>
    <hyperlink ref="K9" location="'Audit Checks'!A619" tooltip="Open the reference register on 25 Audit Checks"/>
    <hyperlink ref="K11" location="'Audit Checks'!A619" tooltip="Open the reference register on 25 Audit Checks"/>
    <hyperlink ref="K12" location="'Audit Checks'!A619" tooltip="Open the reference register on 25 Audit Checks"/>
    <hyperlink ref="K13" location="'Audit Checks'!A619" tooltip="Open the reference register on 25 Audit Checks"/>
    <hyperlink ref="K14" location="'Audit Checks'!A619" tooltip="Open the reference register on 25 Audit Checks"/>
    <hyperlink ref="K19" location="'Audit Checks'!A619" tooltip="Open the reference register on 25 Audit Checks"/>
    <hyperlink ref="K21" location="'Audit Checks'!A619" tooltip="Open the reference register on 25 Audit Checks"/>
    <hyperlink ref="K22" location="'Audit Checks'!A619" tooltip="Open the reference register on 25 Audit Checks"/>
    <hyperlink ref="K23" location="'Audit Checks'!A619" tooltip="Open the reference register on 25 Audit Checks"/>
    <hyperlink ref="K24" location="'Audit Checks'!A619" tooltip="Open the reference register on 25 Audit Checks"/>
    <hyperlink ref="K25" location="'Audit Checks'!A619" tooltip="Open the reference register on 25 Audit Checks"/>
    <hyperlink ref="K26" location="'Audit Checks'!A619" tooltip="Open the reference register on 25 Audit Checks"/>
    <hyperlink ref="J35" location="'Audit Checks'!A619" tooltip="Open the reference register on 25 Audit Checks"/>
    <hyperlink ref="L40" location="'Audit Checks'!A619" tooltip="Open the reference register on 25 Audit Checks"/>
    <hyperlink ref="L41" location="'Audit Checks'!A619" tooltip="Open the reference register on 25 Audit Checks"/>
    <hyperlink ref="L42" location="'Audit Checks'!A619" tooltip="Open the reference register on 25 Audit Checks"/>
    <hyperlink ref="L43" location="'Audit Checks'!A619" tooltip="Open the reference register on 25 Audit Checks"/>
    <hyperlink ref="L44" location="'Audit Checks'!A619" tooltip="Open the reference register on 25 Audit Checks"/>
    <hyperlink ref="L45" location="'Audit Checks'!A619" tooltip="Open the reference register on 25 Audit Checks"/>
    <hyperlink ref="L46" location="'Audit Checks'!A619" tooltip="Open the reference register on 25 Audit Checks"/>
    <hyperlink ref="L47" location="'Audit Checks'!A619" tooltip="Open the reference register on 25 Audit Checks"/>
    <hyperlink ref="L51" location="'Audit Checks'!A619" tooltip="Open the reference register on 25 Audit Checks"/>
    <hyperlink ref="L52" location="'Audit Checks'!A619" tooltip="Open the reference register on 25 Audit Checks"/>
    <hyperlink ref="L53" location="'Audit Checks'!A619" tooltip="Open the reference register on 25 Audit Checks"/>
    <hyperlink ref="L54" location="'Audit Checks'!A619" tooltip="Open the reference register on 25 Audit Checks"/>
    <hyperlink ref="L55" location="'Audit Checks'!A619" tooltip="Open the reference register on 25 Audit Checks"/>
    <hyperlink ref="K60" location="'Audit Checks'!A619" tooltip="Open the reference register on 25 Audit Checks"/>
    <hyperlink ref="K61" location="'Audit Checks'!A619" tooltip="Open the reference register on 25 Audit Checks"/>
    <hyperlink ref="K62" location="'Audit Checks'!A619" tooltip="Open the reference register on 25 Audit Checks"/>
    <hyperlink ref="K63" location="'Audit Checks'!A619" tooltip="Open the reference register on 25 Audit Checks"/>
    <hyperlink ref="K64" location="'Audit Checks'!A619" tooltip="Open the reference register on 25 Audit Checks"/>
    <hyperlink ref="E69" location="'Audit Checks'!A619" tooltip="Open the reference register on 25 Audit Checks"/>
    <hyperlink ref="E70" location="'Audit Checks'!A619" tooltip="Open the reference register on 25 Audit Checks"/>
    <hyperlink ref="E71" location="'Audit Checks'!A619" tooltip="Open the reference register on 25 Audit Checks"/>
    <hyperlink ref="J81" location="'Audit Checks'!A619" tooltip="Open the reference register on 25 Audit Checks"/>
    <hyperlink ref="F86" location="'Audit Checks'!A619" tooltip="Open the reference register on 25 Audit Checks"/>
    <hyperlink ref="F87" location="'Audit Checks'!A619" tooltip="Open the reference register on 25 Audit Checks"/>
    <hyperlink ref="F88" location="'Audit Checks'!A619" tooltip="Open the reference register on 25 Audit Checks"/>
    <hyperlink ref="F89" location="'Audit Checks'!A619" tooltip="Open the reference register on 25 Audit Checks"/>
    <hyperlink ref="P96" location="'Audit Checks'!A619" tooltip="Open the reference register on 25 Audit Checks"/>
    <hyperlink ref="P97" location="'Audit Checks'!A619" tooltip="Open the reference register on 25 Audit Checks"/>
    <hyperlink ref="P98" location="'Audit Checks'!A619" tooltip="Open the reference register on 25 Audit Checks"/>
    <hyperlink ref="P99" location="'Audit Checks'!A619" tooltip="Open the reference register on 25 Audit Checks"/>
    <hyperlink ref="P102" location="'Audit Checks'!A619" tooltip="Open the reference register on 25 Audit Checks"/>
    <hyperlink ref="P103" location="'Audit Checks'!A619" tooltip="Open the reference register on 25 Audit Checks"/>
    <hyperlink ref="P104" location="'Audit Checks'!A619" tooltip="Open the reference register on 25 Audit Checks"/>
    <hyperlink ref="P105" location="'Audit Checks'!A619" tooltip="Open the reference register on 25 Audit Checks"/>
    <hyperlink ref="P106" location="'Audit Checks'!A619" tooltip="Open the reference register on 25 Audit Checks"/>
    <hyperlink ref="P109" location="'Audit Checks'!A619" tooltip="Open the reference register on 25 Audit Checks"/>
    <hyperlink ref="P110" location="'Audit Checks'!A619" tooltip="Open the reference register on 25 Audit Checks"/>
    <hyperlink ref="P111" location="'Audit Checks'!A619" tooltip="Open the reference register on 25 Audit Checks"/>
    <hyperlink ref="P112" location="'Audit Checks'!A619" tooltip="Open the reference register on 25 Audit Checks"/>
    <hyperlink ref="P113" location="'Audit Checks'!A619" tooltip="Open the reference register on 25 Audit Checks"/>
  </hyperlinks>
  <pageMargins left="0.7" right="0.7" top="0.75" bottom="0.75" header="0.3" footer="0.3"/>
  <drawing xmlns:r="http://schemas.openxmlformats.org/officeDocument/2006/relationships" r:id="rId1"/>
</worksheet>
</file>

<file path=xl/worksheets/sheet26.xml><?xml version="1.0" encoding="utf-8"?>
<worksheet xmlns="http://schemas.openxmlformats.org/spreadsheetml/2006/main">
  <sheetPr codeName="Sheet26">
    <tabColor rgb="FF002060"/>
    <outlinePr summaryBelow="1" summaryRight="1"/>
    <pageSetUpPr/>
  </sheetPr>
  <dimension ref="A1:P395"/>
  <sheetViews>
    <sheetView showGridLines="0" workbookViewId="0">
      <selection activeCell="I20" sqref="I20"/>
    </sheetView>
  </sheetViews>
  <sheetFormatPr baseColWidth="8" defaultRowHeight="14.4"/>
  <cols>
    <col width="27.44140625" customWidth="1" style="690" min="1" max="1"/>
    <col width="16.109375" customWidth="1" style="129" min="2" max="8"/>
    <col width="7" customWidth="1" style="632" min="7" max="7"/>
    <col width="7" customWidth="1" style="632" min="8" max="8"/>
    <col width="16.109375" customWidth="1" style="690" min="9" max="9"/>
    <col width="13" customWidth="1" style="690" min="10" max="10"/>
    <col width="12" customWidth="1" style="690" min="11" max="11"/>
    <col width="22" customWidth="1" style="690" min="12" max="12"/>
    <col width="12" customWidth="1" style="690" min="13" max="13"/>
    <col width="105" customWidth="1" style="690" min="14" max="14"/>
    <col width="8.88671875" customWidth="1" style="690" min="15" max="16384"/>
  </cols>
  <sheetData>
    <row r="1" ht="26.4" customHeight="1" s="632" thickBot="1">
      <c r="A1" s="681" t="inlineStr">
        <is>
          <t>SCENARIO MANAGER</t>
        </is>
      </c>
      <c r="I1" s="688">
        <f>'Control Panel'!E17</f>
        <v/>
      </c>
    </row>
    <row r="2">
      <c r="A2" s="494" t="inlineStr">
        <is>
          <t>Industry Financial Model  |  Indian Steel Industry  |  Horizon FY2027E-FY2033E  |  Base year FY2026A</t>
        </is>
      </c>
    </row>
    <row r="3">
      <c r="A3" s="415" t="n"/>
    </row>
    <row r="4">
      <c r="A4" s="411" t="inlineStr">
        <is>
          <t>OBJECTIVE</t>
        </is>
      </c>
      <c r="B4" s="153" t="n"/>
      <c r="C4" s="153" t="n"/>
      <c r="D4" s="153" t="n"/>
      <c r="E4" s="153" t="n"/>
      <c r="F4" s="153" t="n"/>
      <c r="G4" s="153" t="n"/>
      <c r="H4" s="153" t="n"/>
      <c r="I4" s="148" t="n"/>
    </row>
    <row r="5">
      <c r="A5" s="394" t="inlineStr">
        <is>
          <t>Centralize all scenario assumptions and dynamically drive the entire industry model under Base, Bull, Bear, and Stress cases.</t>
        </is>
      </c>
    </row>
    <row r="6">
      <c r="A6" s="394" t="n"/>
      <c r="B6" s="394" t="n"/>
      <c r="C6" s="394" t="n"/>
      <c r="D6" s="394" t="n"/>
      <c r="E6" s="394" t="n"/>
      <c r="F6" s="394" t="n"/>
      <c r="G6" s="394" t="n"/>
      <c r="H6" s="394" t="n"/>
      <c r="I6" s="394" t="n"/>
    </row>
    <row r="7" ht="15.6" customHeight="1" s="632">
      <c r="A7" s="612" t="inlineStr">
        <is>
          <t>Scenario Dashboard</t>
        </is>
      </c>
    </row>
    <row r="8">
      <c r="A8" s="544" t="inlineStr">
        <is>
          <t>Variable</t>
        </is>
      </c>
      <c r="B8" s="544" t="inlineStr">
        <is>
          <t>Base</t>
        </is>
      </c>
      <c r="C8" s="544" t="inlineStr">
        <is>
          <t>Bull</t>
        </is>
      </c>
      <c r="D8" s="544" t="inlineStr">
        <is>
          <t>Bear</t>
        </is>
      </c>
      <c r="E8" s="544" t="inlineStr">
        <is>
          <t>Stress</t>
        </is>
      </c>
      <c r="F8" s="544" t="inlineStr">
        <is>
          <t>Active Value</t>
        </is>
      </c>
      <c r="G8" s="682" t="n"/>
      <c r="H8" s="707" t="inlineStr">
        <is>
          <t>Ref</t>
        </is>
      </c>
      <c r="I8" s="682" t="n"/>
    </row>
    <row r="9">
      <c r="A9" s="670" t="inlineStr">
        <is>
          <t>GDP Growth (%)</t>
        </is>
      </c>
      <c r="B9" s="875">
        <f>'Model Assumptions'!$K$38</f>
        <v/>
      </c>
      <c r="C9" s="875">
        <f>'Model Assumptions'!$K$39</f>
        <v/>
      </c>
      <c r="D9" s="875">
        <f>'Model Assumptions'!$K$40</f>
        <v/>
      </c>
      <c r="E9" s="875">
        <f>'Model Assumptions'!$K$41</f>
        <v/>
      </c>
      <c r="F9" s="875">
        <f>'Model Assumptions'!$K$8</f>
        <v/>
      </c>
      <c r="G9" s="683" t="n"/>
      <c r="H9" s="708" t="inlineStr">
        <is>
          <t>SC02</t>
        </is>
      </c>
      <c r="I9" s="683" t="n"/>
    </row>
    <row r="10">
      <c r="A10" s="670" t="inlineStr">
        <is>
          <t>Steel Demand Growth (%)</t>
        </is>
      </c>
      <c r="B10" s="875">
        <f>'Scenario Manager'!$J$96</f>
        <v/>
      </c>
      <c r="C10" s="875">
        <f>'Scenario Manager'!$J$172</f>
        <v/>
      </c>
      <c r="D10" s="875">
        <f>'Scenario Manager'!$J$248</f>
        <v/>
      </c>
      <c r="E10" s="875">
        <f>'Scenario Manager'!$J$324</f>
        <v/>
      </c>
      <c r="F10" s="875">
        <f>'Steel Demand Model'!$J$115</f>
        <v/>
      </c>
      <c r="G10" s="683" t="n"/>
      <c r="H10" s="683" t="n"/>
      <c r="I10" s="683" t="n"/>
    </row>
    <row r="11">
      <c r="A11" s="670" t="inlineStr">
        <is>
          <t>Steel Price Growth (%)</t>
        </is>
      </c>
      <c r="B11" s="954">
        <f>IFERROR('Scenario Manager'!$J$117/'Scenario Manager'!$I$117-1,"")</f>
        <v/>
      </c>
      <c r="C11" s="954">
        <f>IFERROR('Scenario Manager'!$J$193/'Scenario Manager'!$I$193-1,"")</f>
        <v/>
      </c>
      <c r="D11" s="954">
        <f>IFERROR('Scenario Manager'!$J$269/'Scenario Manager'!$I$269-1,"")</f>
        <v/>
      </c>
      <c r="E11" s="954">
        <f>IFERROR('Scenario Manager'!$J$345/'Scenario Manager'!$I$345-1,"")</f>
        <v/>
      </c>
      <c r="F11" s="954">
        <f>IFERROR('Steel Price Forecast'!$J$103/'Steel Price Forecast'!$I$103-1,"")</f>
        <v/>
      </c>
      <c r="G11" s="683" t="n"/>
      <c r="H11" s="683" t="n"/>
      <c r="I11" s="683" t="n"/>
    </row>
    <row r="12">
      <c r="A12" s="670" t="inlineStr">
        <is>
          <t>Capacity Utilisation (%)</t>
        </is>
      </c>
      <c r="B12" s="875">
        <f>'Scenario Manager'!$J$111</f>
        <v/>
      </c>
      <c r="C12" s="875">
        <f>'Scenario Manager'!$J$187</f>
        <v/>
      </c>
      <c r="D12" s="875">
        <f>'Scenario Manager'!$J$263</f>
        <v/>
      </c>
      <c r="E12" s="875">
        <f>'Scenario Manager'!$J$339</f>
        <v/>
      </c>
      <c r="F12" s="875">
        <f>'Capacity Utilisation'!$J$67</f>
        <v/>
      </c>
      <c r="G12" s="683" t="n"/>
      <c r="H12" s="683" t="n"/>
      <c r="I12" s="683" t="n"/>
    </row>
    <row r="13">
      <c r="A13" s="670" t="inlineStr">
        <is>
          <t>Iron Ore Price</t>
        </is>
      </c>
      <c r="B13" s="828">
        <f>'Model Assumptions'!$K$74</f>
        <v/>
      </c>
      <c r="C13" s="828">
        <f>'Model Assumptions'!$K$75</f>
        <v/>
      </c>
      <c r="D13" s="828">
        <f>'Model Assumptions'!$K$76</f>
        <v/>
      </c>
      <c r="E13" s="828">
        <f>'Model Assumptions'!$K$77</f>
        <v/>
      </c>
      <c r="F13" s="828">
        <f>'Model Assumptions'!$K$17</f>
        <v/>
      </c>
      <c r="G13" s="683" t="n"/>
      <c r="H13" s="683" t="n"/>
      <c r="I13" s="683" t="n"/>
    </row>
    <row r="14">
      <c r="A14" s="670" t="inlineStr">
        <is>
          <t>Coking Coal Price</t>
        </is>
      </c>
      <c r="B14" s="997">
        <f>'Model Assumptions'!$K$78</f>
        <v/>
      </c>
      <c r="C14" s="997">
        <f>'Model Assumptions'!$K$79</f>
        <v/>
      </c>
      <c r="D14" s="997">
        <f>'Model Assumptions'!$K$80</f>
        <v/>
      </c>
      <c r="E14" s="997">
        <f>'Model Assumptions'!$K$81</f>
        <v/>
      </c>
      <c r="F14" s="997">
        <f>'Model Assumptions'!$K$18</f>
        <v/>
      </c>
    </row>
    <row r="15">
      <c r="A15" s="670" t="inlineStr">
        <is>
          <t>Power Cost Inflation</t>
        </is>
      </c>
      <c r="B15" s="875">
        <f>'Model Assumptions'!$K$82</f>
        <v/>
      </c>
      <c r="C15" s="875">
        <f>'Model Assumptions'!$K$83</f>
        <v/>
      </c>
      <c r="D15" s="875">
        <f>'Model Assumptions'!$K$84</f>
        <v/>
      </c>
      <c r="E15" s="875">
        <f>'Model Assumptions'!$K$85</f>
        <v/>
      </c>
      <c r="F15" s="875">
        <f>'Model Assumptions'!$K$19</f>
        <v/>
      </c>
      <c r="G15" s="394" t="n"/>
      <c r="H15" s="708" t="inlineStr">
        <is>
          <t>SC01</t>
        </is>
      </c>
      <c r="I15" s="394" t="n"/>
    </row>
    <row r="16">
      <c r="A16" s="670" t="inlineStr">
        <is>
          <t>Logistics Inflation</t>
        </is>
      </c>
      <c r="B16" s="875">
        <f>'Model Assumptions'!$K$82</f>
        <v/>
      </c>
      <c r="C16" s="875">
        <f>'Model Assumptions'!$K$83</f>
        <v/>
      </c>
      <c r="D16" s="875">
        <f>'Model Assumptions'!$K$84</f>
        <v/>
      </c>
      <c r="E16" s="875">
        <f>'Model Assumptions'!$K$85</f>
        <v/>
      </c>
      <c r="F16" s="875">
        <f>'Model Assumptions'!$K$19</f>
        <v/>
      </c>
      <c r="G16" s="394" t="n"/>
      <c r="H16" s="708" t="inlineStr">
        <is>
          <t>SC01</t>
        </is>
      </c>
      <c r="I16" s="394" t="n"/>
    </row>
    <row r="17">
      <c r="A17" s="670" t="inlineStr">
        <is>
          <t>Inflation</t>
        </is>
      </c>
      <c r="B17" s="875">
        <f>'Model Assumptions'!$K$50</f>
        <v/>
      </c>
      <c r="C17" s="875">
        <f>'Model Assumptions'!$K$51</f>
        <v/>
      </c>
      <c r="D17" s="875">
        <f>'Model Assumptions'!$K$52</f>
        <v/>
      </c>
      <c r="E17" s="875">
        <f>'Model Assumptions'!$K$53</f>
        <v/>
      </c>
      <c r="F17" s="875">
        <f>'Model Assumptions'!$K$11</f>
        <v/>
      </c>
      <c r="G17" s="394" t="n"/>
      <c r="H17" s="394" t="n"/>
      <c r="I17" s="394" t="n"/>
    </row>
    <row r="18">
      <c r="A18" s="670" t="inlineStr">
        <is>
          <t>USD/INR</t>
        </is>
      </c>
      <c r="B18" s="828">
        <f>'Model Assumptions'!$K$46</f>
        <v/>
      </c>
      <c r="C18" s="828">
        <f>'Model Assumptions'!$K$47</f>
        <v/>
      </c>
      <c r="D18" s="828">
        <f>'Model Assumptions'!$K$48</f>
        <v/>
      </c>
      <c r="E18" s="828">
        <f>'Model Assumptions'!$K$49</f>
        <v/>
      </c>
      <c r="F18" s="828">
        <f>'Model Assumptions'!$K$10</f>
        <v/>
      </c>
      <c r="G18" s="394" t="n"/>
      <c r="H18" s="394" t="n"/>
      <c r="I18" s="394" t="n"/>
    </row>
    <row r="19">
      <c r="A19" s="670" t="inlineStr">
        <is>
          <t>Interest Rate</t>
        </is>
      </c>
      <c r="B19" s="875">
        <f>'Model Assumptions'!$K$114</f>
        <v/>
      </c>
      <c r="C19" s="875">
        <f>'Model Assumptions'!$K$115</f>
        <v/>
      </c>
      <c r="D19" s="875">
        <f>'Model Assumptions'!$K$116</f>
        <v/>
      </c>
      <c r="E19" s="875">
        <f>'Model Assumptions'!$K$117</f>
        <v/>
      </c>
      <c r="F19" s="875">
        <f>'Model Assumptions'!$K$27</f>
        <v/>
      </c>
      <c r="G19" s="394" t="n"/>
      <c r="H19" s="394" t="n"/>
      <c r="I19" s="394" t="n"/>
    </row>
    <row r="20">
      <c r="A20" s="670" t="inlineStr">
        <is>
          <t>Carbon Price</t>
        </is>
      </c>
      <c r="B20" s="997">
        <f>'ESG Model'!$J$104</f>
        <v/>
      </c>
      <c r="C20" s="997">
        <f>'ESG Model'!$J$104</f>
        <v/>
      </c>
      <c r="D20" s="997">
        <f>'ESG Model'!$J$104</f>
        <v/>
      </c>
      <c r="E20" s="997">
        <f>'ESG Model'!$J$104</f>
        <v/>
      </c>
      <c r="F20" s="997">
        <f>'ESG Model'!$J$104</f>
        <v/>
      </c>
      <c r="G20" s="394" t="n"/>
      <c r="H20" s="394" t="n"/>
      <c r="I20" s="394" t="n"/>
    </row>
    <row r="21">
      <c r="A21" s="670" t="inlineStr">
        <is>
          <t>Capex Inflation</t>
        </is>
      </c>
      <c r="B21" s="954">
        <f>IFERROR('Model Assumptions'!$K$98/'Model Assumptions'!$J$98-1,"")</f>
        <v/>
      </c>
      <c r="C21" s="954">
        <f>IFERROR('Model Assumptions'!$K$99/'Model Assumptions'!$J$99-1,"")</f>
        <v/>
      </c>
      <c r="D21" s="954">
        <f>IFERROR('Model Assumptions'!$K$100/'Model Assumptions'!$J$100-1,"")</f>
        <v/>
      </c>
      <c r="E21" s="954">
        <f>IFERROR('Model Assumptions'!$K$101/'Model Assumptions'!$J$101-1,"")</f>
        <v/>
      </c>
      <c r="F21" s="954">
        <f>IFERROR('Model Assumptions'!$K$23/'Model Assumptions'!$J$23-1,"")</f>
        <v/>
      </c>
      <c r="G21" s="394" t="n"/>
      <c r="H21" s="394" t="n"/>
      <c r="I21" s="394" t="n"/>
    </row>
    <row r="22">
      <c r="A22" s="670" t="inlineStr">
        <is>
          <t>Working Capital Days</t>
        </is>
      </c>
      <c r="B22" s="997">
        <f>'Model Assumptions'!$K$106</f>
        <v/>
      </c>
      <c r="C22" s="997">
        <f>'Model Assumptions'!$K$107</f>
        <v/>
      </c>
      <c r="D22" s="997">
        <f>'Model Assumptions'!$K$108</f>
        <v/>
      </c>
      <c r="E22" s="997">
        <f>'Model Assumptions'!$K$109</f>
        <v/>
      </c>
      <c r="F22" s="997">
        <f>'Model Assumptions'!$K$25</f>
        <v/>
      </c>
      <c r="G22" s="394" t="n"/>
      <c r="H22" s="394" t="n"/>
      <c r="I22" s="394" t="n"/>
    </row>
    <row r="23">
      <c r="A23" s="670" t="inlineStr">
        <is>
          <t>Tax Rate</t>
        </is>
      </c>
      <c r="B23" s="1154">
        <f>'Model Assumptions'!$K$94</f>
        <v/>
      </c>
      <c r="C23" s="1154">
        <f>'Model Assumptions'!$K$95</f>
        <v/>
      </c>
      <c r="D23" s="1154">
        <f>'Model Assumptions'!$K$96</f>
        <v/>
      </c>
      <c r="E23" s="1154">
        <f>'Model Assumptions'!$K$97</f>
        <v/>
      </c>
      <c r="F23" s="1154">
        <f>'Model Assumptions'!$K$22</f>
        <v/>
      </c>
      <c r="G23" s="394" t="n"/>
      <c r="H23" s="394" t="n"/>
      <c r="I23" s="394" t="n"/>
    </row>
    <row r="24">
      <c r="A24" s="394" t="n"/>
      <c r="B24" s="394" t="n"/>
      <c r="C24" s="394" t="n"/>
      <c r="D24" s="394" t="n"/>
      <c r="E24" s="394" t="n"/>
      <c r="F24" s="394" t="n"/>
      <c r="G24" s="394" t="n"/>
      <c r="H24" s="394" t="n"/>
      <c r="I24" s="394" t="n"/>
    </row>
    <row r="25">
      <c r="A25" s="394" t="n"/>
      <c r="B25" s="394" t="n"/>
      <c r="C25" s="394" t="n"/>
      <c r="D25" s="394" t="n"/>
      <c r="E25" s="394" t="n"/>
      <c r="F25" s="394" t="n"/>
      <c r="G25" s="394" t="n"/>
      <c r="H25" s="394" t="n"/>
      <c r="I25" s="394" t="n"/>
    </row>
    <row r="26" ht="15.6" customHeight="1" s="632">
      <c r="A26" s="612" t="inlineStr">
        <is>
          <t>Scenario Summary</t>
        </is>
      </c>
    </row>
    <row r="27">
      <c r="A27" s="544" t="inlineStr">
        <is>
          <t>Metric</t>
        </is>
      </c>
      <c r="B27" s="544" t="inlineStr">
        <is>
          <t>Base</t>
        </is>
      </c>
      <c r="C27" s="544" t="inlineStr">
        <is>
          <t>Bull</t>
        </is>
      </c>
      <c r="D27" s="544" t="inlineStr">
        <is>
          <t>Bear</t>
        </is>
      </c>
      <c r="E27" s="544" t="inlineStr">
        <is>
          <t>Stress</t>
        </is>
      </c>
      <c r="F27" s="394" t="n"/>
      <c r="G27" s="707" t="inlineStr">
        <is>
          <t>Ref</t>
        </is>
      </c>
      <c r="H27" s="394" t="n"/>
      <c r="I27" s="394" t="n"/>
    </row>
    <row r="28">
      <c r="A28" s="670" t="inlineStr">
        <is>
          <t>Revenue</t>
        </is>
      </c>
      <c r="B28" s="1073">
        <f>'Scenario Manager'!$J$130</f>
        <v/>
      </c>
      <c r="C28" s="1073">
        <f>'Scenario Manager'!$J$206</f>
        <v/>
      </c>
      <c r="D28" s="1073">
        <f>'Scenario Manager'!$J$282</f>
        <v/>
      </c>
      <c r="E28" s="1073">
        <f>'Scenario Manager'!$J$358</f>
        <v/>
      </c>
      <c r="F28" s="394" t="n"/>
      <c r="G28" s="394" t="n"/>
      <c r="H28" s="394" t="n"/>
      <c r="I28" s="394" t="n"/>
    </row>
    <row r="29">
      <c r="A29" s="670" t="inlineStr">
        <is>
          <t>EBITDA</t>
        </is>
      </c>
      <c r="B29" s="1073">
        <f>'Scenario Manager'!$J$131</f>
        <v/>
      </c>
      <c r="C29" s="1073">
        <f>'Scenario Manager'!$J$207</f>
        <v/>
      </c>
      <c r="D29" s="1073">
        <f>'Scenario Manager'!$J$283</f>
        <v/>
      </c>
      <c r="E29" s="1073">
        <f>'Scenario Manager'!$J$359</f>
        <v/>
      </c>
      <c r="F29" s="394" t="n"/>
      <c r="G29" s="708" t="inlineStr">
        <is>
          <t>SC03</t>
        </is>
      </c>
      <c r="H29" s="394" t="n"/>
      <c r="I29" s="394" t="n"/>
    </row>
    <row r="30">
      <c r="A30" s="670" t="inlineStr">
        <is>
          <t>EBITDA Margin</t>
        </is>
      </c>
      <c r="B30" s="875">
        <f>'Scenario Manager'!$J$132</f>
        <v/>
      </c>
      <c r="C30" s="875">
        <f>'Scenario Manager'!$J$208</f>
        <v/>
      </c>
      <c r="D30" s="875">
        <f>'Scenario Manager'!$J$284</f>
        <v/>
      </c>
      <c r="E30" s="875">
        <f>'Scenario Manager'!$J$360</f>
        <v/>
      </c>
      <c r="F30" s="394" t="n"/>
      <c r="G30" s="394" t="n"/>
      <c r="H30" s="394" t="n"/>
      <c r="I30" s="394" t="n"/>
    </row>
    <row r="31">
      <c r="A31" s="670" t="inlineStr">
        <is>
          <t>Free Cash Flow</t>
        </is>
      </c>
      <c r="B31" s="1073">
        <f>'Scenario Manager'!$J$146</f>
        <v/>
      </c>
      <c r="C31" s="1073">
        <f>'Scenario Manager'!$J$222</f>
        <v/>
      </c>
      <c r="D31" s="1073">
        <f>'Scenario Manager'!$J$298</f>
        <v/>
      </c>
      <c r="E31" s="1073">
        <f>'Scenario Manager'!$J$374</f>
        <v/>
      </c>
      <c r="F31" s="394" t="n"/>
      <c r="G31" s="394" t="n"/>
      <c r="H31" s="394" t="n"/>
      <c r="I31" s="394" t="n"/>
    </row>
    <row r="32">
      <c r="A32" s="670" t="inlineStr">
        <is>
          <t>Net Working Capital</t>
        </is>
      </c>
      <c r="B32" s="1073">
        <f>'Scenario Manager'!$J$144</f>
        <v/>
      </c>
      <c r="C32" s="1073">
        <f>'Scenario Manager'!$J$220</f>
        <v/>
      </c>
      <c r="D32" s="1073">
        <f>'Scenario Manager'!$J$296</f>
        <v/>
      </c>
      <c r="E32" s="1073">
        <f>'Scenario Manager'!$J$372</f>
        <v/>
      </c>
      <c r="F32" s="394" t="n"/>
      <c r="G32" s="394" t="n"/>
      <c r="H32" s="394" t="n"/>
      <c r="I32" s="394" t="n"/>
    </row>
    <row r="33">
      <c r="A33" s="670" t="inlineStr">
        <is>
          <t>Capacity Utilisation</t>
        </is>
      </c>
      <c r="B33" s="875">
        <f>'Scenario Manager'!$J$111</f>
        <v/>
      </c>
      <c r="C33" s="875">
        <f>'Scenario Manager'!$J$187</f>
        <v/>
      </c>
      <c r="D33" s="875">
        <f>'Scenario Manager'!$J$263</f>
        <v/>
      </c>
      <c r="E33" s="875">
        <f>'Scenario Manager'!$J$339</f>
        <v/>
      </c>
      <c r="F33" s="394" t="n"/>
      <c r="G33" s="394" t="n"/>
      <c r="H33" s="394" t="n"/>
      <c r="I33" s="394" t="n"/>
    </row>
    <row r="34">
      <c r="A34" s="670" t="inlineStr">
        <is>
          <t>Average Steel Price</t>
        </is>
      </c>
      <c r="B34" s="1002">
        <f>AVERAGE('Scenario Manager'!$D$117:$J$117)</f>
        <v/>
      </c>
      <c r="C34" s="1002">
        <f>AVERAGE('Scenario Manager'!$D$193:$J$193)</f>
        <v/>
      </c>
      <c r="D34" s="1002">
        <f>AVERAGE('Scenario Manager'!$D$269:$J$269)</f>
        <v/>
      </c>
      <c r="E34" s="1002">
        <f>AVERAGE('Scenario Manager'!$D$345:$J$345)</f>
        <v/>
      </c>
      <c r="F34" s="394" t="n"/>
      <c r="G34" s="394" t="n"/>
      <c r="H34" s="394" t="n"/>
      <c r="I34" s="394" t="n"/>
    </row>
    <row r="35">
      <c r="A35" s="670" t="inlineStr">
        <is>
          <t>Industry EV</t>
        </is>
      </c>
      <c r="B35" s="1073">
        <f>'Scenario Manager'!$J$155</f>
        <v/>
      </c>
      <c r="C35" s="1073">
        <f>'Scenario Manager'!$J$231</f>
        <v/>
      </c>
      <c r="D35" s="1073">
        <f>'Scenario Manager'!$J$307</f>
        <v/>
      </c>
      <c r="E35" s="1073">
        <f>'Scenario Manager'!$J$383</f>
        <v/>
      </c>
      <c r="F35" s="394" t="n"/>
      <c r="G35" s="394" t="n"/>
      <c r="H35" s="394" t="n"/>
      <c r="I35" s="394" t="n"/>
    </row>
    <row r="36">
      <c r="A36" s="394" t="n"/>
      <c r="B36" s="394" t="n"/>
      <c r="C36" s="394" t="n"/>
      <c r="D36" s="394" t="n"/>
      <c r="E36" s="394" t="n"/>
      <c r="F36" s="394" t="n"/>
      <c r="G36" s="394" t="n"/>
      <c r="H36" s="394" t="n"/>
      <c r="I36" s="394" t="n"/>
    </row>
    <row r="37">
      <c r="A37" s="394" t="n"/>
      <c r="B37" s="394" t="n"/>
      <c r="C37" s="394" t="n"/>
      <c r="D37" s="394" t="n"/>
      <c r="E37" s="394" t="n"/>
      <c r="F37" s="394" t="n"/>
      <c r="G37" s="394" t="n"/>
      <c r="H37" s="394" t="n"/>
      <c r="I37" s="394" t="n"/>
    </row>
    <row r="38" ht="15.6" customHeight="1" s="632">
      <c r="A38" s="612" t="inlineStr">
        <is>
          <t>Scenario Comparison</t>
        </is>
      </c>
    </row>
    <row r="39">
      <c r="A39" s="544" t="inlineStr">
        <is>
          <t>KPI</t>
        </is>
      </c>
      <c r="B39" s="544" t="inlineStr">
        <is>
          <t>Base</t>
        </is>
      </c>
      <c r="C39" s="544" t="inlineStr">
        <is>
          <t>Bull</t>
        </is>
      </c>
      <c r="D39" s="544" t="inlineStr">
        <is>
          <t>Bear</t>
        </is>
      </c>
      <c r="E39" s="544" t="inlineStr">
        <is>
          <t>Stress</t>
        </is>
      </c>
      <c r="F39" s="394" t="n"/>
      <c r="G39" s="394" t="n"/>
      <c r="H39" s="394" t="n"/>
      <c r="I39" s="394" t="n"/>
    </row>
    <row r="40">
      <c r="A40" s="670" t="inlineStr">
        <is>
          <t>Revenue CAGR</t>
        </is>
      </c>
      <c r="B40" s="1090">
        <f>IFERROR(('Scenario Manager'!$J$130/'Revenue Forecast'!$C$96)^(1/7)-1,"")</f>
        <v/>
      </c>
      <c r="C40" s="1090">
        <f>IFERROR(('Scenario Manager'!$J$206/'Revenue Forecast'!$C$96)^(1/7)-1,"")</f>
        <v/>
      </c>
      <c r="D40" s="1090">
        <f>IFERROR(('Scenario Manager'!$J$282/'Revenue Forecast'!$C$96)^(1/7)-1,"")</f>
        <v/>
      </c>
      <c r="E40" s="1090">
        <f>IFERROR(('Scenario Manager'!$J$358/'Revenue Forecast'!$C$96)^(1/7)-1,"")</f>
        <v/>
      </c>
      <c r="F40" s="394" t="n"/>
      <c r="G40" s="394" t="n"/>
      <c r="H40" s="394" t="n"/>
      <c r="I40" s="394" t="n"/>
    </row>
    <row r="41">
      <c r="A41" s="670" t="inlineStr">
        <is>
          <t>EBITDA CAGR</t>
        </is>
      </c>
      <c r="B41" s="1090">
        <f>IFERROR(('Scenario Manager'!$J$131/'EBITDA Model'!$C$103)^(1/7)-1,"")</f>
        <v/>
      </c>
      <c r="C41" s="1090">
        <f>IFERROR(('Scenario Manager'!$J$207/'EBITDA Model'!$C$103)^(1/7)-1,"")</f>
        <v/>
      </c>
      <c r="D41" s="1090">
        <f>IFERROR(('Scenario Manager'!$J$283/'EBITDA Model'!$C$103)^(1/7)-1,"")</f>
        <v/>
      </c>
      <c r="E41" s="1090">
        <f>IFERROR(('Scenario Manager'!$J$359/'EBITDA Model'!$C$103)^(1/7)-1,"")</f>
        <v/>
      </c>
      <c r="F41" s="394" t="n"/>
      <c r="G41" s="394" t="n"/>
      <c r="H41" s="394" t="n"/>
      <c r="I41" s="394" t="n"/>
    </row>
    <row r="42">
      <c r="A42" s="670" t="inlineStr">
        <is>
          <t>FCF CAGR</t>
        </is>
      </c>
      <c r="B42" s="1090">
        <f>IFERROR(('Scenario Manager'!$J$146/'Scenario Manager'!$D$146)^(1/6)-1,"")</f>
        <v/>
      </c>
      <c r="C42" s="1090">
        <f>IFERROR(('Scenario Manager'!$J$222/'Scenario Manager'!$D$222)^(1/6)-1,"")</f>
        <v/>
      </c>
      <c r="D42" s="1090">
        <f>IFERROR(('Scenario Manager'!$J$298/'Scenario Manager'!$D$298)^(1/6)-1,"")</f>
        <v/>
      </c>
      <c r="E42" s="1090">
        <f>IFERROR(('Scenario Manager'!$J$374/'Scenario Manager'!$D$374)^(1/6)-1,"")</f>
        <v/>
      </c>
      <c r="F42" s="394" t="n"/>
      <c r="G42" s="394" t="n"/>
      <c r="H42" s="394" t="n"/>
      <c r="I42" s="394" t="n"/>
    </row>
    <row r="43">
      <c r="A43" s="670" t="inlineStr">
        <is>
          <t>Peak Margin</t>
        </is>
      </c>
      <c r="B43" s="1090">
        <f>MAX('Scenario Manager'!$D$132:$J$132)</f>
        <v/>
      </c>
      <c r="C43" s="1090">
        <f>MAX('Scenario Manager'!$D$208:$J$208)</f>
        <v/>
      </c>
      <c r="D43" s="1090">
        <f>MAX('Scenario Manager'!$D$284:$J$284)</f>
        <v/>
      </c>
      <c r="E43" s="1090">
        <f>MAX('Scenario Manager'!$D$360:$J$360)</f>
        <v/>
      </c>
      <c r="F43" s="394" t="n"/>
      <c r="G43" s="394" t="n"/>
      <c r="H43" s="394" t="n"/>
      <c r="I43" s="394" t="n"/>
    </row>
    <row r="44">
      <c r="A44" s="670" t="inlineStr">
        <is>
          <t>Peak Capacity Utilisation</t>
        </is>
      </c>
      <c r="B44" s="1090">
        <f>MAX('Scenario Manager'!$D$111:$J$111)</f>
        <v/>
      </c>
      <c r="C44" s="1090">
        <f>MAX('Scenario Manager'!$D$187:$J$187)</f>
        <v/>
      </c>
      <c r="D44" s="1090">
        <f>MAX('Scenario Manager'!$D$263:$J$263)</f>
        <v/>
      </c>
      <c r="E44" s="1090">
        <f>MAX('Scenario Manager'!$D$339:$J$339)</f>
        <v/>
      </c>
      <c r="F44" s="394" t="n"/>
      <c r="G44" s="394" t="n"/>
      <c r="H44" s="394" t="n"/>
      <c r="I44" s="394" t="n"/>
    </row>
    <row r="45">
      <c r="A45" s="670" t="inlineStr">
        <is>
          <t>Average ROIC</t>
        </is>
      </c>
      <c r="B45" s="1090">
        <f>AVERAGE('Scenario Manager'!$D$158:$J$158)</f>
        <v/>
      </c>
      <c r="C45" s="1090">
        <f>AVERAGE('Scenario Manager'!$D$234:$J$234)</f>
        <v/>
      </c>
      <c r="D45" s="1090">
        <f>AVERAGE('Scenario Manager'!$D$310:$J$310)</f>
        <v/>
      </c>
      <c r="E45" s="1090">
        <f>AVERAGE('Scenario Manager'!$D$386:$J$386)</f>
        <v/>
      </c>
      <c r="F45" s="394" t="n"/>
      <c r="G45" s="394" t="n"/>
      <c r="H45" s="394" t="n"/>
      <c r="I45" s="394" t="n"/>
    </row>
    <row r="46">
      <c r="A46" s="670" t="inlineStr">
        <is>
          <t>Average EV/EBITDA</t>
        </is>
      </c>
      <c r="B46" s="1155">
        <f>'Scenario Manager'!$J$147</f>
        <v/>
      </c>
      <c r="C46" s="1155">
        <f>'Scenario Manager'!$J$223</f>
        <v/>
      </c>
      <c r="D46" s="1155">
        <f>'Scenario Manager'!$J$299</f>
        <v/>
      </c>
      <c r="E46" s="1155">
        <f>'Scenario Manager'!$J$375</f>
        <v/>
      </c>
      <c r="F46" s="394" t="n"/>
      <c r="G46" s="394" t="n"/>
      <c r="H46" s="394" t="n"/>
      <c r="I46" s="394" t="n"/>
    </row>
    <row r="47">
      <c r="A47" s="394" t="n"/>
      <c r="B47" s="394" t="n"/>
      <c r="C47" s="394" t="n"/>
      <c r="D47" s="394" t="n"/>
      <c r="E47" s="394" t="n"/>
      <c r="F47" s="394" t="n"/>
      <c r="G47" s="394" t="n"/>
      <c r="H47" s="394" t="n"/>
      <c r="I47" s="394" t="n"/>
    </row>
    <row r="48">
      <c r="A48" s="394" t="n"/>
      <c r="B48" s="394" t="n"/>
      <c r="C48" s="394" t="n"/>
      <c r="D48" s="394" t="n"/>
      <c r="E48" s="394" t="n"/>
      <c r="F48" s="394" t="n"/>
      <c r="G48" s="394" t="n"/>
      <c r="H48" s="394" t="n"/>
      <c r="I48" s="394" t="n"/>
    </row>
    <row r="49" ht="15.6" customHeight="1" s="632">
      <c r="A49" s="612" t="inlineStr">
        <is>
          <t>Sensitivity Matrix</t>
        </is>
      </c>
    </row>
    <row r="50">
      <c r="A50" s="544" t="inlineStr">
        <is>
          <t>Variable</t>
        </is>
      </c>
      <c r="B50" s="544" t="inlineStr">
        <is>
          <t>Change</t>
        </is>
      </c>
      <c r="C50" s="544" t="inlineStr">
        <is>
          <t>Revenue Impact</t>
        </is>
      </c>
      <c r="D50" s="544" t="inlineStr">
        <is>
          <t>EBITDA Impact</t>
        </is>
      </c>
      <c r="E50" s="544" t="inlineStr">
        <is>
          <t>EV Impact</t>
        </is>
      </c>
      <c r="F50" s="394" t="n"/>
      <c r="G50" s="707" t="inlineStr">
        <is>
          <t>Ref</t>
        </is>
      </c>
      <c r="H50" s="394" t="n"/>
      <c r="I50" s="394" t="n"/>
    </row>
    <row r="51">
      <c r="A51" s="670" t="inlineStr">
        <is>
          <t>Steel Price</t>
        </is>
      </c>
      <c r="B51" s="540" t="n">
        <v>0.05</v>
      </c>
      <c r="C51" s="1079">
        <f>'Revenue Forecast'!$J$96*B51</f>
        <v/>
      </c>
      <c r="D51" s="1079">
        <f>'Steel Price Forecast'!$J$103*B51*'Steel Supply Model'!$J$101/10</f>
        <v/>
      </c>
      <c r="E51" s="1079">
        <f>D51*'Model Assumptions'!$K$26</f>
        <v/>
      </c>
      <c r="F51" s="394" t="n"/>
      <c r="G51" s="708" t="inlineStr">
        <is>
          <t>SC04</t>
        </is>
      </c>
      <c r="H51" s="394" t="n"/>
      <c r="I51" s="394" t="n"/>
    </row>
    <row r="52">
      <c r="A52" s="670" t="inlineStr">
        <is>
          <t>Steel Price</t>
        </is>
      </c>
      <c r="B52" s="540" t="n">
        <v>-0.05</v>
      </c>
      <c r="C52" s="1079">
        <f>'Revenue Forecast'!$J$96*B52</f>
        <v/>
      </c>
      <c r="D52" s="1079">
        <f>'Steel Price Forecast'!$J$103*B52*'Steel Supply Model'!$J$101/10</f>
        <v/>
      </c>
      <c r="E52" s="1079">
        <f>D52*'Model Assumptions'!$K$26</f>
        <v/>
      </c>
      <c r="F52" s="394" t="n"/>
      <c r="G52" s="394" t="n"/>
      <c r="H52" s="394" t="n"/>
      <c r="I52" s="394" t="n"/>
    </row>
    <row r="53">
      <c r="A53" s="670" t="inlineStr">
        <is>
          <t>Iron Ore</t>
        </is>
      </c>
      <c r="B53" s="540" t="n">
        <v>0.1</v>
      </c>
      <c r="C53" s="1077" t="n">
        <v>0</v>
      </c>
      <c r="D53" s="1079">
        <f>-'Cost Curve'!$J$80*'Model Assumptions'!$K$20*'Model Assumptions'!$K$21*B53*'Steel Supply Model'!$J$101/10</f>
        <v/>
      </c>
      <c r="E53" s="1079">
        <f>D53*'Model Assumptions'!$K$26</f>
        <v/>
      </c>
      <c r="F53" s="394" t="n"/>
      <c r="G53" s="394" t="n"/>
      <c r="H53" s="394" t="n"/>
      <c r="I53" s="394" t="n"/>
    </row>
    <row r="54">
      <c r="A54" s="670" t="inlineStr">
        <is>
          <t>HCC Coal</t>
        </is>
      </c>
      <c r="B54" s="540" t="n">
        <v>0.1</v>
      </c>
      <c r="C54" s="1077" t="n">
        <v>0</v>
      </c>
      <c r="D54" s="1079">
        <f>-'Cost Curve'!$J$80*'Model Assumptions'!$K$20*'Model Assumptions'!$K$21*B54*'Steel Supply Model'!$J$101/10</f>
        <v/>
      </c>
      <c r="E54" s="1079">
        <f>D54*'Model Assumptions'!$K$26</f>
        <v/>
      </c>
      <c r="F54" s="394" t="n"/>
      <c r="G54" s="394" t="n"/>
      <c r="H54" s="394" t="n"/>
      <c r="I54" s="394" t="n"/>
    </row>
    <row r="55">
      <c r="A55" s="670" t="inlineStr">
        <is>
          <t>Demand</t>
        </is>
      </c>
      <c r="B55" s="540" t="n">
        <v>0.05</v>
      </c>
      <c r="C55" s="1079">
        <f>'Revenue Forecast'!$J$96*B55</f>
        <v/>
      </c>
      <c r="D55" s="1079">
        <f>'EBITDA Model'!$J$103*B55</f>
        <v/>
      </c>
      <c r="E55" s="1079">
        <f>D55*'Model Assumptions'!$K$26</f>
        <v/>
      </c>
      <c r="F55" s="394" t="n"/>
      <c r="G55" s="394" t="n"/>
      <c r="H55" s="394" t="n"/>
      <c r="I55" s="394" t="n"/>
    </row>
    <row r="56">
      <c r="A56" s="670" t="inlineStr">
        <is>
          <t>Capacity Utilisation</t>
        </is>
      </c>
      <c r="B56" s="540" t="n">
        <v>0.02</v>
      </c>
      <c r="C56" s="1079">
        <f>'Steel Supply Model'!$J$101*'Steel Price Forecast'!$J$97*'Model Assumptions'!$K$30*B56/10</f>
        <v/>
      </c>
      <c r="D56" s="1079">
        <f>'Steel Price Forecast'!$J$97*'Model Assumptions'!$K$30*B56*'Steel Supply Model'!$J$101/10</f>
        <v/>
      </c>
      <c r="E56" s="1079">
        <f>D56*'Model Assumptions'!$K$26</f>
        <v/>
      </c>
      <c r="F56" s="394" t="n"/>
      <c r="G56" s="394" t="n"/>
      <c r="H56" s="394" t="n"/>
      <c r="I56" s="394" t="n"/>
    </row>
    <row r="57">
      <c r="A57" s="670" t="inlineStr">
        <is>
          <t>USD/INR</t>
        </is>
      </c>
      <c r="B57" s="540" t="n">
        <v>0.05</v>
      </c>
      <c r="C57" s="1077" t="n">
        <v>0</v>
      </c>
      <c r="D57" s="1079">
        <f>-'Cost Curve'!$J$80*'Model Assumptions'!$K$20*2*'Model Assumptions'!$K$21*B57*'Steel Supply Model'!$J$101/10</f>
        <v/>
      </c>
      <c r="E57" s="1079">
        <f>D57*'Model Assumptions'!$K$26</f>
        <v/>
      </c>
      <c r="F57" s="394" t="n"/>
      <c r="G57" s="394" t="n"/>
      <c r="H57" s="394" t="n"/>
      <c r="I57" s="394" t="n"/>
    </row>
    <row r="58">
      <c r="A58" s="670" t="inlineStr">
        <is>
          <t>WACC</t>
        </is>
      </c>
      <c r="B58" s="540" t="n">
        <v>0.01</v>
      </c>
      <c r="C58" s="1077" t="n">
        <v>0</v>
      </c>
      <c r="D58" s="1077" t="n">
        <v>0</v>
      </c>
      <c r="E58" s="1079">
        <f>SUMPRODUCT('Comparable Valuation'!$D$127:$J$127,1/(1+'Model Assumptions'!$K$27+B58)^'Comparable Valuation'!$D$129:$J$129)+'Comparable Valuation'!$D$136/(1+'Model Assumptions'!$K$27+B58)^6.5-'Comparable Valuation'!$D$138</f>
        <v/>
      </c>
      <c r="F58" s="394" t="n"/>
      <c r="G58" s="394" t="n"/>
      <c r="H58" s="394" t="n"/>
      <c r="I58" s="394" t="n"/>
    </row>
    <row r="59">
      <c r="A59" s="394" t="n"/>
      <c r="B59" s="394" t="n"/>
      <c r="C59" s="394" t="n"/>
      <c r="D59" s="394" t="n"/>
      <c r="E59" s="394" t="n"/>
      <c r="F59" s="394" t="n"/>
      <c r="G59" s="394" t="n"/>
      <c r="H59" s="394" t="n"/>
      <c r="I59" s="394" t="n"/>
    </row>
    <row r="60">
      <c r="A60" s="394" t="n"/>
      <c r="B60" s="394" t="n"/>
      <c r="C60" s="394" t="n"/>
      <c r="D60" s="394" t="n"/>
      <c r="E60" s="394" t="n"/>
      <c r="F60" s="394" t="n"/>
      <c r="G60" s="394" t="n"/>
      <c r="H60" s="394" t="n"/>
      <c r="I60" s="394" t="n"/>
    </row>
    <row r="61">
      <c r="A61" s="394" t="n"/>
      <c r="B61" s="394" t="n"/>
      <c r="C61" s="394" t="n"/>
      <c r="D61" s="394" t="n"/>
      <c r="E61" s="394" t="n"/>
      <c r="F61" s="394" t="n"/>
      <c r="G61" s="394" t="n"/>
      <c r="H61" s="394" t="n"/>
      <c r="I61" s="394" t="n"/>
    </row>
    <row r="62">
      <c r="A62" s="394" t="n"/>
      <c r="B62" s="394" t="n"/>
      <c r="C62" s="394" t="n"/>
      <c r="D62" s="394" t="n"/>
      <c r="E62" s="394" t="n"/>
      <c r="F62" s="394" t="n"/>
      <c r="G62" s="394" t="n"/>
      <c r="H62" s="394" t="n"/>
      <c r="I62" s="394" t="n"/>
    </row>
    <row r="63">
      <c r="A63" s="394" t="n"/>
      <c r="B63" s="394" t="n"/>
      <c r="C63" s="394" t="n"/>
      <c r="D63" s="394" t="n"/>
      <c r="E63" s="394" t="n"/>
      <c r="F63" s="394" t="n"/>
      <c r="G63" s="394" t="n"/>
      <c r="H63" s="394" t="n"/>
      <c r="I63" s="394" t="n"/>
    </row>
    <row r="64">
      <c r="A64" s="394" t="n"/>
      <c r="B64" s="394" t="n"/>
      <c r="C64" s="394" t="n"/>
      <c r="D64" s="394" t="n"/>
      <c r="E64" s="394" t="n"/>
      <c r="F64" s="394" t="n"/>
      <c r="G64" s="394" t="n"/>
      <c r="H64" s="394" t="n"/>
      <c r="I64" s="394" t="n"/>
    </row>
    <row r="65">
      <c r="A65" s="394" t="n"/>
      <c r="B65" s="394" t="n"/>
      <c r="C65" s="394" t="n"/>
      <c r="D65" s="394" t="n"/>
      <c r="E65" s="394" t="n"/>
      <c r="F65" s="394" t="n"/>
      <c r="G65" s="394" t="n"/>
      <c r="H65" s="394" t="n"/>
      <c r="I65" s="394" t="n"/>
    </row>
    <row r="66">
      <c r="A66" s="394" t="n"/>
      <c r="B66" s="394" t="n"/>
      <c r="C66" s="394" t="n"/>
      <c r="D66" s="394" t="n"/>
      <c r="E66" s="394" t="n"/>
      <c r="F66" s="394" t="n"/>
      <c r="G66" s="394" t="n"/>
      <c r="H66" s="394" t="n"/>
      <c r="I66" s="394" t="n"/>
    </row>
    <row r="67" ht="15" customHeight="1" s="632" thickBot="1">
      <c r="A67" s="415" t="n"/>
    </row>
    <row r="68" ht="27.6" customHeight="1" s="632">
      <c r="A68" s="63" t="inlineStr">
        <is>
          <t>FY2033E metric</t>
        </is>
      </c>
      <c r="B68" s="65" t="inlineStr">
        <is>
          <t>Unit</t>
        </is>
      </c>
      <c r="C68" s="65" t="inlineStr">
        <is>
          <t>Base Case</t>
        </is>
      </c>
      <c r="D68" s="65" t="inlineStr">
        <is>
          <t>Bull Case</t>
        </is>
      </c>
      <c r="E68" s="65" t="inlineStr">
        <is>
          <t>Bear Case</t>
        </is>
      </c>
      <c r="F68" s="65" t="inlineStr">
        <is>
          <t>Stress Case</t>
        </is>
      </c>
      <c r="G68" s="65" t="inlineStr">
        <is>
          <t>Live (active scenario)</t>
        </is>
      </c>
      <c r="H68" s="65" t="inlineStr">
        <is>
          <t>Tie-out</t>
        </is>
      </c>
      <c r="I68" s="410" t="inlineStr">
        <is>
          <t>Commentary</t>
        </is>
      </c>
      <c r="K68" s="708" t="inlineStr">
        <is>
          <t>SC05</t>
        </is>
      </c>
    </row>
    <row r="69" ht="24" customHeight="1" s="632">
      <c r="A69" s="420" t="inlineStr">
        <is>
          <t>Apparent consumption</t>
        </is>
      </c>
      <c r="B69" s="78" t="inlineStr">
        <is>
          <t>Mt</t>
        </is>
      </c>
      <c r="C69" s="952" t="n">
        <v>268.7425318626867</v>
      </c>
      <c r="D69" s="952" t="n">
        <v>299.4510608127819</v>
      </c>
      <c r="E69" s="952" t="n">
        <v>243.7266569324859</v>
      </c>
      <c r="F69" s="952" t="n">
        <v>229.4387110031682</v>
      </c>
      <c r="G69" s="964">
        <f>'Steel Supply Model'!J$89</f>
        <v/>
      </c>
      <c r="H69" s="359">
        <f>IF(ABS(G69-INDEX(C69:F69,ScenID))&lt;=ABS(G69)*0.005+0.01,"OK","FAIL")</f>
        <v/>
      </c>
      <c r="I69" s="345" t="inlineStr">
        <is>
          <t>Demand is the least contested part of the model: even the stress case grows consumption, because Indian demand has contracted only once (FY2021) in twelve years.</t>
        </is>
      </c>
      <c r="K69" s="708" t="inlineStr">
        <is>
          <t>SC06</t>
        </is>
      </c>
    </row>
    <row r="70">
      <c r="A70" s="420" t="inlineStr">
        <is>
          <t>Crude steel production</t>
        </is>
      </c>
      <c r="B70" s="78" t="inlineStr">
        <is>
          <t>Mt</t>
        </is>
      </c>
      <c r="C70" s="952" t="n">
        <v>285.4250595943017</v>
      </c>
      <c r="D70" s="952" t="n">
        <v>314.4134564277314</v>
      </c>
      <c r="E70" s="952" t="n">
        <v>263.7879897791101</v>
      </c>
      <c r="F70" s="952" t="n">
        <v>237.3869626863361</v>
      </c>
      <c r="G70" s="964">
        <f>'Steel Supply Model'!J$99</f>
        <v/>
      </c>
      <c r="H70" s="359">
        <f>IF(ABS(G70-INDEX(C70:F70,ScenID))&lt;=ABS(G70)*0.005+0.01,"OK","FAIL")</f>
        <v/>
      </c>
      <c r="I70" s="345" t="n"/>
      <c r="K70" s="708" t="inlineStr">
        <is>
          <t>SC07</t>
        </is>
      </c>
    </row>
    <row r="71">
      <c r="A71" s="420" t="inlineStr">
        <is>
          <t>Crude steel capacity</t>
        </is>
      </c>
      <c r="B71" s="78" t="inlineStr">
        <is>
          <t>Mtpa</t>
        </is>
      </c>
      <c r="C71" s="952" t="n">
        <v>339.977</v>
      </c>
      <c r="D71" s="952" t="n">
        <v>357.8390000000001</v>
      </c>
      <c r="E71" s="952" t="n">
        <v>308.434</v>
      </c>
      <c r="F71" s="952" t="n">
        <v>275.891</v>
      </c>
      <c r="G71" s="964">
        <f>'Capacity Forecast'!J$101</f>
        <v/>
      </c>
      <c r="H71" s="359">
        <f>IF(ABS(G71-INDEX(C71:F71,ScenID))&lt;=ABS(G71)*0.005+0.01,"OK","FAIL")</f>
        <v/>
      </c>
      <c r="I71" s="345" t="inlineStr">
        <is>
          <t>Capacity is scenario-dependent through the delivery factor and the secondary residual, but the range is narrow relative to the price range.</t>
        </is>
      </c>
      <c r="K71" s="708" t="inlineStr">
        <is>
          <t>SC08</t>
        </is>
      </c>
    </row>
    <row r="72">
      <c r="A72" s="420" t="inlineStr">
        <is>
          <t>Capacity utilisation</t>
        </is>
      </c>
      <c r="B72" s="78" t="inlineStr">
        <is>
          <t>%</t>
        </is>
      </c>
      <c r="C72" s="904" t="n">
        <v>0.8395422619597844</v>
      </c>
      <c r="D72" s="904" t="n">
        <v>0.8786450231185852</v>
      </c>
      <c r="E72" s="904" t="n">
        <v>0.8552493881320157</v>
      </c>
      <c r="F72" s="904" t="n">
        <v>0.8604375013550138</v>
      </c>
      <c r="G72" s="1156">
        <f>'Capacity Utilisation'!J$67</f>
        <v/>
      </c>
      <c r="H72" s="359">
        <f>IF(ABS(G72-INDEX(C72:F72,ScenID))&lt;=ABS(G72)*0.005+0.01,"OK","FAIL")</f>
        <v/>
      </c>
      <c r="I72" s="345" t="inlineStr">
        <is>
          <t>Counter-intuitively HIGHEST in the stress case, because capacity additions are cut harder than demand falls.</t>
        </is>
      </c>
      <c r="K72" s="708" t="inlineStr">
        <is>
          <t>SC09</t>
        </is>
      </c>
    </row>
    <row r="73" ht="24" customHeight="1" s="632">
      <c r="A73" s="420" t="inlineStr">
        <is>
          <t>Blended realisation</t>
        </is>
      </c>
      <c r="B73" s="78" t="inlineStr">
        <is>
          <t>Rs/t</t>
        </is>
      </c>
      <c r="C73" s="1022" t="n">
        <v>69005.69014246373</v>
      </c>
      <c r="D73" s="1022" t="n">
        <v>70422.29357485895</v>
      </c>
      <c r="E73" s="1022" t="n">
        <v>60699.69175990533</v>
      </c>
      <c r="F73" s="1022" t="n">
        <v>70221.98630476248</v>
      </c>
      <c r="G73" s="1023">
        <f>'Steel Price Forecast'!J$103</f>
        <v/>
      </c>
      <c r="H73" s="359">
        <f>IF(ABS(G73-INDEX(C73:F73,ScenID))&lt;=ABS(G73)*0.005+0.01,"OK","FAIL")</f>
        <v/>
      </c>
      <c r="I73" s="345" t="inlineStr">
        <is>
          <t>Note the stress case sits ABOVE the bear case: a rupee collapse to 113/US$ lifts the rupee landed cost of imports by roughly 28% and supports domestic prices.</t>
        </is>
      </c>
      <c r="K73" s="708" t="inlineStr">
        <is>
          <t>SC10</t>
        </is>
      </c>
    </row>
    <row r="74">
      <c r="A74" s="420" t="inlineStr">
        <is>
          <t>Cash cost per tonne</t>
        </is>
      </c>
      <c r="B74" s="78" t="inlineStr">
        <is>
          <t>Rs/t</t>
        </is>
      </c>
      <c r="C74" s="1022" t="n">
        <v>57427.43830410502</v>
      </c>
      <c r="D74" s="1022" t="n">
        <v>52672.57298002663</v>
      </c>
      <c r="E74" s="1022" t="n">
        <v>55826.57615631484</v>
      </c>
      <c r="F74" s="1022" t="n">
        <v>63253.10635298373</v>
      </c>
      <c r="G74" s="1023">
        <f>'Cost Curve'!J$80</f>
        <v/>
      </c>
      <c r="H74" s="359">
        <f>IF(ABS(G74-INDEX(C74:F74,ScenID))&lt;=ABS(G74)*0.005+0.01,"OK","FAIL")</f>
        <v/>
      </c>
      <c r="I74" s="345" t="n"/>
      <c r="K74" s="708" t="inlineStr">
        <is>
          <t>SC11</t>
        </is>
      </c>
    </row>
    <row r="75">
      <c r="A75" s="420" t="inlineStr">
        <is>
          <t>EBITDA per tonne</t>
        </is>
      </c>
      <c r="B75" s="78" t="inlineStr">
        <is>
          <t>Rs/t</t>
        </is>
      </c>
      <c r="C75" s="1022" t="n">
        <v>11578.25183835872</v>
      </c>
      <c r="D75" s="1022" t="n">
        <v>17749.72059483232</v>
      </c>
      <c r="E75" s="1022" t="n">
        <v>4873.115603590486</v>
      </c>
      <c r="F75" s="1022" t="n">
        <v>6968.879951778748</v>
      </c>
      <c r="G75" s="1023">
        <f>'EBITDA Model'!J$101</f>
        <v/>
      </c>
      <c r="H75" s="359">
        <f>IF(ABS(G75-INDEX(C75:F75,ScenID))&lt;=ABS(G75)*0.005+0.01,"OK","FAIL")</f>
        <v/>
      </c>
      <c r="I75" s="345" t="n"/>
      <c r="K75" s="708" t="inlineStr">
        <is>
          <t>SC12</t>
        </is>
      </c>
    </row>
    <row r="76" ht="84" customHeight="1" s="632">
      <c r="A76" s="420" t="inlineStr">
        <is>
          <t>Industry EBITDA margin</t>
        </is>
      </c>
      <c r="B76" s="78" t="inlineStr">
        <is>
          <t>%</t>
        </is>
      </c>
      <c r="C76" s="904" t="n">
        <v>0.1677869145929149</v>
      </c>
      <c r="D76" s="904" t="n">
        <v>0.2520468972792594</v>
      </c>
      <c r="E76" s="904" t="n">
        <v>0.08028237808629832</v>
      </c>
      <c r="F76" s="904" t="n">
        <v>0.09924071246765796</v>
      </c>
      <c r="G76" s="1156">
        <f>'Margin Analysis'!J$91</f>
        <v/>
      </c>
      <c r="H76" s="359">
        <f>IF(ABS(G76-INDEX(C76:F76,ScenID))&lt;=ABS(G76)*0.005+0.01,"OK","FAIL")</f>
        <v/>
      </c>
      <c r="I76" s="345" t="inlineStr">
        <is>
          <t>Envelope check: bull 25.2% against the FY2022 observed peak of roughly 26%; stress 9.9% in the terminal year having troughed at -9.2% in FY2028.</t>
        </is>
      </c>
      <c r="K76" s="708" t="inlineStr">
        <is>
          <t>SC13</t>
        </is>
      </c>
    </row>
    <row r="77">
      <c r="A77" s="420" t="inlineStr">
        <is>
          <t>Industry revenue</t>
        </is>
      </c>
      <c r="B77" s="78" t="inlineStr">
        <is>
          <t>Rs cr</t>
        </is>
      </c>
      <c r="C77" s="1022" t="n">
        <v>1882078.66423876</v>
      </c>
      <c r="D77" s="1022" t="n">
        <v>2122887.510301038</v>
      </c>
      <c r="E77" s="1022" t="n">
        <v>1524938.063767337</v>
      </c>
      <c r="F77" s="1022" t="n">
        <v>1583075.407662778</v>
      </c>
      <c r="G77" s="1023">
        <f>'Revenue Forecast'!J$96</f>
        <v/>
      </c>
      <c r="H77" s="359">
        <f>IF(ABS(G77-INDEX(C77:F77,ScenID))&lt;=ABS(G77)*0.005+0.01,"OK","FAIL")</f>
        <v/>
      </c>
      <c r="I77" s="345" t="n"/>
      <c r="K77" s="708" t="inlineStr">
        <is>
          <t>SC14</t>
        </is>
      </c>
    </row>
    <row r="78">
      <c r="A78" s="420" t="inlineStr">
        <is>
          <t>Industry EBITDA</t>
        </is>
      </c>
      <c r="B78" s="78" t="inlineStr">
        <is>
          <t>Rs cr</t>
        </is>
      </c>
      <c r="C78" s="1022" t="n">
        <v>315788.1720937763</v>
      </c>
      <c r="D78" s="1022" t="n">
        <v>535067.2102442685</v>
      </c>
      <c r="E78" s="1022" t="n">
        <v>122425.6541935571</v>
      </c>
      <c r="F78" s="1022" t="n">
        <v>157105.5313464822</v>
      </c>
      <c r="G78" s="1023">
        <f>'EBITDA Model'!J$103</f>
        <v/>
      </c>
      <c r="H78" s="359">
        <f>IF(ABS(G78-INDEX(C78:F78,ScenID))&lt;=ABS(G78)*0.005+0.01,"OK","FAIL")</f>
        <v/>
      </c>
      <c r="I78" s="345" t="inlineStr">
        <is>
          <t>The spread from stress to bull is roughly 4.4x, which is the honest measure of uncertainty in an Indian steel forecast seven years out.</t>
        </is>
      </c>
      <c r="K78" s="708" t="inlineStr">
        <is>
          <t>SC15</t>
        </is>
      </c>
    </row>
    <row r="79" ht="15" customHeight="1" s="632" thickBot="1">
      <c r="A79" s="416" t="inlineStr">
        <is>
          <t>Unlevered free cash flow</t>
        </is>
      </c>
      <c r="B79" s="79" t="inlineStr">
        <is>
          <t>Rs cr</t>
        </is>
      </c>
      <c r="C79" s="1072" t="n">
        <v>66854.32105727059</v>
      </c>
      <c r="D79" s="1072" t="n">
        <v>223085.7465614432</v>
      </c>
      <c r="E79" s="1072" t="n">
        <v>-49522.09145698386</v>
      </c>
      <c r="F79" s="1072" t="n">
        <v>-5039.8635435943</v>
      </c>
      <c r="G79" s="1071">
        <f>'Cash Flow Model'!J$114</f>
        <v/>
      </c>
      <c r="H79" s="360">
        <f>IF(ABS(G79-INDEX(C79:F79,ScenID))&lt;=ABS(G79)*0.005+0.01,"OK","FAIL")</f>
        <v/>
      </c>
      <c r="I79" s="347" t="inlineStr">
        <is>
          <t>Negative in bear and stress: the industry cannot fund roughly Rs 1.1 lakh crore a year of growth capex from a compressed margin.</t>
        </is>
      </c>
      <c r="K79" s="708" t="inlineStr">
        <is>
          <t>SC16</t>
        </is>
      </c>
    </row>
    <row r="80" ht="24.6" customHeight="1" s="632" thickBot="1">
      <c r="A80" s="161" t="inlineStr">
        <is>
          <t>TIE-OUT SUMMARY</t>
        </is>
      </c>
      <c r="B80" s="154" t="n"/>
      <c r="C80" s="154" t="n"/>
      <c r="D80" s="154" t="n"/>
      <c r="E80" s="154" t="n"/>
      <c r="F80" s="154" t="n"/>
      <c r="G80" s="154" t="n"/>
      <c r="H80" s="159">
        <f>IF(COUNTIF(H69:H79,"FAIL")=0,"ALL OK","0 CHECK(S) FAILED")</f>
        <v/>
      </c>
      <c r="I80" s="155" t="inlineStr">
        <is>
          <t>Tolerance is 0.5% plus an absolute floor, to absorb floating-point and rounding differences between Excel and the Python mirror. Any genuine formula error would exceed it by orders of magnitude.</t>
        </is>
      </c>
      <c r="K80" s="708" t="inlineStr">
        <is>
          <t>SC17</t>
        </is>
      </c>
    </row>
    <row r="81"/>
    <row r="82" ht="15" customHeight="1" s="632" thickBot="1">
      <c r="A82" s="402" t="inlineStr">
        <is>
          <t>SCENARIO DEFINITIONS</t>
        </is>
      </c>
      <c r="K82" s="707" t="inlineStr">
        <is>
          <t>Ref</t>
        </is>
      </c>
    </row>
    <row r="83" ht="28.2" customHeight="1" s="632">
      <c r="A83" s="157" t="inlineStr">
        <is>
          <t>Base Case</t>
        </is>
      </c>
      <c r="B83" s="342" t="inlineStr">
        <is>
          <t>RBI's June-2026 FY2027 GDP projection of 6.6% converging to 6.5%. Elasticity 1.15x tapering to 1.05x. Realisation grows at roughly 2.0% a year, BELOW expected inflation, reflecting structural surplus capacity. Iron ore continues its decline to US$93/dmt; coking coal eases to US$200/t. Terminal margin 16.8% against 17.9% in FY2026 - i.e. the base case assumes mild margin erosion, not expansion.</t>
        </is>
      </c>
      <c r="C83" s="1134" t="n"/>
      <c r="D83" s="1134" t="n"/>
      <c r="E83" s="1134" t="n"/>
      <c r="F83" s="1134" t="n"/>
      <c r="G83" s="1134" t="n"/>
      <c r="H83" s="1134" t="n"/>
      <c r="I83" s="1157" t="n"/>
      <c r="K83" s="708" t="inlineStr">
        <is>
          <t>SC18</t>
        </is>
      </c>
    </row>
    <row r="84" ht="28.2" customHeight="1" s="632">
      <c r="A84" s="67" t="inlineStr">
        <is>
          <t>Bull Case</t>
        </is>
      </c>
      <c r="B84" s="344" t="inlineStr">
        <is>
          <t>GDP roughly 80bps above base, elasticity 1.30x tapering to 1.15x, iron ore and coking coal at the low end, INR stable at 96. Calibrated to peak at a 26.0% industry margin in FY2030, matching the FY2022 observed cycle peak. This is a genuine ceiling, not an extrapolation.</t>
        </is>
      </c>
      <c r="C84" s="837" t="n"/>
      <c r="D84" s="837" t="n"/>
      <c r="E84" s="837" t="n"/>
      <c r="F84" s="837" t="n"/>
      <c r="G84" s="837" t="n"/>
      <c r="H84" s="837" t="n"/>
      <c r="I84" s="951" t="n"/>
      <c r="K84" s="708" t="inlineStr">
        <is>
          <t>SC19</t>
        </is>
      </c>
    </row>
    <row r="85" ht="30.6" customHeight="1" s="632">
      <c r="A85" s="67" t="inlineStr">
        <is>
          <t>Bear Case</t>
        </is>
      </c>
      <c r="B85" s="344" t="inlineStr">
        <is>
          <t>A DEMAND-LED downturn. GDP roughly 100bps below base and elasticity at 1.00x, but critically iron ore and coking coal FALL WITH demand - to US$83/dmt and US$170/t - because a global demand shortfall is disinflationary for raw materials. Modelling a bear case with demand down AND raw materials up would be internally contradictory. Margins compress to 7-11% rather than collapsing.</t>
        </is>
      </c>
      <c r="C85" s="837" t="n"/>
      <c r="D85" s="837" t="n"/>
      <c r="E85" s="837" t="n"/>
      <c r="F85" s="837" t="n"/>
      <c r="G85" s="837" t="n"/>
      <c r="H85" s="837" t="n"/>
      <c r="I85" s="951" t="n"/>
      <c r="K85" s="708" t="inlineStr">
        <is>
          <t>SC20</t>
        </is>
      </c>
    </row>
    <row r="86" ht="38.4" customHeight="1" s="632" thickBot="1">
      <c r="A86" s="158" t="inlineStr">
        <is>
          <t>Stress Case</t>
        </is>
      </c>
      <c r="B86" s="346" t="inlineStr">
        <is>
          <t>A STAGFLATIONARY supply shock plus demand shock. Coking coal spikes to US$300/t - roughly 85% of the Oct-2023 peak of US$354/t - the rupee collapses to 113/US$, GDP falls to 4.4% in FY2027 and conversion cost inflation hits 7.5%. Realisation is HIGHER than the bear case in nominal rupees because of the import-parity effect of the currency, yet margin troughs at -9.2% in FY2028, marginally worse than the worst observation in the database (SAIL, FY2016, -7%). IMPORTANT LIMITATION: the model does not endogenise supply response, so it does not idle capacity when margins turn negative. Read the stress case as a lower bound on margin, not a central expectation.</t>
        </is>
      </c>
      <c r="C86" s="1158" t="n"/>
      <c r="D86" s="1158" t="n"/>
      <c r="E86" s="1158" t="n"/>
      <c r="F86" s="1158" t="n"/>
      <c r="G86" s="1158" t="n"/>
      <c r="H86" s="1158" t="n"/>
      <c r="I86" s="1159" t="n"/>
      <c r="K86" s="708" t="inlineStr">
        <is>
          <t>SC21</t>
        </is>
      </c>
    </row>
    <row r="87"/>
    <row r="88"/>
    <row r="89"/>
    <row r="90" ht="20" customHeight="1" s="632">
      <c r="A90" s="1160" t="inlineStr">
        <is>
          <t>SCENARIO ENGINE - FULL SEVEN-YEAR PATH FOR ALL FOUR SCENARIOS</t>
        </is>
      </c>
      <c r="B90" s="1161" t="n"/>
      <c r="C90" s="1161" t="n"/>
      <c r="D90" s="1161" t="n"/>
      <c r="E90" s="1161" t="n"/>
      <c r="F90" s="1161" t="n"/>
      <c r="G90" s="1161" t="n"/>
      <c r="H90" s="1161" t="n"/>
      <c r="I90" s="1161" t="n"/>
      <c r="J90" s="1161" t="n"/>
      <c r="K90" s="1161" t="n"/>
    </row>
    <row r="91" ht="42" customHeight="1" s="632">
      <c r="A91" s="1162" t="inlineStr">
        <is>
          <t>The live model resolves one scenario at a time. This block rebuilds the model line for line for all four scenarios directly off the SCENARIO DRIVER MATRIX on 02 Model Assumptions rows 38 to 141, so that every four-scenario table in the workbook is a live link rather than a hard-coded number. It is also the model's own regression test: for whichever scenario is active the block reproduces the live model exactly, and its FY2033E column reproduces the independently computed tie-out values on rows 69 to 79 above. Nothing here is an input - every cell is a formula.</t>
        </is>
      </c>
    </row>
    <row r="92" ht="26" customHeight="1" s="632">
      <c r="A92" s="1163" t="inlineStr">
        <is>
          <t>Line item</t>
        </is>
      </c>
      <c r="B92" s="1163" t="inlineStr">
        <is>
          <t>Unit</t>
        </is>
      </c>
      <c r="C92" s="1163" t="inlineStr">
        <is>
          <t>FY2026A</t>
        </is>
      </c>
      <c r="D92" s="1163" t="inlineStr">
        <is>
          <t>FY2027E</t>
        </is>
      </c>
      <c r="E92" s="1163" t="inlineStr">
        <is>
          <t>FY2028E</t>
        </is>
      </c>
      <c r="F92" s="1163" t="inlineStr">
        <is>
          <t>FY2029E</t>
        </is>
      </c>
      <c r="G92" s="1163" t="inlineStr">
        <is>
          <t>FY2030E</t>
        </is>
      </c>
      <c r="H92" s="1163" t="inlineStr">
        <is>
          <t>FY2031E</t>
        </is>
      </c>
      <c r="I92" s="1163" t="inlineStr">
        <is>
          <t>FY2032E</t>
        </is>
      </c>
      <c r="J92" s="1163" t="inlineStr">
        <is>
          <t>FY2033E</t>
        </is>
      </c>
      <c r="K92" s="1163" t="inlineStr">
        <is>
          <t>FY26-FY33 CAGR</t>
        </is>
      </c>
    </row>
    <row r="93" ht="16" customHeight="1" s="632">
      <c r="A93" s="1164" t="inlineStr">
        <is>
          <t>BASE CASE</t>
        </is>
      </c>
      <c r="B93" s="1165" t="n"/>
      <c r="C93" s="1165" t="n"/>
      <c r="D93" s="1165" t="n"/>
      <c r="E93" s="1165" t="n"/>
      <c r="F93" s="1165" t="n"/>
      <c r="G93" s="1165" t="n"/>
      <c r="H93" s="1165" t="n"/>
      <c r="I93" s="1165" t="n"/>
      <c r="J93" s="1165" t="n"/>
      <c r="K93" s="1165" t="n"/>
    </row>
    <row r="94" ht="14" customHeight="1" s="632">
      <c r="A94" s="1166" t="inlineStr">
        <is>
          <t>India real GDP growth</t>
        </is>
      </c>
      <c r="B94" s="1167" t="inlineStr">
        <is>
          <t>%</t>
        </is>
      </c>
      <c r="C94" s="1168">
        <f>'Macroeconomic Model'!$C$101</f>
        <v/>
      </c>
      <c r="D94" s="1168">
        <f>'Model Assumptions'!E$38</f>
        <v/>
      </c>
      <c r="E94" s="1168">
        <f>'Model Assumptions'!F$38</f>
        <v/>
      </c>
      <c r="F94" s="1168">
        <f>'Model Assumptions'!G$38</f>
        <v/>
      </c>
      <c r="G94" s="1168">
        <f>'Model Assumptions'!H$38</f>
        <v/>
      </c>
      <c r="H94" s="1168">
        <f>'Model Assumptions'!I$38</f>
        <v/>
      </c>
      <c r="I94" s="1168">
        <f>'Model Assumptions'!J$38</f>
        <v/>
      </c>
      <c r="J94" s="1168">
        <f>'Model Assumptions'!K$38</f>
        <v/>
      </c>
      <c r="K94" s="1169" t="n"/>
    </row>
    <row r="95" ht="14" customHeight="1" s="632">
      <c r="A95" s="1166" t="inlineStr">
        <is>
          <t>Steel demand elasticity to GDP</t>
        </is>
      </c>
      <c r="B95" s="1167" t="inlineStr">
        <is>
          <t>x</t>
        </is>
      </c>
      <c r="C95" s="1170">
        <f>'Steel Demand Model'!$C$114</f>
        <v/>
      </c>
      <c r="D95" s="1170">
        <f>'Model Assumptions'!E$42</f>
        <v/>
      </c>
      <c r="E95" s="1170">
        <f>'Model Assumptions'!F$42</f>
        <v/>
      </c>
      <c r="F95" s="1170">
        <f>'Model Assumptions'!G$42</f>
        <v/>
      </c>
      <c r="G95" s="1170">
        <f>'Model Assumptions'!H$42</f>
        <v/>
      </c>
      <c r="H95" s="1170">
        <f>'Model Assumptions'!I$42</f>
        <v/>
      </c>
      <c r="I95" s="1170">
        <f>'Model Assumptions'!J$42</f>
        <v/>
      </c>
      <c r="J95" s="1170">
        <f>'Model Assumptions'!K$42</f>
        <v/>
      </c>
      <c r="K95" s="1169" t="n"/>
    </row>
    <row r="96" ht="14" customHeight="1" s="632">
      <c r="A96" s="1166" t="inlineStr">
        <is>
          <t>Implied consumption growth</t>
        </is>
      </c>
      <c r="B96" s="1167" t="inlineStr">
        <is>
          <t>%</t>
        </is>
      </c>
      <c r="C96" s="1168">
        <f>'Steel Demand Model'!$C$115</f>
        <v/>
      </c>
      <c r="D96" s="1171">
        <f>D94*D95</f>
        <v/>
      </c>
      <c r="E96" s="1171">
        <f>E94*E95</f>
        <v/>
      </c>
      <c r="F96" s="1171">
        <f>F94*F95</f>
        <v/>
      </c>
      <c r="G96" s="1171">
        <f>G94*G95</f>
        <v/>
      </c>
      <c r="H96" s="1171">
        <f>H94*H95</f>
        <v/>
      </c>
      <c r="I96" s="1171">
        <f>I94*I95</f>
        <v/>
      </c>
      <c r="J96" s="1171">
        <f>J94*J95</f>
        <v/>
      </c>
      <c r="K96" s="1169" t="n"/>
    </row>
    <row r="97" ht="14" customHeight="1" s="632">
      <c r="A97" s="1166" t="inlineStr">
        <is>
          <t>Apparent finished steel consumption</t>
        </is>
      </c>
      <c r="B97" s="1167" t="inlineStr">
        <is>
          <t>Mt</t>
        </is>
      </c>
      <c r="C97" s="1172">
        <f>'Steel Demand Model'!$C$116</f>
        <v/>
      </c>
      <c r="D97" s="1173">
        <f>C97*(1+D96)</f>
        <v/>
      </c>
      <c r="E97" s="1173">
        <f>D97*(1+E96)</f>
        <v/>
      </c>
      <c r="F97" s="1173">
        <f>E97*(1+F96)</f>
        <v/>
      </c>
      <c r="G97" s="1173">
        <f>F97*(1+G96)</f>
        <v/>
      </c>
      <c r="H97" s="1173">
        <f>G97*(1+H96)</f>
        <v/>
      </c>
      <c r="I97" s="1173">
        <f>H97*(1+I96)</f>
        <v/>
      </c>
      <c r="J97" s="1173">
        <f>I97*(1+J96)</f>
        <v/>
      </c>
      <c r="K97" s="1171">
        <f>IFERROR(IF(AND(ISNUMBER(C97),ISNUMBER(J97),C97&gt;0),(J97/C97)^(1/7)-1,""),"")</f>
        <v/>
      </c>
    </row>
    <row r="98" ht="14" customHeight="1" s="632">
      <c r="A98" s="1166" t="inlineStr">
        <is>
          <t>Net finished steel exports</t>
        </is>
      </c>
      <c r="B98" s="1167" t="inlineStr">
        <is>
          <t>Mt</t>
        </is>
      </c>
      <c r="C98" s="1174">
        <f>'Steel Supply Model'!$C$90</f>
        <v/>
      </c>
      <c r="D98" s="1174">
        <f>'Model Assumptions'!E$62</f>
        <v/>
      </c>
      <c r="E98" s="1174">
        <f>'Model Assumptions'!F$62</f>
        <v/>
      </c>
      <c r="F98" s="1174">
        <f>'Model Assumptions'!G$62</f>
        <v/>
      </c>
      <c r="G98" s="1174">
        <f>'Model Assumptions'!H$62</f>
        <v/>
      </c>
      <c r="H98" s="1174">
        <f>'Model Assumptions'!I$62</f>
        <v/>
      </c>
      <c r="I98" s="1174">
        <f>'Model Assumptions'!J$62</f>
        <v/>
      </c>
      <c r="J98" s="1174">
        <f>'Model Assumptions'!K$62</f>
        <v/>
      </c>
      <c r="K98" s="1169" t="n"/>
    </row>
    <row r="99" ht="14" customHeight="1" s="632">
      <c r="A99" s="1166" t="inlineStr">
        <is>
          <t>Variation in stock</t>
        </is>
      </c>
      <c r="B99" s="1167" t="inlineStr">
        <is>
          <t>Mt</t>
        </is>
      </c>
      <c r="C99" s="1174">
        <f>'Steel Supply Model'!$C$91</f>
        <v/>
      </c>
      <c r="D99" s="1174">
        <f>'Model Assumptions'!E$66</f>
        <v/>
      </c>
      <c r="E99" s="1174">
        <f>'Model Assumptions'!F$66</f>
        <v/>
      </c>
      <c r="F99" s="1174">
        <f>'Model Assumptions'!G$66</f>
        <v/>
      </c>
      <c r="G99" s="1174">
        <f>'Model Assumptions'!H$66</f>
        <v/>
      </c>
      <c r="H99" s="1174">
        <f>'Model Assumptions'!I$66</f>
        <v/>
      </c>
      <c r="I99" s="1174">
        <f>'Model Assumptions'!J$66</f>
        <v/>
      </c>
      <c r="J99" s="1174">
        <f>'Model Assumptions'!K$66</f>
        <v/>
      </c>
      <c r="K99" s="1169" t="n"/>
    </row>
    <row r="100" ht="14" customHeight="1" s="632">
      <c r="A100" s="1166" t="inlineStr">
        <is>
          <t>Required finished steel production</t>
        </is>
      </c>
      <c r="B100" s="1167" t="inlineStr">
        <is>
          <t>Mt</t>
        </is>
      </c>
      <c r="C100" s="1173">
        <f>C97+C98+C99</f>
        <v/>
      </c>
      <c r="D100" s="1173">
        <f>D97+D98+D99</f>
        <v/>
      </c>
      <c r="E100" s="1173">
        <f>E97+E98+E99</f>
        <v/>
      </c>
      <c r="F100" s="1173">
        <f>F97+F98+F99</f>
        <v/>
      </c>
      <c r="G100" s="1173">
        <f>G97+G98+G99</f>
        <v/>
      </c>
      <c r="H100" s="1173">
        <f>H97+H98+H99</f>
        <v/>
      </c>
      <c r="I100" s="1173">
        <f>I97+I98+I99</f>
        <v/>
      </c>
      <c r="J100" s="1173">
        <f>J97+J98+J99</f>
        <v/>
      </c>
      <c r="K100" s="1171">
        <f>IFERROR(IF(AND(ISNUMBER(C100),ISNUMBER(J100),C100&gt;0),(J100/C100)^(1/7)-1,""),"")</f>
        <v/>
      </c>
    </row>
    <row r="101" ht="14" customHeight="1" s="632">
      <c r="A101" s="1166" t="inlineStr">
        <is>
          <t>Crude-to-finished steel ratio</t>
        </is>
      </c>
      <c r="B101" s="1167" t="inlineStr">
        <is>
          <t>x</t>
        </is>
      </c>
      <c r="C101" s="1175">
        <f>'Steel Supply Model'!$C$93</f>
        <v/>
      </c>
      <c r="D101" s="1175">
        <f>'Model Assumptions'!E$58</f>
        <v/>
      </c>
      <c r="E101" s="1175">
        <f>'Model Assumptions'!F$58</f>
        <v/>
      </c>
      <c r="F101" s="1175">
        <f>'Model Assumptions'!G$58</f>
        <v/>
      </c>
      <c r="G101" s="1175">
        <f>'Model Assumptions'!H$58</f>
        <v/>
      </c>
      <c r="H101" s="1175">
        <f>'Model Assumptions'!I$58</f>
        <v/>
      </c>
      <c r="I101" s="1175">
        <f>'Model Assumptions'!J$58</f>
        <v/>
      </c>
      <c r="J101" s="1175">
        <f>'Model Assumptions'!K$58</f>
        <v/>
      </c>
      <c r="K101" s="1169" t="n"/>
    </row>
    <row r="102" ht="14" customHeight="1" s="632">
      <c r="A102" s="1166" t="inlineStr">
        <is>
          <t>Unconstrained crude steel production</t>
        </is>
      </c>
      <c r="B102" s="1167" t="inlineStr">
        <is>
          <t>Mt</t>
        </is>
      </c>
      <c r="C102" s="1173">
        <f>C100*C101</f>
        <v/>
      </c>
      <c r="D102" s="1173">
        <f>D100*D101</f>
        <v/>
      </c>
      <c r="E102" s="1173">
        <f>E100*E101</f>
        <v/>
      </c>
      <c r="F102" s="1173">
        <f>F100*F101</f>
        <v/>
      </c>
      <c r="G102" s="1173">
        <f>G100*G101</f>
        <v/>
      </c>
      <c r="H102" s="1173">
        <f>H100*H101</f>
        <v/>
      </c>
      <c r="I102" s="1173">
        <f>I100*I101</f>
        <v/>
      </c>
      <c r="J102" s="1173">
        <f>J100*J101</f>
        <v/>
      </c>
      <c r="K102" s="1171">
        <f>IFERROR(IF(AND(ISNUMBER(C102),ISNUMBER(J102),C102&gt;0),(J102/C102)^(1/7)-1,""),"")</f>
        <v/>
      </c>
    </row>
    <row r="103" ht="14" customHeight="1" s="632">
      <c r="A103" s="1166" t="inlineStr">
        <is>
          <t>Gross announced capacity additions</t>
        </is>
      </c>
      <c r="B103" s="1167" t="inlineStr">
        <is>
          <t>Mtpa</t>
        </is>
      </c>
      <c r="C103" s="1176" t="n"/>
      <c r="D103" s="1173">
        <f>'Capacity Expansion Tracker'!E$99</f>
        <v/>
      </c>
      <c r="E103" s="1173">
        <f>'Capacity Expansion Tracker'!F$99</f>
        <v/>
      </c>
      <c r="F103" s="1173">
        <f>'Capacity Expansion Tracker'!G$99</f>
        <v/>
      </c>
      <c r="G103" s="1173">
        <f>'Capacity Expansion Tracker'!H$99</f>
        <v/>
      </c>
      <c r="H103" s="1173">
        <f>'Capacity Expansion Tracker'!I$99</f>
        <v/>
      </c>
      <c r="I103" s="1173">
        <f>'Capacity Expansion Tracker'!J$99</f>
        <v/>
      </c>
      <c r="J103" s="1173">
        <f>'Capacity Expansion Tracker'!K$99</f>
        <v/>
      </c>
      <c r="K103" s="1169" t="n"/>
    </row>
    <row r="104" ht="14" customHeight="1" s="632">
      <c r="A104" s="1166" t="inlineStr">
        <is>
          <t>Pipeline delivery factor</t>
        </is>
      </c>
      <c r="B104" s="1167" t="inlineStr">
        <is>
          <t>%</t>
        </is>
      </c>
      <c r="C104" s="1176" t="n"/>
      <c r="D104" s="1177">
        <f>'Model Assumptions'!E$54</f>
        <v/>
      </c>
      <c r="E104" s="1177">
        <f>'Model Assumptions'!F$54</f>
        <v/>
      </c>
      <c r="F104" s="1177">
        <f>'Model Assumptions'!G$54</f>
        <v/>
      </c>
      <c r="G104" s="1177">
        <f>'Model Assumptions'!H$54</f>
        <v/>
      </c>
      <c r="H104" s="1177">
        <f>'Model Assumptions'!I$54</f>
        <v/>
      </c>
      <c r="I104" s="1177">
        <f>'Model Assumptions'!J$54</f>
        <v/>
      </c>
      <c r="J104" s="1177">
        <f>'Model Assumptions'!K$54</f>
        <v/>
      </c>
      <c r="K104" s="1169" t="n"/>
    </row>
    <row r="105" ht="14" customHeight="1" s="632">
      <c r="A105" s="1166" t="inlineStr">
        <is>
          <t>Secondary and unattributed additions</t>
        </is>
      </c>
      <c r="B105" s="1167" t="inlineStr">
        <is>
          <t>Mtpa</t>
        </is>
      </c>
      <c r="C105" s="1172">
        <f>'Capacity Forecast'!$C$100</f>
        <v/>
      </c>
      <c r="D105" s="1172">
        <f>'Model Assumptions'!E$122</f>
        <v/>
      </c>
      <c r="E105" s="1172">
        <f>'Model Assumptions'!F$122</f>
        <v/>
      </c>
      <c r="F105" s="1172">
        <f>'Model Assumptions'!G$122</f>
        <v/>
      </c>
      <c r="G105" s="1172">
        <f>'Model Assumptions'!H$122</f>
        <v/>
      </c>
      <c r="H105" s="1172">
        <f>'Model Assumptions'!I$122</f>
        <v/>
      </c>
      <c r="I105" s="1172">
        <f>'Model Assumptions'!J$122</f>
        <v/>
      </c>
      <c r="J105" s="1172">
        <f>'Model Assumptions'!K$122</f>
        <v/>
      </c>
      <c r="K105" s="1171">
        <f>IFERROR(IF(AND(ISNUMBER(C105),ISNUMBER(J105),C105&gt;0),(J105/C105)^(1/7)-1,""),"")</f>
        <v/>
      </c>
    </row>
    <row r="106" ht="14" customHeight="1" s="632">
      <c r="A106" s="1166" t="inlineStr">
        <is>
          <t>Total capacity additions</t>
        </is>
      </c>
      <c r="B106" s="1167" t="inlineStr">
        <is>
          <t>Mtpa</t>
        </is>
      </c>
      <c r="C106" s="1172">
        <f>'Capacity Forecast'!$C$100</f>
        <v/>
      </c>
      <c r="D106" s="1173">
        <f>D103*D104+D105</f>
        <v/>
      </c>
      <c r="E106" s="1173">
        <f>E103*E104+E105</f>
        <v/>
      </c>
      <c r="F106" s="1173">
        <f>F103*F104+F105</f>
        <v/>
      </c>
      <c r="G106" s="1173">
        <f>G103*G104+G105</f>
        <v/>
      </c>
      <c r="H106" s="1173">
        <f>H103*H104+H105</f>
        <v/>
      </c>
      <c r="I106" s="1173">
        <f>I103*I104+I105</f>
        <v/>
      </c>
      <c r="J106" s="1173">
        <f>J103*J104+J105</f>
        <v/>
      </c>
      <c r="K106" s="1171">
        <f>IFERROR(IF(AND(ISNUMBER(C106),ISNUMBER(J106),C106&gt;0),(J106/C106)^(1/7)-1,""),"")</f>
        <v/>
      </c>
    </row>
    <row r="107" ht="14" customHeight="1" s="632">
      <c r="A107" s="1166" t="inlineStr">
        <is>
          <t>Closing crude steel capacity</t>
        </is>
      </c>
      <c r="B107" s="1167" t="inlineStr">
        <is>
          <t>Mtpa</t>
        </is>
      </c>
      <c r="C107" s="1172">
        <f>'Capacity Forecast'!$C$101</f>
        <v/>
      </c>
      <c r="D107" s="1173">
        <f>C107+D106</f>
        <v/>
      </c>
      <c r="E107" s="1173">
        <f>D107+E106</f>
        <v/>
      </c>
      <c r="F107" s="1173">
        <f>E107+F106</f>
        <v/>
      </c>
      <c r="G107" s="1173">
        <f>F107+G106</f>
        <v/>
      </c>
      <c r="H107" s="1173">
        <f>G107+H106</f>
        <v/>
      </c>
      <c r="I107" s="1173">
        <f>H107+I106</f>
        <v/>
      </c>
      <c r="J107" s="1173">
        <f>I107+J106</f>
        <v/>
      </c>
      <c r="K107" s="1171">
        <f>IFERROR(IF(AND(ISNUMBER(C107),ISNUMBER(J107),C107&gt;0),(J107/C107)^(1/7)-1,""),"")</f>
        <v/>
      </c>
    </row>
    <row r="108" ht="14" customHeight="1" s="632">
      <c r="A108" s="1166" t="inlineStr">
        <is>
          <t>Maximum practical utilisation</t>
        </is>
      </c>
      <c r="B108" s="1167" t="inlineStr">
        <is>
          <t>%</t>
        </is>
      </c>
      <c r="C108" s="1177">
        <f>'Model Assumptions'!$D$32</f>
        <v/>
      </c>
      <c r="D108" s="1177">
        <f>'Model Assumptions'!E$134</f>
        <v/>
      </c>
      <c r="E108" s="1177">
        <f>'Model Assumptions'!F$134</f>
        <v/>
      </c>
      <c r="F108" s="1177">
        <f>'Model Assumptions'!G$134</f>
        <v/>
      </c>
      <c r="G108" s="1177">
        <f>'Model Assumptions'!H$134</f>
        <v/>
      </c>
      <c r="H108" s="1177">
        <f>'Model Assumptions'!I$134</f>
        <v/>
      </c>
      <c r="I108" s="1177">
        <f>'Model Assumptions'!J$134</f>
        <v/>
      </c>
      <c r="J108" s="1177">
        <f>'Model Assumptions'!K$134</f>
        <v/>
      </c>
      <c r="K108" s="1169" t="n"/>
    </row>
    <row r="109" ht="14" customHeight="1" s="632">
      <c r="A109" s="1166" t="inlineStr">
        <is>
          <t>Maximum crude steel production</t>
        </is>
      </c>
      <c r="B109" s="1167" t="inlineStr">
        <is>
          <t>Mt</t>
        </is>
      </c>
      <c r="C109" s="1173">
        <f>C107*C108</f>
        <v/>
      </c>
      <c r="D109" s="1173">
        <f>D107*D108</f>
        <v/>
      </c>
      <c r="E109" s="1173">
        <f>E107*E108</f>
        <v/>
      </c>
      <c r="F109" s="1173">
        <f>F107*F108</f>
        <v/>
      </c>
      <c r="G109" s="1173">
        <f>G107*G108</f>
        <v/>
      </c>
      <c r="H109" s="1173">
        <f>H107*H108</f>
        <v/>
      </c>
      <c r="I109" s="1173">
        <f>I107*I108</f>
        <v/>
      </c>
      <c r="J109" s="1173">
        <f>J107*J108</f>
        <v/>
      </c>
      <c r="K109" s="1171">
        <f>IFERROR(IF(AND(ISNUMBER(C109),ISNUMBER(J109),C109&gt;0),(J109/C109)^(1/7)-1,""),"")</f>
        <v/>
      </c>
    </row>
    <row r="110" ht="14" customHeight="1" s="632">
      <c r="A110" s="1166" t="inlineStr">
        <is>
          <t>Crude steel production</t>
        </is>
      </c>
      <c r="B110" s="1167" t="inlineStr">
        <is>
          <t>Mt</t>
        </is>
      </c>
      <c r="C110" s="1172">
        <f>'Steel Supply Model'!$C$99</f>
        <v/>
      </c>
      <c r="D110" s="1173">
        <f>MIN(D102,D109)</f>
        <v/>
      </c>
      <c r="E110" s="1173">
        <f>MIN(E102,E109)</f>
        <v/>
      </c>
      <c r="F110" s="1173">
        <f>MIN(F102,F109)</f>
        <v/>
      </c>
      <c r="G110" s="1173">
        <f>MIN(G102,G109)</f>
        <v/>
      </c>
      <c r="H110" s="1173">
        <f>MIN(H102,H109)</f>
        <v/>
      </c>
      <c r="I110" s="1173">
        <f>MIN(I102,I109)</f>
        <v/>
      </c>
      <c r="J110" s="1173">
        <f>MIN(J102,J109)</f>
        <v/>
      </c>
      <c r="K110" s="1171">
        <f>IFERROR(IF(AND(ISNUMBER(C110),ISNUMBER(J110),C110&gt;0),(J110/C110)^(1/7)-1,""),"")</f>
        <v/>
      </c>
    </row>
    <row r="111" ht="14" customHeight="1" s="632">
      <c r="A111" s="1166" t="inlineStr">
        <is>
          <t>Capacity utilisation</t>
        </is>
      </c>
      <c r="B111" s="1167" t="inlineStr">
        <is>
          <t>%</t>
        </is>
      </c>
      <c r="C111" s="1171">
        <f>C110/C107</f>
        <v/>
      </c>
      <c r="D111" s="1171">
        <f>D110/D107</f>
        <v/>
      </c>
      <c r="E111" s="1171">
        <f>E110/E107</f>
        <v/>
      </c>
      <c r="F111" s="1171">
        <f>F110/F107</f>
        <v/>
      </c>
      <c r="G111" s="1171">
        <f>G110/G107</f>
        <v/>
      </c>
      <c r="H111" s="1171">
        <f>H110/H107</f>
        <v/>
      </c>
      <c r="I111" s="1171">
        <f>I110/I107</f>
        <v/>
      </c>
      <c r="J111" s="1171">
        <f>J110/J107</f>
        <v/>
      </c>
      <c r="K111" s="1169" t="n"/>
    </row>
    <row r="112" ht="14" customHeight="1" s="632">
      <c r="A112" s="1166" t="inlineStr">
        <is>
          <t>Finished steel production</t>
        </is>
      </c>
      <c r="B112" s="1167" t="inlineStr">
        <is>
          <t>Mt</t>
        </is>
      </c>
      <c r="C112" s="1172">
        <f>'Steel Supply Model'!$C$101</f>
        <v/>
      </c>
      <c r="D112" s="1173">
        <f>D110/D101</f>
        <v/>
      </c>
      <c r="E112" s="1173">
        <f>E110/E101</f>
        <v/>
      </c>
      <c r="F112" s="1173">
        <f>F110/F101</f>
        <v/>
      </c>
      <c r="G112" s="1173">
        <f>G110/G101</f>
        <v/>
      </c>
      <c r="H112" s="1173">
        <f>H110/H101</f>
        <v/>
      </c>
      <c r="I112" s="1173">
        <f>I110/I101</f>
        <v/>
      </c>
      <c r="J112" s="1173">
        <f>J110/J101</f>
        <v/>
      </c>
      <c r="K112" s="1171">
        <f>IFERROR(IF(AND(ISNUMBER(C112),ISNUMBER(J112),C112&gt;0),(J112/C112)^(1/7)-1,""),"")</f>
        <v/>
      </c>
    </row>
    <row r="113" ht="14" customHeight="1" s="632">
      <c r="A113" s="1166" t="inlineStr">
        <is>
          <t>Blended realisation - scenario driver</t>
        </is>
      </c>
      <c r="B113" s="1167" t="inlineStr">
        <is>
          <t>Rs/t</t>
        </is>
      </c>
      <c r="C113" s="1178">
        <f>'Steel Price Forecast'!$C$97</f>
        <v/>
      </c>
      <c r="D113" s="1178">
        <f>'Model Assumptions'!E$70</f>
        <v/>
      </c>
      <c r="E113" s="1178">
        <f>'Model Assumptions'!F$70</f>
        <v/>
      </c>
      <c r="F113" s="1178">
        <f>'Model Assumptions'!G$70</f>
        <v/>
      </c>
      <c r="G113" s="1178">
        <f>'Model Assumptions'!H$70</f>
        <v/>
      </c>
      <c r="H113" s="1178">
        <f>'Model Assumptions'!I$70</f>
        <v/>
      </c>
      <c r="I113" s="1178">
        <f>'Model Assumptions'!J$70</f>
        <v/>
      </c>
      <c r="J113" s="1178">
        <f>'Model Assumptions'!K$70</f>
        <v/>
      </c>
      <c r="K113" s="1171">
        <f>IFERROR(IF(AND(ISNUMBER(C113),ISNUMBER(J113),C113&gt;0),(J113/C113)^(1/7)-1,""),"")</f>
        <v/>
      </c>
    </row>
    <row r="114" ht="14" customHeight="1" s="632">
      <c r="A114" s="1166" t="inlineStr">
        <is>
          <t>Normal capacity utilisation</t>
        </is>
      </c>
      <c r="B114" s="1167" t="inlineStr">
        <is>
          <t>%</t>
        </is>
      </c>
      <c r="C114" s="1177">
        <f>'Model Assumptions'!$D$31</f>
        <v/>
      </c>
      <c r="D114" s="1177">
        <f>'Model Assumptions'!E$130</f>
        <v/>
      </c>
      <c r="E114" s="1177">
        <f>'Model Assumptions'!F$130</f>
        <v/>
      </c>
      <c r="F114" s="1177">
        <f>'Model Assumptions'!G$130</f>
        <v/>
      </c>
      <c r="G114" s="1177">
        <f>'Model Assumptions'!H$130</f>
        <v/>
      </c>
      <c r="H114" s="1177">
        <f>'Model Assumptions'!I$130</f>
        <v/>
      </c>
      <c r="I114" s="1177">
        <f>'Model Assumptions'!J$130</f>
        <v/>
      </c>
      <c r="J114" s="1177">
        <f>'Model Assumptions'!K$130</f>
        <v/>
      </c>
      <c r="K114" s="1169" t="n"/>
    </row>
    <row r="115" ht="14" customHeight="1" s="632">
      <c r="A115" s="1166" t="inlineStr">
        <is>
          <t>Price sensitivity to utilisation</t>
        </is>
      </c>
      <c r="B115" s="1167" t="inlineStr">
        <is>
          <t>x</t>
        </is>
      </c>
      <c r="C115" s="1170">
        <f>'Model Assumptions'!$D$30</f>
        <v/>
      </c>
      <c r="D115" s="1170">
        <f>'Model Assumptions'!E$126</f>
        <v/>
      </c>
      <c r="E115" s="1170">
        <f>'Model Assumptions'!F$126</f>
        <v/>
      </c>
      <c r="F115" s="1170">
        <f>'Model Assumptions'!G$126</f>
        <v/>
      </c>
      <c r="G115" s="1170">
        <f>'Model Assumptions'!H$126</f>
        <v/>
      </c>
      <c r="H115" s="1170">
        <f>'Model Assumptions'!I$126</f>
        <v/>
      </c>
      <c r="I115" s="1170">
        <f>'Model Assumptions'!J$126</f>
        <v/>
      </c>
      <c r="J115" s="1170">
        <f>'Model Assumptions'!K$126</f>
        <v/>
      </c>
      <c r="K115" s="1169" t="n"/>
    </row>
    <row r="116" ht="14" customHeight="1" s="632">
      <c r="A116" s="1166" t="inlineStr">
        <is>
          <t>Price adjustment factor (lagged one year)</t>
        </is>
      </c>
      <c r="B116" s="1167" t="inlineStr">
        <is>
          <t>x</t>
        </is>
      </c>
      <c r="C116" s="1179">
        <f>1</f>
        <v/>
      </c>
      <c r="D116" s="1180">
        <f>1+D115*(C111-D114)</f>
        <v/>
      </c>
      <c r="E116" s="1180">
        <f>1+E115*(D111-E114)</f>
        <v/>
      </c>
      <c r="F116" s="1180">
        <f>1+F115*(E111-F114)</f>
        <v/>
      </c>
      <c r="G116" s="1180">
        <f>1+G115*(F111-G114)</f>
        <v/>
      </c>
      <c r="H116" s="1180">
        <f>1+H115*(G111-H114)</f>
        <v/>
      </c>
      <c r="I116" s="1180">
        <f>1+I115*(H111-I114)</f>
        <v/>
      </c>
      <c r="J116" s="1180">
        <f>1+J115*(I111-J114)</f>
        <v/>
      </c>
      <c r="K116" s="1169" t="n"/>
    </row>
    <row r="117" ht="14" customHeight="1" s="632">
      <c r="A117" s="1166" t="inlineStr">
        <is>
          <t>Blended realisation - effective</t>
        </is>
      </c>
      <c r="B117" s="1167" t="inlineStr">
        <is>
          <t>Rs/t</t>
        </is>
      </c>
      <c r="C117" s="1178">
        <f>'Steel Price Forecast'!$C$103</f>
        <v/>
      </c>
      <c r="D117" s="1181">
        <f>D113*D116</f>
        <v/>
      </c>
      <c r="E117" s="1181">
        <f>E113*E116</f>
        <v/>
      </c>
      <c r="F117" s="1181">
        <f>F113*F116</f>
        <v/>
      </c>
      <c r="G117" s="1181">
        <f>G113*G116</f>
        <v/>
      </c>
      <c r="H117" s="1181">
        <f>H113*H116</f>
        <v/>
      </c>
      <c r="I117" s="1181">
        <f>I113*I116</f>
        <v/>
      </c>
      <c r="J117" s="1181">
        <f>J113*J116</f>
        <v/>
      </c>
      <c r="K117" s="1171">
        <f>IFERROR(IF(AND(ISNUMBER(C117),ISNUMBER(J117),C117&gt;0),(J117/C117)^(1/7)-1,""),"")</f>
        <v/>
      </c>
    </row>
    <row r="118" ht="14" customHeight="1" s="632">
      <c r="A118" s="1166" t="inlineStr">
        <is>
          <t>Iron ore 62% Fe CFR China</t>
        </is>
      </c>
      <c r="B118" s="1167" t="inlineStr">
        <is>
          <t>US$/dmt</t>
        </is>
      </c>
      <c r="C118" s="1172">
        <f>'Raw Material Forecast'!$C$85</f>
        <v/>
      </c>
      <c r="D118" s="1172">
        <f>'Model Assumptions'!E$74</f>
        <v/>
      </c>
      <c r="E118" s="1172">
        <f>'Model Assumptions'!F$74</f>
        <v/>
      </c>
      <c r="F118" s="1172">
        <f>'Model Assumptions'!G$74</f>
        <v/>
      </c>
      <c r="G118" s="1172">
        <f>'Model Assumptions'!H$74</f>
        <v/>
      </c>
      <c r="H118" s="1172">
        <f>'Model Assumptions'!I$74</f>
        <v/>
      </c>
      <c r="I118" s="1172">
        <f>'Model Assumptions'!J$74</f>
        <v/>
      </c>
      <c r="J118" s="1172">
        <f>'Model Assumptions'!K$74</f>
        <v/>
      </c>
      <c r="K118" s="1171">
        <f>IFERROR(IF(AND(ISNUMBER(C118),ISNUMBER(J118),C118&gt;0),(J118/C118)^(1/7)-1,""),"")</f>
        <v/>
      </c>
    </row>
    <row r="119" ht="14" customHeight="1" s="632">
      <c r="A119" s="1166" t="inlineStr">
        <is>
          <t>Premium HCC coking coal FOB Australia</t>
        </is>
      </c>
      <c r="B119" s="1167" t="inlineStr">
        <is>
          <t>US$/t</t>
        </is>
      </c>
      <c r="C119" s="1178">
        <f>'Raw Material Forecast'!$C$86</f>
        <v/>
      </c>
      <c r="D119" s="1178">
        <f>'Model Assumptions'!E$78</f>
        <v/>
      </c>
      <c r="E119" s="1178">
        <f>'Model Assumptions'!F$78</f>
        <v/>
      </c>
      <c r="F119" s="1178">
        <f>'Model Assumptions'!G$78</f>
        <v/>
      </c>
      <c r="G119" s="1178">
        <f>'Model Assumptions'!H$78</f>
        <v/>
      </c>
      <c r="H119" s="1178">
        <f>'Model Assumptions'!I$78</f>
        <v/>
      </c>
      <c r="I119" s="1178">
        <f>'Model Assumptions'!J$78</f>
        <v/>
      </c>
      <c r="J119" s="1178">
        <f>'Model Assumptions'!K$78</f>
        <v/>
      </c>
      <c r="K119" s="1171">
        <f>IFERROR(IF(AND(ISNUMBER(C119),ISNUMBER(J119),C119&gt;0),(J119/C119)^(1/7)-1,""),"")</f>
        <v/>
      </c>
    </row>
    <row r="120" ht="14" customHeight="1" s="632">
      <c r="A120" s="1166" t="inlineStr">
        <is>
          <t>USD/INR</t>
        </is>
      </c>
      <c r="B120" s="1167" t="inlineStr">
        <is>
          <t>Rs/US$</t>
        </is>
      </c>
      <c r="C120" s="1172">
        <f>'Raw Material Forecast'!$C$87</f>
        <v/>
      </c>
      <c r="D120" s="1172">
        <f>'Model Assumptions'!E$46</f>
        <v/>
      </c>
      <c r="E120" s="1172">
        <f>'Model Assumptions'!F$46</f>
        <v/>
      </c>
      <c r="F120" s="1172">
        <f>'Model Assumptions'!G$46</f>
        <v/>
      </c>
      <c r="G120" s="1172">
        <f>'Model Assumptions'!H$46</f>
        <v/>
      </c>
      <c r="H120" s="1172">
        <f>'Model Assumptions'!I$46</f>
        <v/>
      </c>
      <c r="I120" s="1172">
        <f>'Model Assumptions'!J$46</f>
        <v/>
      </c>
      <c r="J120" s="1172">
        <f>'Model Assumptions'!K$46</f>
        <v/>
      </c>
      <c r="K120" s="1171">
        <f>IFERROR(IF(AND(ISNUMBER(C120),ISNUMBER(J120),C120&gt;0),(J120/C120)^(1/7)-1,""),"")</f>
        <v/>
      </c>
    </row>
    <row r="121" ht="14" customHeight="1" s="632">
      <c r="A121" s="1166" t="inlineStr">
        <is>
          <t>Iron ore in rupees</t>
        </is>
      </c>
      <c r="B121" s="1167" t="inlineStr">
        <is>
          <t>Rs/dmt</t>
        </is>
      </c>
      <c r="C121" s="1178">
        <f>'Raw Material Forecast'!$C$89</f>
        <v/>
      </c>
      <c r="D121" s="1181">
        <f>D118*D120</f>
        <v/>
      </c>
      <c r="E121" s="1181">
        <f>E118*E120</f>
        <v/>
      </c>
      <c r="F121" s="1181">
        <f>F118*F120</f>
        <v/>
      </c>
      <c r="G121" s="1181">
        <f>G118*G120</f>
        <v/>
      </c>
      <c r="H121" s="1181">
        <f>H118*H120</f>
        <v/>
      </c>
      <c r="I121" s="1181">
        <f>I118*I120</f>
        <v/>
      </c>
      <c r="J121" s="1181">
        <f>J118*J120</f>
        <v/>
      </c>
      <c r="K121" s="1171">
        <f>IFERROR(IF(AND(ISNUMBER(C121),ISNUMBER(J121),C121&gt;0),(J121/C121)^(1/7)-1,""),"")</f>
        <v/>
      </c>
    </row>
    <row r="122" ht="14" customHeight="1" s="632">
      <c r="A122" s="1166" t="inlineStr">
        <is>
          <t>Coking coal in rupees</t>
        </is>
      </c>
      <c r="B122" s="1167" t="inlineStr">
        <is>
          <t>Rs/t</t>
        </is>
      </c>
      <c r="C122" s="1178">
        <f>'Raw Material Forecast'!$C$90</f>
        <v/>
      </c>
      <c r="D122" s="1181">
        <f>D119*D120</f>
        <v/>
      </c>
      <c r="E122" s="1181">
        <f>E119*E120</f>
        <v/>
      </c>
      <c r="F122" s="1181">
        <f>F119*F120</f>
        <v/>
      </c>
      <c r="G122" s="1181">
        <f>G119*G120</f>
        <v/>
      </c>
      <c r="H122" s="1181">
        <f>H119*H120</f>
        <v/>
      </c>
      <c r="I122" s="1181">
        <f>I119*I120</f>
        <v/>
      </c>
      <c r="J122" s="1181">
        <f>J119*J120</f>
        <v/>
      </c>
      <c r="K122" s="1171">
        <f>IFERROR(IF(AND(ISNUMBER(C122),ISNUMBER(J122),C122&gt;0),(J122/C122)^(1/7)-1,""),"")</f>
        <v/>
      </c>
    </row>
    <row r="123" ht="14" customHeight="1" s="632">
      <c r="A123" s="1166" t="inlineStr">
        <is>
          <t>Conversion cost inflation</t>
        </is>
      </c>
      <c r="B123" s="1167" t="inlineStr">
        <is>
          <t>%</t>
        </is>
      </c>
      <c r="C123" s="1176" t="n"/>
      <c r="D123" s="1168">
        <f>'Model Assumptions'!E$82</f>
        <v/>
      </c>
      <c r="E123" s="1168">
        <f>'Model Assumptions'!F$82</f>
        <v/>
      </c>
      <c r="F123" s="1168">
        <f>'Model Assumptions'!G$82</f>
        <v/>
      </c>
      <c r="G123" s="1168">
        <f>'Model Assumptions'!H$82</f>
        <v/>
      </c>
      <c r="H123" s="1168">
        <f>'Model Assumptions'!I$82</f>
        <v/>
      </c>
      <c r="I123" s="1168">
        <f>'Model Assumptions'!J$82</f>
        <v/>
      </c>
      <c r="J123" s="1168">
        <f>'Model Assumptions'!K$82</f>
        <v/>
      </c>
      <c r="K123" s="1169" t="n"/>
    </row>
    <row r="124" ht="14" customHeight="1" s="632">
      <c r="A124" s="1166" t="inlineStr">
        <is>
          <t>Conversion cost index</t>
        </is>
      </c>
      <c r="B124" s="1167" t="inlineStr">
        <is>
          <t>x</t>
        </is>
      </c>
      <c r="C124" s="1179">
        <f>1</f>
        <v/>
      </c>
      <c r="D124" s="1180">
        <f>C124*(1+D123)</f>
        <v/>
      </c>
      <c r="E124" s="1180">
        <f>D124*(1+E123)</f>
        <v/>
      </c>
      <c r="F124" s="1180">
        <f>E124*(1+F123)</f>
        <v/>
      </c>
      <c r="G124" s="1180">
        <f>F124*(1+G123)</f>
        <v/>
      </c>
      <c r="H124" s="1180">
        <f>G124*(1+H123)</f>
        <v/>
      </c>
      <c r="I124" s="1180">
        <f>H124*(1+I123)</f>
        <v/>
      </c>
      <c r="J124" s="1180">
        <f>I124*(1+J123)</f>
        <v/>
      </c>
      <c r="K124" s="1169" t="n"/>
    </row>
    <row r="125" ht="14" customHeight="1" s="632">
      <c r="A125" s="1166" t="inlineStr">
        <is>
          <t>Iron ore weight in the raw material basket</t>
        </is>
      </c>
      <c r="B125" s="1167" t="inlineStr">
        <is>
          <t>%</t>
        </is>
      </c>
      <c r="C125" s="1177">
        <f>'Model Assumptions'!$D$21</f>
        <v/>
      </c>
      <c r="D125" s="1177">
        <f>'Model Assumptions'!E$90</f>
        <v/>
      </c>
      <c r="E125" s="1177">
        <f>'Model Assumptions'!F$90</f>
        <v/>
      </c>
      <c r="F125" s="1177">
        <f>'Model Assumptions'!G$90</f>
        <v/>
      </c>
      <c r="G125" s="1177">
        <f>'Model Assumptions'!H$90</f>
        <v/>
      </c>
      <c r="H125" s="1177">
        <f>'Model Assumptions'!I$90</f>
        <v/>
      </c>
      <c r="I125" s="1177">
        <f>'Model Assumptions'!J$90</f>
        <v/>
      </c>
      <c r="J125" s="1177">
        <f>'Model Assumptions'!K$90</f>
        <v/>
      </c>
      <c r="K125" s="1169" t="n"/>
    </row>
    <row r="126" ht="14" customHeight="1" s="632">
      <c r="A126" s="1166" t="inlineStr">
        <is>
          <t>Raw material cost index</t>
        </is>
      </c>
      <c r="B126" s="1167" t="inlineStr">
        <is>
          <t>x</t>
        </is>
      </c>
      <c r="C126" s="1179">
        <f>1</f>
        <v/>
      </c>
      <c r="D126" s="1180">
        <f>D125*(D121/$C$121)+D125*(D122/$C$122)+(1-2*D125)*D124</f>
        <v/>
      </c>
      <c r="E126" s="1180">
        <f>E125*(E121/$C$121)+E125*(E122/$C$122)+(1-2*E125)*E124</f>
        <v/>
      </c>
      <c r="F126" s="1180">
        <f>F125*(F121/$C$121)+F125*(F122/$C$122)+(1-2*F125)*F124</f>
        <v/>
      </c>
      <c r="G126" s="1180">
        <f>G125*(G121/$C$121)+G125*(G122/$C$122)+(1-2*G125)*G124</f>
        <v/>
      </c>
      <c r="H126" s="1180">
        <f>H125*(H121/$C$121)+H125*(H122/$C$122)+(1-2*H125)*H124</f>
        <v/>
      </c>
      <c r="I126" s="1180">
        <f>I125*(I121/$C$121)+I125*(I122/$C$122)+(1-2*I125)*I124</f>
        <v/>
      </c>
      <c r="J126" s="1180">
        <f>J125*(J121/$C$121)+J125*(J122/$C$122)+(1-2*J125)*J124</f>
        <v/>
      </c>
      <c r="K126" s="1169" t="n"/>
    </row>
    <row r="127" ht="14" customHeight="1" s="632">
      <c r="A127" s="1166" t="inlineStr">
        <is>
          <t>Raw material share of cash cost</t>
        </is>
      </c>
      <c r="B127" s="1167" t="inlineStr">
        <is>
          <t>%</t>
        </is>
      </c>
      <c r="C127" s="1177">
        <f>'Model Assumptions'!$D$20</f>
        <v/>
      </c>
      <c r="D127" s="1177">
        <f>'Model Assumptions'!E$86</f>
        <v/>
      </c>
      <c r="E127" s="1177">
        <f>'Model Assumptions'!F$86</f>
        <v/>
      </c>
      <c r="F127" s="1177">
        <f>'Model Assumptions'!G$86</f>
        <v/>
      </c>
      <c r="G127" s="1177">
        <f>'Model Assumptions'!H$86</f>
        <v/>
      </c>
      <c r="H127" s="1177">
        <f>'Model Assumptions'!I$86</f>
        <v/>
      </c>
      <c r="I127" s="1177">
        <f>'Model Assumptions'!J$86</f>
        <v/>
      </c>
      <c r="J127" s="1177">
        <f>'Model Assumptions'!K$86</f>
        <v/>
      </c>
      <c r="K127" s="1169" t="n"/>
    </row>
    <row r="128" ht="14" customHeight="1" s="632">
      <c r="A128" s="1166" t="inlineStr">
        <is>
          <t>Industry cash cost per tonne</t>
        </is>
      </c>
      <c r="B128" s="1167" t="inlineStr">
        <is>
          <t>Rs/t</t>
        </is>
      </c>
      <c r="C128" s="1178">
        <f>'Cost Curve'!$C$80</f>
        <v/>
      </c>
      <c r="D128" s="1181">
        <f>$C$128*(D127*D126+(1-D127)*D124)</f>
        <v/>
      </c>
      <c r="E128" s="1181">
        <f>$C$128*(E127*E126+(1-E127)*E124)</f>
        <v/>
      </c>
      <c r="F128" s="1181">
        <f>$C$128*(F127*F126+(1-F127)*F124)</f>
        <v/>
      </c>
      <c r="G128" s="1181">
        <f>$C$128*(G127*G126+(1-G127)*G124)</f>
        <v/>
      </c>
      <c r="H128" s="1181">
        <f>$C$128*(H127*H126+(1-H127)*H124)</f>
        <v/>
      </c>
      <c r="I128" s="1181">
        <f>$C$128*(I127*I126+(1-I127)*I124)</f>
        <v/>
      </c>
      <c r="J128" s="1181">
        <f>$C$128*(J127*J126+(1-J127)*J124)</f>
        <v/>
      </c>
      <c r="K128" s="1171">
        <f>IFERROR(IF(AND(ISNUMBER(C128),ISNUMBER(J128),C128&gt;0),(J128/C128)^(1/7)-1,""),"")</f>
        <v/>
      </c>
    </row>
    <row r="129" ht="14" customHeight="1" s="632">
      <c r="A129" s="1166" t="inlineStr">
        <is>
          <t>Industry EBITDA per tonne</t>
        </is>
      </c>
      <c r="B129" s="1167" t="inlineStr">
        <is>
          <t>Rs/t</t>
        </is>
      </c>
      <c r="C129" s="1181">
        <f>C117-C128</f>
        <v/>
      </c>
      <c r="D129" s="1181">
        <f>D117-D128</f>
        <v/>
      </c>
      <c r="E129" s="1181">
        <f>E117-E128</f>
        <v/>
      </c>
      <c r="F129" s="1181">
        <f>F117-F128</f>
        <v/>
      </c>
      <c r="G129" s="1181">
        <f>G117-G128</f>
        <v/>
      </c>
      <c r="H129" s="1181">
        <f>H117-H128</f>
        <v/>
      </c>
      <c r="I129" s="1181">
        <f>I117-I128</f>
        <v/>
      </c>
      <c r="J129" s="1181">
        <f>J117-J128</f>
        <v/>
      </c>
      <c r="K129" s="1171">
        <f>IFERROR(IF(AND(ISNUMBER(C129),ISNUMBER(J129),C129&gt;0),(J129/C129)^(1/7)-1,""),"")</f>
        <v/>
      </c>
    </row>
    <row r="130" ht="14" customHeight="1" s="632">
      <c r="A130" s="1166" t="inlineStr">
        <is>
          <t>Industry revenue</t>
        </is>
      </c>
      <c r="B130" s="1167" t="inlineStr">
        <is>
          <t>Rs cr</t>
        </is>
      </c>
      <c r="C130" s="1178">
        <f>'Revenue Forecast'!$C$96</f>
        <v/>
      </c>
      <c r="D130" s="1181">
        <f>D112*D117/10</f>
        <v/>
      </c>
      <c r="E130" s="1181">
        <f>E112*E117/10</f>
        <v/>
      </c>
      <c r="F130" s="1181">
        <f>F112*F117/10</f>
        <v/>
      </c>
      <c r="G130" s="1181">
        <f>G112*G117/10</f>
        <v/>
      </c>
      <c r="H130" s="1181">
        <f>H112*H117/10</f>
        <v/>
      </c>
      <c r="I130" s="1181">
        <f>I112*I117/10</f>
        <v/>
      </c>
      <c r="J130" s="1181">
        <f>J112*J117/10</f>
        <v/>
      </c>
      <c r="K130" s="1171">
        <f>IFERROR(IF(AND(ISNUMBER(C130),ISNUMBER(J130),C130&gt;0),(J130/C130)^(1/7)-1,""),"")</f>
        <v/>
      </c>
    </row>
    <row r="131" ht="14" customHeight="1" s="632">
      <c r="A131" s="1166" t="inlineStr">
        <is>
          <t>Industry EBITDA</t>
        </is>
      </c>
      <c r="B131" s="1167" t="inlineStr">
        <is>
          <t>Rs cr</t>
        </is>
      </c>
      <c r="C131" s="1181">
        <f>C112*C129/10</f>
        <v/>
      </c>
      <c r="D131" s="1181">
        <f>D112*D129/10</f>
        <v/>
      </c>
      <c r="E131" s="1181">
        <f>E112*E129/10</f>
        <v/>
      </c>
      <c r="F131" s="1181">
        <f>F112*F129/10</f>
        <v/>
      </c>
      <c r="G131" s="1181">
        <f>G112*G129/10</f>
        <v/>
      </c>
      <c r="H131" s="1181">
        <f>H112*H129/10</f>
        <v/>
      </c>
      <c r="I131" s="1181">
        <f>I112*I129/10</f>
        <v/>
      </c>
      <c r="J131" s="1181">
        <f>J112*J129/10</f>
        <v/>
      </c>
      <c r="K131" s="1171">
        <f>IFERROR(IF(AND(ISNUMBER(C131),ISNUMBER(J131),C131&gt;0),(J131/C131)^(1/7)-1,""),"")</f>
        <v/>
      </c>
    </row>
    <row r="132" ht="14" customHeight="1" s="632">
      <c r="A132" s="1166" t="inlineStr">
        <is>
          <t>Industry EBITDA margin</t>
        </is>
      </c>
      <c r="B132" s="1167" t="inlineStr">
        <is>
          <t>%</t>
        </is>
      </c>
      <c r="C132" s="1171">
        <f>C129/C117</f>
        <v/>
      </c>
      <c r="D132" s="1171">
        <f>D129/D117</f>
        <v/>
      </c>
      <c r="E132" s="1171">
        <f>E129/E117</f>
        <v/>
      </c>
      <c r="F132" s="1171">
        <f>F129/F117</f>
        <v/>
      </c>
      <c r="G132" s="1171">
        <f>G129/G117</f>
        <v/>
      </c>
      <c r="H132" s="1171">
        <f>H129/H117</f>
        <v/>
      </c>
      <c r="I132" s="1171">
        <f>I129/I117</f>
        <v/>
      </c>
      <c r="J132" s="1171">
        <f>J129/J117</f>
        <v/>
      </c>
      <c r="K132" s="1169" t="n"/>
    </row>
    <row r="133" ht="14" customHeight="1" s="632">
      <c r="A133" s="1166" t="inlineStr">
        <is>
          <t>Depreciation and amortisation</t>
        </is>
      </c>
      <c r="B133" s="1167" t="inlineStr">
        <is>
          <t>% of revenue</t>
        </is>
      </c>
      <c r="C133" s="1182">
        <f>'Cash Flow Model'!$C$98</f>
        <v/>
      </c>
      <c r="D133" s="1182">
        <f>'Model Assumptions'!E$138</f>
        <v/>
      </c>
      <c r="E133" s="1182">
        <f>'Model Assumptions'!F$138</f>
        <v/>
      </c>
      <c r="F133" s="1182">
        <f>'Model Assumptions'!G$138</f>
        <v/>
      </c>
      <c r="G133" s="1182">
        <f>'Model Assumptions'!H$138</f>
        <v/>
      </c>
      <c r="H133" s="1182">
        <f>'Model Assumptions'!I$138</f>
        <v/>
      </c>
      <c r="I133" s="1182">
        <f>'Model Assumptions'!J$138</f>
        <v/>
      </c>
      <c r="J133" s="1182">
        <f>'Model Assumptions'!K$138</f>
        <v/>
      </c>
      <c r="K133" s="1169" t="n"/>
    </row>
    <row r="134" ht="14" customHeight="1" s="632">
      <c r="A134" s="1166" t="inlineStr">
        <is>
          <t>Depreciation and amortisation</t>
        </is>
      </c>
      <c r="B134" s="1167" t="inlineStr">
        <is>
          <t>Rs cr</t>
        </is>
      </c>
      <c r="C134" s="1181">
        <f>C130*C133</f>
        <v/>
      </c>
      <c r="D134" s="1181">
        <f>D130*D133</f>
        <v/>
      </c>
      <c r="E134" s="1181">
        <f>E130*E133</f>
        <v/>
      </c>
      <c r="F134" s="1181">
        <f>F130*F133</f>
        <v/>
      </c>
      <c r="G134" s="1181">
        <f>G130*G133</f>
        <v/>
      </c>
      <c r="H134" s="1181">
        <f>H130*H133</f>
        <v/>
      </c>
      <c r="I134" s="1181">
        <f>I130*I133</f>
        <v/>
      </c>
      <c r="J134" s="1181">
        <f>J130*J133</f>
        <v/>
      </c>
      <c r="K134" s="1171">
        <f>IFERROR(IF(AND(ISNUMBER(C134),ISNUMBER(J134),C134&gt;0),(J134/C134)^(1/7)-1,""),"")</f>
        <v/>
      </c>
    </row>
    <row r="135" ht="14" customHeight="1" s="632">
      <c r="A135" s="1166" t="inlineStr">
        <is>
          <t>EBIT</t>
        </is>
      </c>
      <c r="B135" s="1167" t="inlineStr">
        <is>
          <t>Rs cr</t>
        </is>
      </c>
      <c r="C135" s="1183">
        <f>C131-C134</f>
        <v/>
      </c>
      <c r="D135" s="1183">
        <f>D131-D134</f>
        <v/>
      </c>
      <c r="E135" s="1183">
        <f>E131-E134</f>
        <v/>
      </c>
      <c r="F135" s="1183">
        <f>F131-F134</f>
        <v/>
      </c>
      <c r="G135" s="1183">
        <f>G131-G134</f>
        <v/>
      </c>
      <c r="H135" s="1183">
        <f>H131-H134</f>
        <v/>
      </c>
      <c r="I135" s="1183">
        <f>I131-I134</f>
        <v/>
      </c>
      <c r="J135" s="1183">
        <f>J131-J134</f>
        <v/>
      </c>
      <c r="K135" s="1171">
        <f>IFERROR(IF(AND(ISNUMBER(C135),ISNUMBER(J135),C135&gt;0),(J135/C135)^(1/7)-1,""),"")</f>
        <v/>
      </c>
    </row>
    <row r="136" ht="14" customHeight="1" s="632">
      <c r="A136" s="1166" t="inlineStr">
        <is>
          <t>Effective tax rate</t>
        </is>
      </c>
      <c r="B136" s="1167" t="inlineStr">
        <is>
          <t>%</t>
        </is>
      </c>
      <c r="C136" s="1182">
        <f>'Cash Flow Model'!$C$101</f>
        <v/>
      </c>
      <c r="D136" s="1182">
        <f>'Model Assumptions'!E$94</f>
        <v/>
      </c>
      <c r="E136" s="1182">
        <f>'Model Assumptions'!F$94</f>
        <v/>
      </c>
      <c r="F136" s="1182">
        <f>'Model Assumptions'!G$94</f>
        <v/>
      </c>
      <c r="G136" s="1182">
        <f>'Model Assumptions'!H$94</f>
        <v/>
      </c>
      <c r="H136" s="1182">
        <f>'Model Assumptions'!I$94</f>
        <v/>
      </c>
      <c r="I136" s="1182">
        <f>'Model Assumptions'!J$94</f>
        <v/>
      </c>
      <c r="J136" s="1182">
        <f>'Model Assumptions'!K$94</f>
        <v/>
      </c>
      <c r="K136" s="1169" t="n"/>
    </row>
    <row r="137" ht="14" customHeight="1" s="632">
      <c r="A137" s="1166" t="inlineStr">
        <is>
          <t>Cash tax</t>
        </is>
      </c>
      <c r="B137" s="1167" t="inlineStr">
        <is>
          <t>Rs cr</t>
        </is>
      </c>
      <c r="C137" s="1181">
        <f>MAX(0,C135)*C136</f>
        <v/>
      </c>
      <c r="D137" s="1181">
        <f>MAX(0,D135)*D136</f>
        <v/>
      </c>
      <c r="E137" s="1181">
        <f>MAX(0,E135)*E136</f>
        <v/>
      </c>
      <c r="F137" s="1181">
        <f>MAX(0,F135)*F136</f>
        <v/>
      </c>
      <c r="G137" s="1181">
        <f>MAX(0,G135)*G136</f>
        <v/>
      </c>
      <c r="H137" s="1181">
        <f>MAX(0,H135)*H136</f>
        <v/>
      </c>
      <c r="I137" s="1181">
        <f>MAX(0,I135)*I136</f>
        <v/>
      </c>
      <c r="J137" s="1181">
        <f>MAX(0,J135)*J136</f>
        <v/>
      </c>
      <c r="K137" s="1171">
        <f>IFERROR(IF(AND(ISNUMBER(C137),ISNUMBER(J137),C137&gt;0),(J137/C137)^(1/7)-1,""),"")</f>
        <v/>
      </c>
    </row>
    <row r="138" ht="14" customHeight="1" s="632">
      <c r="A138" s="1166" t="inlineStr">
        <is>
          <t>Capex intensity</t>
        </is>
      </c>
      <c r="B138" s="1167" t="inlineStr">
        <is>
          <t>Rs/t of capacity</t>
        </is>
      </c>
      <c r="C138" s="1178">
        <f>'Model Assumptions'!$D$23</f>
        <v/>
      </c>
      <c r="D138" s="1178">
        <f>'Model Assumptions'!E$98</f>
        <v/>
      </c>
      <c r="E138" s="1178">
        <f>'Model Assumptions'!F$98</f>
        <v/>
      </c>
      <c r="F138" s="1178">
        <f>'Model Assumptions'!G$98</f>
        <v/>
      </c>
      <c r="G138" s="1178">
        <f>'Model Assumptions'!H$98</f>
        <v/>
      </c>
      <c r="H138" s="1178">
        <f>'Model Assumptions'!I$98</f>
        <v/>
      </c>
      <c r="I138" s="1178">
        <f>'Model Assumptions'!J$98</f>
        <v/>
      </c>
      <c r="J138" s="1178">
        <f>'Model Assumptions'!K$98</f>
        <v/>
      </c>
      <c r="K138" s="1171">
        <f>IFERROR(IF(AND(ISNUMBER(C138),ISNUMBER(J138),C138&gt;0),(J138/C138)^(1/7)-1,""),"")</f>
        <v/>
      </c>
    </row>
    <row r="139" ht="14" customHeight="1" s="632">
      <c r="A139" s="1166" t="inlineStr">
        <is>
          <t>Growth capex</t>
        </is>
      </c>
      <c r="B139" s="1167" t="inlineStr">
        <is>
          <t>Rs cr</t>
        </is>
      </c>
      <c r="C139" s="1176" t="n"/>
      <c r="D139" s="1181">
        <f>D106*D138/10</f>
        <v/>
      </c>
      <c r="E139" s="1181">
        <f>E106*E138/10</f>
        <v/>
      </c>
      <c r="F139" s="1181">
        <f>F106*F138/10</f>
        <v/>
      </c>
      <c r="G139" s="1181">
        <f>G106*G138/10</f>
        <v/>
      </c>
      <c r="H139" s="1181">
        <f>H106*H138/10</f>
        <v/>
      </c>
      <c r="I139" s="1181">
        <f>I106*I138/10</f>
        <v/>
      </c>
      <c r="J139" s="1181">
        <f>J106*J138/10</f>
        <v/>
      </c>
      <c r="K139" s="1169" t="n"/>
    </row>
    <row r="140" ht="14" customHeight="1" s="632">
      <c r="A140" s="1166" t="inlineStr">
        <is>
          <t>Maintenance capex</t>
        </is>
      </c>
      <c r="B140" s="1167" t="inlineStr">
        <is>
          <t>% of revenue</t>
        </is>
      </c>
      <c r="C140" s="1168">
        <f>'Model Assumptions'!$D$24</f>
        <v/>
      </c>
      <c r="D140" s="1168">
        <f>'Model Assumptions'!E$102</f>
        <v/>
      </c>
      <c r="E140" s="1168">
        <f>'Model Assumptions'!F$102</f>
        <v/>
      </c>
      <c r="F140" s="1168">
        <f>'Model Assumptions'!G$102</f>
        <v/>
      </c>
      <c r="G140" s="1168">
        <f>'Model Assumptions'!H$102</f>
        <v/>
      </c>
      <c r="H140" s="1168">
        <f>'Model Assumptions'!I$102</f>
        <v/>
      </c>
      <c r="I140" s="1168">
        <f>'Model Assumptions'!J$102</f>
        <v/>
      </c>
      <c r="J140" s="1168">
        <f>'Model Assumptions'!K$102</f>
        <v/>
      </c>
      <c r="K140" s="1169" t="n"/>
    </row>
    <row r="141" ht="14" customHeight="1" s="632">
      <c r="A141" s="1166" t="inlineStr">
        <is>
          <t>Maintenance capex</t>
        </is>
      </c>
      <c r="B141" s="1167" t="inlineStr">
        <is>
          <t>Rs cr</t>
        </is>
      </c>
      <c r="C141" s="1176" t="n"/>
      <c r="D141" s="1181">
        <f>D130*D140</f>
        <v/>
      </c>
      <c r="E141" s="1181">
        <f>E130*E140</f>
        <v/>
      </c>
      <c r="F141" s="1181">
        <f>F130*F140</f>
        <v/>
      </c>
      <c r="G141" s="1181">
        <f>G130*G140</f>
        <v/>
      </c>
      <c r="H141" s="1181">
        <f>H130*H140</f>
        <v/>
      </c>
      <c r="I141" s="1181">
        <f>I130*I140</f>
        <v/>
      </c>
      <c r="J141" s="1181">
        <f>J130*J140</f>
        <v/>
      </c>
      <c r="K141" s="1169" t="n"/>
    </row>
    <row r="142" ht="14" customHeight="1" s="632">
      <c r="A142" s="1166" t="inlineStr">
        <is>
          <t>Total capex</t>
        </is>
      </c>
      <c r="B142" s="1167" t="inlineStr">
        <is>
          <t>Rs cr</t>
        </is>
      </c>
      <c r="C142" s="1176" t="n"/>
      <c r="D142" s="1181">
        <f>D139+D141</f>
        <v/>
      </c>
      <c r="E142" s="1181">
        <f>E139+E141</f>
        <v/>
      </c>
      <c r="F142" s="1181">
        <f>F139+F141</f>
        <v/>
      </c>
      <c r="G142" s="1181">
        <f>G139+G141</f>
        <v/>
      </c>
      <c r="H142" s="1181">
        <f>H139+H141</f>
        <v/>
      </c>
      <c r="I142" s="1181">
        <f>I139+I141</f>
        <v/>
      </c>
      <c r="J142" s="1181">
        <f>J139+J141</f>
        <v/>
      </c>
      <c r="K142" s="1169" t="n"/>
    </row>
    <row r="143" ht="14" customHeight="1" s="632">
      <c r="A143" s="1166" t="inlineStr">
        <is>
          <t>Net working capital</t>
        </is>
      </c>
      <c r="B143" s="1167" t="inlineStr">
        <is>
          <t>days of revenue</t>
        </is>
      </c>
      <c r="C143" s="1178">
        <f>'Working Capital Model'!$C$71</f>
        <v/>
      </c>
      <c r="D143" s="1178">
        <f>'Model Assumptions'!E$106</f>
        <v/>
      </c>
      <c r="E143" s="1178">
        <f>'Model Assumptions'!F$106</f>
        <v/>
      </c>
      <c r="F143" s="1178">
        <f>'Model Assumptions'!G$106</f>
        <v/>
      </c>
      <c r="G143" s="1178">
        <f>'Model Assumptions'!H$106</f>
        <v/>
      </c>
      <c r="H143" s="1178">
        <f>'Model Assumptions'!I$106</f>
        <v/>
      </c>
      <c r="I143" s="1178">
        <f>'Model Assumptions'!J$106</f>
        <v/>
      </c>
      <c r="J143" s="1178">
        <f>'Model Assumptions'!K$106</f>
        <v/>
      </c>
      <c r="K143" s="1171">
        <f>IFERROR(IF(AND(ISNUMBER(C143),ISNUMBER(J143),C143&gt;0),(J143/C143)^(1/7)-1,""),"")</f>
        <v/>
      </c>
    </row>
    <row r="144" ht="14" customHeight="1" s="632">
      <c r="A144" s="1166" t="inlineStr">
        <is>
          <t>Net working capital</t>
        </is>
      </c>
      <c r="B144" s="1167" t="inlineStr">
        <is>
          <t>Rs cr</t>
        </is>
      </c>
      <c r="C144" s="1178">
        <f>'Working Capital Model'!$C$72</f>
        <v/>
      </c>
      <c r="D144" s="1181">
        <f>D130*D143/365</f>
        <v/>
      </c>
      <c r="E144" s="1181">
        <f>E130*E143/365</f>
        <v/>
      </c>
      <c r="F144" s="1181">
        <f>F130*F143/365</f>
        <v/>
      </c>
      <c r="G144" s="1181">
        <f>G130*G143/365</f>
        <v/>
      </c>
      <c r="H144" s="1181">
        <f>H130*H143/365</f>
        <v/>
      </c>
      <c r="I144" s="1181">
        <f>I130*I143/365</f>
        <v/>
      </c>
      <c r="J144" s="1181">
        <f>J130*J143/365</f>
        <v/>
      </c>
      <c r="K144" s="1171">
        <f>IFERROR(IF(AND(ISNUMBER(C144),ISNUMBER(J144),C144&gt;0),(J144/C144)^(1/7)-1,""),"")</f>
        <v/>
      </c>
    </row>
    <row r="145" ht="14" customHeight="1" s="632">
      <c r="A145" s="1166" t="inlineStr">
        <is>
          <t>Change in net working capital</t>
        </is>
      </c>
      <c r="B145" s="1167" t="inlineStr">
        <is>
          <t>Rs cr</t>
        </is>
      </c>
      <c r="C145" s="1176" t="n"/>
      <c r="D145" s="1183">
        <f>D144-C144</f>
        <v/>
      </c>
      <c r="E145" s="1183">
        <f>E144-D144</f>
        <v/>
      </c>
      <c r="F145" s="1183">
        <f>F144-E144</f>
        <v/>
      </c>
      <c r="G145" s="1183">
        <f>G144-F144</f>
        <v/>
      </c>
      <c r="H145" s="1183">
        <f>H144-G144</f>
        <v/>
      </c>
      <c r="I145" s="1183">
        <f>I144-H144</f>
        <v/>
      </c>
      <c r="J145" s="1183">
        <f>J144-I144</f>
        <v/>
      </c>
      <c r="K145" s="1169" t="n"/>
    </row>
    <row r="146" ht="14" customHeight="1" s="632">
      <c r="A146" s="1166" t="inlineStr">
        <is>
          <t>Unlevered free cash flow</t>
        </is>
      </c>
      <c r="B146" s="1167" t="inlineStr">
        <is>
          <t>Rs cr</t>
        </is>
      </c>
      <c r="C146" s="1176" t="n"/>
      <c r="D146" s="1183">
        <f>D131-D137-D142-D145</f>
        <v/>
      </c>
      <c r="E146" s="1183">
        <f>E131-E137-E142-E145</f>
        <v/>
      </c>
      <c r="F146" s="1183">
        <f>F131-F137-F142-F145</f>
        <v/>
      </c>
      <c r="G146" s="1183">
        <f>G131-G137-G142-G145</f>
        <v/>
      </c>
      <c r="H146" s="1183">
        <f>H131-H137-H142-H145</f>
        <v/>
      </c>
      <c r="I146" s="1183">
        <f>I131-I137-I142-I145</f>
        <v/>
      </c>
      <c r="J146" s="1183">
        <f>J131-J137-J142-J145</f>
        <v/>
      </c>
      <c r="K146" s="1169" t="n"/>
    </row>
    <row r="147" ht="14" customHeight="1" s="632">
      <c r="A147" s="1166" t="inlineStr">
        <is>
          <t>Exit EV/EBITDA multiple</t>
        </is>
      </c>
      <c r="B147" s="1167" t="inlineStr">
        <is>
          <t>x</t>
        </is>
      </c>
      <c r="C147" s="1176" t="n"/>
      <c r="D147" s="1184">
        <f>'Model Assumptions'!E$110</f>
        <v/>
      </c>
      <c r="E147" s="1184">
        <f>'Model Assumptions'!F$110</f>
        <v/>
      </c>
      <c r="F147" s="1184">
        <f>'Model Assumptions'!G$110</f>
        <v/>
      </c>
      <c r="G147" s="1184">
        <f>'Model Assumptions'!H$110</f>
        <v/>
      </c>
      <c r="H147" s="1184">
        <f>'Model Assumptions'!I$110</f>
        <v/>
      </c>
      <c r="I147" s="1184">
        <f>'Model Assumptions'!J$110</f>
        <v/>
      </c>
      <c r="J147" s="1184">
        <f>'Model Assumptions'!K$110</f>
        <v/>
      </c>
      <c r="K147" s="1169" t="n"/>
    </row>
    <row r="148" ht="14" customHeight="1" s="632">
      <c r="A148" s="1166" t="inlineStr">
        <is>
          <t>WACC (nominal, INR)</t>
        </is>
      </c>
      <c r="B148" s="1167" t="inlineStr">
        <is>
          <t>%</t>
        </is>
      </c>
      <c r="C148" s="1176" t="n"/>
      <c r="D148" s="1168">
        <f>'Model Assumptions'!E$114</f>
        <v/>
      </c>
      <c r="E148" s="1168">
        <f>'Model Assumptions'!F$114</f>
        <v/>
      </c>
      <c r="F148" s="1168">
        <f>'Model Assumptions'!G$114</f>
        <v/>
      </c>
      <c r="G148" s="1168">
        <f>'Model Assumptions'!H$114</f>
        <v/>
      </c>
      <c r="H148" s="1168">
        <f>'Model Assumptions'!I$114</f>
        <v/>
      </c>
      <c r="I148" s="1168">
        <f>'Model Assumptions'!J$114</f>
        <v/>
      </c>
      <c r="J148" s="1168">
        <f>'Model Assumptions'!K$114</f>
        <v/>
      </c>
      <c r="K148" s="1169" t="n"/>
    </row>
    <row r="149" ht="14" customHeight="1" s="632">
      <c r="A149" s="1166" t="inlineStr">
        <is>
          <t>Finished steel imports - driver</t>
        </is>
      </c>
      <c r="B149" s="1167" t="inlineStr">
        <is>
          <t>Mt</t>
        </is>
      </c>
      <c r="C149" s="1172">
        <f>'Trade Model'!$C$74</f>
        <v/>
      </c>
      <c r="D149" s="1172">
        <f>'Model Assumptions'!E$118</f>
        <v/>
      </c>
      <c r="E149" s="1172">
        <f>'Model Assumptions'!F$118</f>
        <v/>
      </c>
      <c r="F149" s="1172">
        <f>'Model Assumptions'!G$118</f>
        <v/>
      </c>
      <c r="G149" s="1172">
        <f>'Model Assumptions'!H$118</f>
        <v/>
      </c>
      <c r="H149" s="1172">
        <f>'Model Assumptions'!I$118</f>
        <v/>
      </c>
      <c r="I149" s="1172">
        <f>'Model Assumptions'!J$118</f>
        <v/>
      </c>
      <c r="J149" s="1172">
        <f>'Model Assumptions'!K$118</f>
        <v/>
      </c>
      <c r="K149" s="1171">
        <f>IFERROR(IF(AND(ISNUMBER(C149),ISNUMBER(J149),C149&gt;0),(J149/C149)^(1/7)-1,""),"")</f>
        <v/>
      </c>
    </row>
    <row r="150" ht="14" customHeight="1" s="632">
      <c r="A150" s="1166" t="inlineStr">
        <is>
          <t>Shortfall routed from the capacity ceiling</t>
        </is>
      </c>
      <c r="B150" s="1167" t="inlineStr">
        <is>
          <t>Mt</t>
        </is>
      </c>
      <c r="C150" s="1172">
        <f>0</f>
        <v/>
      </c>
      <c r="D150" s="1173">
        <f>MAX(0,D100-D112)</f>
        <v/>
      </c>
      <c r="E150" s="1173">
        <f>MAX(0,E100-E112)</f>
        <v/>
      </c>
      <c r="F150" s="1173">
        <f>MAX(0,F100-F112)</f>
        <v/>
      </c>
      <c r="G150" s="1173">
        <f>MAX(0,G100-G112)</f>
        <v/>
      </c>
      <c r="H150" s="1173">
        <f>MAX(0,H100-H112)</f>
        <v/>
      </c>
      <c r="I150" s="1173">
        <f>MAX(0,I100-I112)</f>
        <v/>
      </c>
      <c r="J150" s="1173">
        <f>MAX(0,J100-J112)</f>
        <v/>
      </c>
      <c r="K150" s="1171">
        <f>IFERROR(IF(AND(ISNUMBER(C150),ISNUMBER(J150),C150&gt;0),(J150/C150)^(1/7)-1,""),"")</f>
        <v/>
      </c>
    </row>
    <row r="151" ht="14" customHeight="1" s="632">
      <c r="A151" s="1166" t="inlineStr">
        <is>
          <t>Total finished steel imports</t>
        </is>
      </c>
      <c r="B151" s="1167" t="inlineStr">
        <is>
          <t>Mt</t>
        </is>
      </c>
      <c r="C151" s="1173">
        <f>C149+C150</f>
        <v/>
      </c>
      <c r="D151" s="1173">
        <f>D149+D150</f>
        <v/>
      </c>
      <c r="E151" s="1173">
        <f>E149+E150</f>
        <v/>
      </c>
      <c r="F151" s="1173">
        <f>F149+F150</f>
        <v/>
      </c>
      <c r="G151" s="1173">
        <f>G149+G150</f>
        <v/>
      </c>
      <c r="H151" s="1173">
        <f>H149+H150</f>
        <v/>
      </c>
      <c r="I151" s="1173">
        <f>I149+I150</f>
        <v/>
      </c>
      <c r="J151" s="1173">
        <f>J149+J150</f>
        <v/>
      </c>
      <c r="K151" s="1171">
        <f>IFERROR(IF(AND(ISNUMBER(C151),ISNUMBER(J151),C151&gt;0),(J151/C151)^(1/7)-1,""),"")</f>
        <v/>
      </c>
    </row>
    <row r="152" ht="14" customHeight="1" s="632">
      <c r="A152" s="1166" t="inlineStr">
        <is>
          <t>Finished steel exports</t>
        </is>
      </c>
      <c r="B152" s="1167" t="inlineStr">
        <is>
          <t>Mt</t>
        </is>
      </c>
      <c r="C152" s="1172">
        <f>'Trade Model'!$C$78</f>
        <v/>
      </c>
      <c r="D152" s="1173">
        <f>D149+D98</f>
        <v/>
      </c>
      <c r="E152" s="1173">
        <f>E149+E98</f>
        <v/>
      </c>
      <c r="F152" s="1173">
        <f>F149+F98</f>
        <v/>
      </c>
      <c r="G152" s="1173">
        <f>G149+G98</f>
        <v/>
      </c>
      <c r="H152" s="1173">
        <f>H149+H98</f>
        <v/>
      </c>
      <c r="I152" s="1173">
        <f>I149+I98</f>
        <v/>
      </c>
      <c r="J152" s="1173">
        <f>J149+J98</f>
        <v/>
      </c>
      <c r="K152" s="1171">
        <f>IFERROR(IF(AND(ISNUMBER(C152),ISNUMBER(J152),C152&gt;0),(J152/C152)^(1/7)-1,""),"")</f>
        <v/>
      </c>
    </row>
    <row r="153" ht="14" customHeight="1" s="632">
      <c r="A153" s="1166" t="inlineStr">
        <is>
          <t>Import penetration</t>
        </is>
      </c>
      <c r="B153" s="1167" t="inlineStr">
        <is>
          <t>% of consumption</t>
        </is>
      </c>
      <c r="C153" s="1171">
        <f>C151/C97</f>
        <v/>
      </c>
      <c r="D153" s="1171">
        <f>D151/D97</f>
        <v/>
      </c>
      <c r="E153" s="1171">
        <f>E151/E97</f>
        <v/>
      </c>
      <c r="F153" s="1171">
        <f>F151/F97</f>
        <v/>
      </c>
      <c r="G153" s="1171">
        <f>G151/G97</f>
        <v/>
      </c>
      <c r="H153" s="1171">
        <f>H151/H97</f>
        <v/>
      </c>
      <c r="I153" s="1171">
        <f>I151/I97</f>
        <v/>
      </c>
      <c r="J153" s="1171">
        <f>J151/J97</f>
        <v/>
      </c>
      <c r="K153" s="1169" t="n"/>
    </row>
    <row r="154" ht="14" customHeight="1" s="632">
      <c r="A154" s="1166" t="inlineStr">
        <is>
          <t>Per capita finished steel consumption</t>
        </is>
      </c>
      <c r="B154" s="1167" t="inlineStr">
        <is>
          <t>kg</t>
        </is>
      </c>
      <c r="C154" s="1172">
        <f>'Steel Demand Model'!$C$121</f>
        <v/>
      </c>
      <c r="D154" s="1173">
        <f>D97/'Steel Demand Model'!D$119</f>
        <v/>
      </c>
      <c r="E154" s="1173">
        <f>E97/'Steel Demand Model'!E$119</f>
        <v/>
      </c>
      <c r="F154" s="1173">
        <f>F97/'Steel Demand Model'!F$119</f>
        <v/>
      </c>
      <c r="G154" s="1173">
        <f>G97/'Steel Demand Model'!G$119</f>
        <v/>
      </c>
      <c r="H154" s="1173">
        <f>H97/'Steel Demand Model'!H$119</f>
        <v/>
      </c>
      <c r="I154" s="1173">
        <f>I97/'Steel Demand Model'!I$119</f>
        <v/>
      </c>
      <c r="J154" s="1173">
        <f>J97/'Steel Demand Model'!J$119</f>
        <v/>
      </c>
      <c r="K154" s="1171">
        <f>IFERROR(IF(AND(ISNUMBER(C154),ISNUMBER(J154),C154&gt;0),(J154/C154)^(1/7)-1,""),"")</f>
        <v/>
      </c>
    </row>
    <row r="155" ht="14" customHeight="1" s="632">
      <c r="A155" s="1166" t="inlineStr">
        <is>
          <t>Enterprise value at the exit multiple (terminal-year proxy)</t>
        </is>
      </c>
      <c r="B155" s="1167" t="inlineStr">
        <is>
          <t>Rs cr</t>
        </is>
      </c>
      <c r="C155" s="1176" t="n"/>
      <c r="D155" s="1181">
        <f>D131*D147</f>
        <v/>
      </c>
      <c r="E155" s="1181">
        <f>E131*E147</f>
        <v/>
      </c>
      <c r="F155" s="1181">
        <f>F131*F147</f>
        <v/>
      </c>
      <c r="G155" s="1181">
        <f>G131*G147</f>
        <v/>
      </c>
      <c r="H155" s="1181">
        <f>H131*H147</f>
        <v/>
      </c>
      <c r="I155" s="1181">
        <f>I131*I147</f>
        <v/>
      </c>
      <c r="J155" s="1181">
        <f>J131*J147</f>
        <v/>
      </c>
      <c r="K155" s="1169" t="n"/>
    </row>
    <row r="156" ht="14" customHeight="1" s="632">
      <c r="A156" s="1166" t="inlineStr">
        <is>
          <t>NOPAT</t>
        </is>
      </c>
      <c r="B156" s="1167" t="inlineStr">
        <is>
          <t>Rs cr</t>
        </is>
      </c>
      <c r="C156" s="1176" t="n"/>
      <c r="D156" s="1183">
        <f>D135*(1-D136)</f>
        <v/>
      </c>
      <c r="E156" s="1183">
        <f>E135*(1-E136)</f>
        <v/>
      </c>
      <c r="F156" s="1183">
        <f>F135*(1-F136)</f>
        <v/>
      </c>
      <c r="G156" s="1183">
        <f>G135*(1-G136)</f>
        <v/>
      </c>
      <c r="H156" s="1183">
        <f>H135*(1-H136)</f>
        <v/>
      </c>
      <c r="I156" s="1183">
        <f>I135*(1-I136)</f>
        <v/>
      </c>
      <c r="J156" s="1183">
        <f>J135*(1-J136)</f>
        <v/>
      </c>
      <c r="K156" s="1169" t="n"/>
    </row>
    <row r="157" ht="14" customHeight="1" s="632">
      <c r="A157" s="1166" t="inlineStr">
        <is>
          <t>Invested capital (proxy)</t>
        </is>
      </c>
      <c r="B157" s="1167" t="inlineStr">
        <is>
          <t>Rs cr</t>
        </is>
      </c>
      <c r="C157" s="1176" t="n"/>
      <c r="D157" s="1181">
        <f>220.4*D138/10+D144</f>
        <v/>
      </c>
      <c r="E157" s="1181">
        <f>220.4*E138/10+E144</f>
        <v/>
      </c>
      <c r="F157" s="1181">
        <f>220.4*F138/10+F144</f>
        <v/>
      </c>
      <c r="G157" s="1181">
        <f>220.4*G138/10+G144</f>
        <v/>
      </c>
      <c r="H157" s="1181">
        <f>220.4*H138/10+H144</f>
        <v/>
      </c>
      <c r="I157" s="1181">
        <f>220.4*I138/10+I144</f>
        <v/>
      </c>
      <c r="J157" s="1181">
        <f>220.4*J138/10+J144</f>
        <v/>
      </c>
      <c r="K157" s="1169" t="n"/>
    </row>
    <row r="158" ht="14" customHeight="1" s="632">
      <c r="A158" s="1166" t="inlineStr">
        <is>
          <t>ROIC (indicative)</t>
        </is>
      </c>
      <c r="B158" s="1167" t="inlineStr">
        <is>
          <t>%</t>
        </is>
      </c>
      <c r="C158" s="1176" t="n"/>
      <c r="D158" s="1171">
        <f>IFERROR(D156/D157,"")</f>
        <v/>
      </c>
      <c r="E158" s="1171">
        <f>IFERROR(E156/E157,"")</f>
        <v/>
      </c>
      <c r="F158" s="1171">
        <f>IFERROR(F156/F157,"")</f>
        <v/>
      </c>
      <c r="G158" s="1171">
        <f>IFERROR(G156/G157,"")</f>
        <v/>
      </c>
      <c r="H158" s="1171">
        <f>IFERROR(H156/H157,"")</f>
        <v/>
      </c>
      <c r="I158" s="1171">
        <f>IFERROR(I156/I157,"")</f>
        <v/>
      </c>
      <c r="J158" s="1171">
        <f>IFERROR(J156/J157,"")</f>
        <v/>
      </c>
      <c r="K158" s="1169" t="n"/>
    </row>
    <row r="159" ht="14" customHeight="1" s="632">
      <c r="A159" s="1166" t="inlineStr">
        <is>
          <t>Cycle indicator 1 - real GDP growth (4% to 9%)</t>
        </is>
      </c>
      <c r="B159" s="1167" t="inlineStr">
        <is>
          <t>score</t>
        </is>
      </c>
      <c r="C159" s="1185">
        <f>MIN(100,MAX(0,(C94-4%)/5%*100))</f>
        <v/>
      </c>
      <c r="D159" s="1185">
        <f>MIN(100,MAX(0,(D94-4%)/5%*100))</f>
        <v/>
      </c>
      <c r="E159" s="1185">
        <f>MIN(100,MAX(0,(E94-4%)/5%*100))</f>
        <v/>
      </c>
      <c r="F159" s="1185">
        <f>MIN(100,MAX(0,(F94-4%)/5%*100))</f>
        <v/>
      </c>
      <c r="G159" s="1185">
        <f>MIN(100,MAX(0,(G94-4%)/5%*100))</f>
        <v/>
      </c>
      <c r="H159" s="1185">
        <f>MIN(100,MAX(0,(H94-4%)/5%*100))</f>
        <v/>
      </c>
      <c r="I159" s="1185">
        <f>MIN(100,MAX(0,(I94-4%)/5%*100))</f>
        <v/>
      </c>
      <c r="J159" s="1185">
        <f>MIN(100,MAX(0,(J94-4%)/5%*100))</f>
        <v/>
      </c>
      <c r="K159" s="1169" t="n"/>
    </row>
    <row r="160" ht="14" customHeight="1" s="632">
      <c r="A160" s="1166" t="inlineStr">
        <is>
          <t>Cycle indicator 2 - consumption growth (2% to 12%)</t>
        </is>
      </c>
      <c r="B160" s="1167" t="inlineStr">
        <is>
          <t>score</t>
        </is>
      </c>
      <c r="C160" s="1185">
        <f>MIN(100,MAX(0,(C96-2%)/10%*100))</f>
        <v/>
      </c>
      <c r="D160" s="1185">
        <f>MIN(100,MAX(0,(D96-2%)/10%*100))</f>
        <v/>
      </c>
      <c r="E160" s="1185">
        <f>MIN(100,MAX(0,(E96-2%)/10%*100))</f>
        <v/>
      </c>
      <c r="F160" s="1185">
        <f>MIN(100,MAX(0,(F96-2%)/10%*100))</f>
        <v/>
      </c>
      <c r="G160" s="1185">
        <f>MIN(100,MAX(0,(G96-2%)/10%*100))</f>
        <v/>
      </c>
      <c r="H160" s="1185">
        <f>MIN(100,MAX(0,(H96-2%)/10%*100))</f>
        <v/>
      </c>
      <c r="I160" s="1185">
        <f>MIN(100,MAX(0,(I96-2%)/10%*100))</f>
        <v/>
      </c>
      <c r="J160" s="1185">
        <f>MIN(100,MAX(0,(J96-2%)/10%*100))</f>
        <v/>
      </c>
      <c r="K160" s="1169" t="n"/>
    </row>
    <row r="161" ht="14" customHeight="1" s="632">
      <c r="A161" s="1166" t="inlineStr">
        <is>
          <t>Cycle indicator 3 - capacity utilisation (65% to 92%)</t>
        </is>
      </c>
      <c r="B161" s="1167" t="inlineStr">
        <is>
          <t>score</t>
        </is>
      </c>
      <c r="C161" s="1185">
        <f>MIN(100,MAX(0,(C111-65%)/27%*100))</f>
        <v/>
      </c>
      <c r="D161" s="1185">
        <f>MIN(100,MAX(0,(D111-65%)/27%*100))</f>
        <v/>
      </c>
      <c r="E161" s="1185">
        <f>MIN(100,MAX(0,(E111-65%)/27%*100))</f>
        <v/>
      </c>
      <c r="F161" s="1185">
        <f>MIN(100,MAX(0,(F111-65%)/27%*100))</f>
        <v/>
      </c>
      <c r="G161" s="1185">
        <f>MIN(100,MAX(0,(G111-65%)/27%*100))</f>
        <v/>
      </c>
      <c r="H161" s="1185">
        <f>MIN(100,MAX(0,(H111-65%)/27%*100))</f>
        <v/>
      </c>
      <c r="I161" s="1185">
        <f>MIN(100,MAX(0,(I111-65%)/27%*100))</f>
        <v/>
      </c>
      <c r="J161" s="1185">
        <f>MIN(100,MAX(0,(J111-65%)/27%*100))</f>
        <v/>
      </c>
      <c r="K161" s="1169" t="n"/>
    </row>
    <row r="162" ht="14" customHeight="1" s="632">
      <c r="A162" s="1166" t="inlineStr">
        <is>
          <t>Cycle indicator 4 - spare capacity, scored inversely (0% to 30%)</t>
        </is>
      </c>
      <c r="B162" s="1167" t="inlineStr">
        <is>
          <t>score</t>
        </is>
      </c>
      <c r="C162" s="1185">
        <f>MIN(100,MAX(0,100-(C107-C102)/C107/30%*100))</f>
        <v/>
      </c>
      <c r="D162" s="1185">
        <f>MIN(100,MAX(0,100-(D107-D102)/D107/30%*100))</f>
        <v/>
      </c>
      <c r="E162" s="1185">
        <f>MIN(100,MAX(0,100-(E107-E102)/E107/30%*100))</f>
        <v/>
      </c>
      <c r="F162" s="1185">
        <f>MIN(100,MAX(0,100-(F107-F102)/F107/30%*100))</f>
        <v/>
      </c>
      <c r="G162" s="1185">
        <f>MIN(100,MAX(0,100-(G107-G102)/G107/30%*100))</f>
        <v/>
      </c>
      <c r="H162" s="1185">
        <f>MIN(100,MAX(0,100-(H107-H102)/H107/30%*100))</f>
        <v/>
      </c>
      <c r="I162" s="1185">
        <f>MIN(100,MAX(0,100-(I107-I102)/I107/30%*100))</f>
        <v/>
      </c>
      <c r="J162" s="1185">
        <f>MIN(100,MAX(0,100-(J107-J102)/J107/30%*100))</f>
        <v/>
      </c>
      <c r="K162" s="1169" t="n"/>
    </row>
    <row r="163" ht="14" customHeight="1" s="632">
      <c r="A163" s="1166" t="inlineStr">
        <is>
          <t>Cycle indicator 5 - blended realisation (Rs 50,000 to Rs 75,000/t)</t>
        </is>
      </c>
      <c r="B163" s="1167" t="inlineStr">
        <is>
          <t>score</t>
        </is>
      </c>
      <c r="C163" s="1185">
        <f>MIN(100,MAX(0,(C117-50000)/25000*100))</f>
        <v/>
      </c>
      <c r="D163" s="1185">
        <f>MIN(100,MAX(0,(D117-50000)/25000*100))</f>
        <v/>
      </c>
      <c r="E163" s="1185">
        <f>MIN(100,MAX(0,(E117-50000)/25000*100))</f>
        <v/>
      </c>
      <c r="F163" s="1185">
        <f>MIN(100,MAX(0,(F117-50000)/25000*100))</f>
        <v/>
      </c>
      <c r="G163" s="1185">
        <f>MIN(100,MAX(0,(G117-50000)/25000*100))</f>
        <v/>
      </c>
      <c r="H163" s="1185">
        <f>MIN(100,MAX(0,(H117-50000)/25000*100))</f>
        <v/>
      </c>
      <c r="I163" s="1185">
        <f>MIN(100,MAX(0,(I117-50000)/25000*100))</f>
        <v/>
      </c>
      <c r="J163" s="1185">
        <f>MIN(100,MAX(0,(J117-50000)/25000*100))</f>
        <v/>
      </c>
      <c r="K163" s="1169" t="n"/>
    </row>
    <row r="164" ht="14" customHeight="1" s="632">
      <c r="A164" s="1166" t="inlineStr">
        <is>
          <t>Cycle indicator 6 - EBITDA margin (-10% to +26%)</t>
        </is>
      </c>
      <c r="B164" s="1167" t="inlineStr">
        <is>
          <t>score</t>
        </is>
      </c>
      <c r="C164" s="1185">
        <f>MIN(100,MAX(0,(C132+10%)/36%*100))</f>
        <v/>
      </c>
      <c r="D164" s="1185">
        <f>MIN(100,MAX(0,(D132+10%)/36%*100))</f>
        <v/>
      </c>
      <c r="E164" s="1185">
        <f>MIN(100,MAX(0,(E132+10%)/36%*100))</f>
        <v/>
      </c>
      <c r="F164" s="1185">
        <f>MIN(100,MAX(0,(F132+10%)/36%*100))</f>
        <v/>
      </c>
      <c r="G164" s="1185">
        <f>MIN(100,MAX(0,(G132+10%)/36%*100))</f>
        <v/>
      </c>
      <c r="H164" s="1185">
        <f>MIN(100,MAX(0,(H132+10%)/36%*100))</f>
        <v/>
      </c>
      <c r="I164" s="1185">
        <f>MIN(100,MAX(0,(I132+10%)/36%*100))</f>
        <v/>
      </c>
      <c r="J164" s="1185">
        <f>MIN(100,MAX(0,(J132+10%)/36%*100))</f>
        <v/>
      </c>
      <c r="K164" s="1169" t="n"/>
    </row>
    <row r="165" ht="14" customHeight="1" s="632">
      <c r="A165" s="1166" t="inlineStr">
        <is>
          <t>Cycle indicator 7 - capacity additions (0 to 25 Mtpa)</t>
        </is>
      </c>
      <c r="B165" s="1167" t="inlineStr">
        <is>
          <t>score</t>
        </is>
      </c>
      <c r="C165" s="1185">
        <f>MIN(100,MAX(0,C106/25*100))</f>
        <v/>
      </c>
      <c r="D165" s="1185">
        <f>MIN(100,MAX(0,D106/25*100))</f>
        <v/>
      </c>
      <c r="E165" s="1185">
        <f>MIN(100,MAX(0,E106/25*100))</f>
        <v/>
      </c>
      <c r="F165" s="1185">
        <f>MIN(100,MAX(0,F106/25*100))</f>
        <v/>
      </c>
      <c r="G165" s="1185">
        <f>MIN(100,MAX(0,G106/25*100))</f>
        <v/>
      </c>
      <c r="H165" s="1185">
        <f>MIN(100,MAX(0,H106/25*100))</f>
        <v/>
      </c>
      <c r="I165" s="1185">
        <f>MIN(100,MAX(0,I106/25*100))</f>
        <v/>
      </c>
      <c r="J165" s="1185">
        <f>MIN(100,MAX(0,J106/25*100))</f>
        <v/>
      </c>
      <c r="K165" s="1169" t="n"/>
    </row>
    <row r="166" ht="14" customHeight="1" s="632">
      <c r="A166" s="1166" t="inlineStr">
        <is>
          <t>Cycle indicator 8 - variation in stock, centred on 50</t>
        </is>
      </c>
      <c r="B166" s="1167" t="inlineStr">
        <is>
          <t>score</t>
        </is>
      </c>
      <c r="C166" s="1185">
        <f>MIN(100,MAX(0,50-C99/C97*1000))</f>
        <v/>
      </c>
      <c r="D166" s="1185">
        <f>MIN(100,MAX(0,50-D99/D97*1000))</f>
        <v/>
      </c>
      <c r="E166" s="1185">
        <f>MIN(100,MAX(0,50-E99/E97*1000))</f>
        <v/>
      </c>
      <c r="F166" s="1185">
        <f>MIN(100,MAX(0,50-F99/F97*1000))</f>
        <v/>
      </c>
      <c r="G166" s="1185">
        <f>MIN(100,MAX(0,50-G99/G97*1000))</f>
        <v/>
      </c>
      <c r="H166" s="1185">
        <f>MIN(100,MAX(0,50-H99/H97*1000))</f>
        <v/>
      </c>
      <c r="I166" s="1185">
        <f>MIN(100,MAX(0,50-I99/I97*1000))</f>
        <v/>
      </c>
      <c r="J166" s="1185">
        <f>MIN(100,MAX(0,50-J99/J97*1000))</f>
        <v/>
      </c>
      <c r="K166" s="1169" t="n"/>
    </row>
    <row r="167" ht="14" customHeight="1" s="632">
      <c r="A167" s="1166" t="inlineStr">
        <is>
          <t>CYCLE SCORE - weighted</t>
        </is>
      </c>
      <c r="B167" s="1167" t="inlineStr">
        <is>
          <t>score 0-100</t>
        </is>
      </c>
      <c r="C167" s="1185">
        <f>SUMPRODUCT('Industry Cycle Model'!$B$19:$B$26,C159:C166)</f>
        <v/>
      </c>
      <c r="D167" s="1185">
        <f>SUMPRODUCT('Industry Cycle Model'!$B$19:$B$26,D159:D166)</f>
        <v/>
      </c>
      <c r="E167" s="1185">
        <f>SUMPRODUCT('Industry Cycle Model'!$B$19:$B$26,E159:E166)</f>
        <v/>
      </c>
      <c r="F167" s="1185">
        <f>SUMPRODUCT('Industry Cycle Model'!$B$19:$B$26,F159:F166)</f>
        <v/>
      </c>
      <c r="G167" s="1185">
        <f>SUMPRODUCT('Industry Cycle Model'!$B$19:$B$26,G159:G166)</f>
        <v/>
      </c>
      <c r="H167" s="1185">
        <f>SUMPRODUCT('Industry Cycle Model'!$B$19:$B$26,H159:H166)</f>
        <v/>
      </c>
      <c r="I167" s="1185">
        <f>SUMPRODUCT('Industry Cycle Model'!$B$19:$B$26,I159:I166)</f>
        <v/>
      </c>
      <c r="J167" s="1185">
        <f>SUMPRODUCT('Industry Cycle Model'!$B$19:$B$26,J159:J166)</f>
        <v/>
      </c>
      <c r="K167" s="1169" t="n"/>
    </row>
    <row r="168"/>
    <row r="169" ht="16" customHeight="1" s="632">
      <c r="A169" s="1164" t="inlineStr">
        <is>
          <t>BULL CASE</t>
        </is>
      </c>
      <c r="B169" s="1165" t="n"/>
      <c r="C169" s="1165" t="n"/>
      <c r="D169" s="1165" t="n"/>
      <c r="E169" s="1165" t="n"/>
      <c r="F169" s="1165" t="n"/>
      <c r="G169" s="1165" t="n"/>
      <c r="H169" s="1165" t="n"/>
      <c r="I169" s="1165" t="n"/>
      <c r="J169" s="1165" t="n"/>
      <c r="K169" s="1165" t="n"/>
    </row>
    <row r="170" ht="14" customHeight="1" s="632">
      <c r="A170" s="1166" t="inlineStr">
        <is>
          <t>India real GDP growth</t>
        </is>
      </c>
      <c r="B170" s="1167" t="inlineStr">
        <is>
          <t>%</t>
        </is>
      </c>
      <c r="C170" s="1168">
        <f>'Macroeconomic Model'!$C$101</f>
        <v/>
      </c>
      <c r="D170" s="1168">
        <f>'Model Assumptions'!E$39</f>
        <v/>
      </c>
      <c r="E170" s="1168">
        <f>'Model Assumptions'!F$39</f>
        <v/>
      </c>
      <c r="F170" s="1168">
        <f>'Model Assumptions'!G$39</f>
        <v/>
      </c>
      <c r="G170" s="1168">
        <f>'Model Assumptions'!H$39</f>
        <v/>
      </c>
      <c r="H170" s="1168">
        <f>'Model Assumptions'!I$39</f>
        <v/>
      </c>
      <c r="I170" s="1168">
        <f>'Model Assumptions'!J$39</f>
        <v/>
      </c>
      <c r="J170" s="1168">
        <f>'Model Assumptions'!K$39</f>
        <v/>
      </c>
      <c r="K170" s="1169" t="n"/>
    </row>
    <row r="171" ht="14" customHeight="1" s="632">
      <c r="A171" s="1166" t="inlineStr">
        <is>
          <t>Steel demand elasticity to GDP</t>
        </is>
      </c>
      <c r="B171" s="1167" t="inlineStr">
        <is>
          <t>x</t>
        </is>
      </c>
      <c r="C171" s="1170">
        <f>'Steel Demand Model'!$C$114</f>
        <v/>
      </c>
      <c r="D171" s="1170">
        <f>'Model Assumptions'!E$43</f>
        <v/>
      </c>
      <c r="E171" s="1170">
        <f>'Model Assumptions'!F$43</f>
        <v/>
      </c>
      <c r="F171" s="1170">
        <f>'Model Assumptions'!G$43</f>
        <v/>
      </c>
      <c r="G171" s="1170">
        <f>'Model Assumptions'!H$43</f>
        <v/>
      </c>
      <c r="H171" s="1170">
        <f>'Model Assumptions'!I$43</f>
        <v/>
      </c>
      <c r="I171" s="1170">
        <f>'Model Assumptions'!J$43</f>
        <v/>
      </c>
      <c r="J171" s="1170">
        <f>'Model Assumptions'!K$43</f>
        <v/>
      </c>
      <c r="K171" s="1169" t="n"/>
    </row>
    <row r="172" ht="14" customHeight="1" s="632">
      <c r="A172" s="1166" t="inlineStr">
        <is>
          <t>Implied consumption growth</t>
        </is>
      </c>
      <c r="B172" s="1167" t="inlineStr">
        <is>
          <t>%</t>
        </is>
      </c>
      <c r="C172" s="1168">
        <f>'Steel Demand Model'!$C$115</f>
        <v/>
      </c>
      <c r="D172" s="1171">
        <f>D170*D171</f>
        <v/>
      </c>
      <c r="E172" s="1171">
        <f>E170*E171</f>
        <v/>
      </c>
      <c r="F172" s="1171">
        <f>F170*F171</f>
        <v/>
      </c>
      <c r="G172" s="1171">
        <f>G170*G171</f>
        <v/>
      </c>
      <c r="H172" s="1171">
        <f>H170*H171</f>
        <v/>
      </c>
      <c r="I172" s="1171">
        <f>I170*I171</f>
        <v/>
      </c>
      <c r="J172" s="1171">
        <f>J170*J171</f>
        <v/>
      </c>
      <c r="K172" s="1169" t="n"/>
    </row>
    <row r="173" ht="14" customHeight="1" s="632">
      <c r="A173" s="1166" t="inlineStr">
        <is>
          <t>Apparent finished steel consumption</t>
        </is>
      </c>
      <c r="B173" s="1167" t="inlineStr">
        <is>
          <t>Mt</t>
        </is>
      </c>
      <c r="C173" s="1172">
        <f>'Steel Demand Model'!$C$116</f>
        <v/>
      </c>
      <c r="D173" s="1173">
        <f>C173*(1+D172)</f>
        <v/>
      </c>
      <c r="E173" s="1173">
        <f>D173*(1+E172)</f>
        <v/>
      </c>
      <c r="F173" s="1173">
        <f>E173*(1+F172)</f>
        <v/>
      </c>
      <c r="G173" s="1173">
        <f>F173*(1+G172)</f>
        <v/>
      </c>
      <c r="H173" s="1173">
        <f>G173*(1+H172)</f>
        <v/>
      </c>
      <c r="I173" s="1173">
        <f>H173*(1+I172)</f>
        <v/>
      </c>
      <c r="J173" s="1173">
        <f>I173*(1+J172)</f>
        <v/>
      </c>
      <c r="K173" s="1171">
        <f>IFERROR(IF(AND(ISNUMBER(C173),ISNUMBER(J173),C173&gt;0),(J173/C173)^(1/7)-1,""),"")</f>
        <v/>
      </c>
    </row>
    <row r="174" ht="14" customHeight="1" s="632">
      <c r="A174" s="1166" t="inlineStr">
        <is>
          <t>Net finished steel exports</t>
        </is>
      </c>
      <c r="B174" s="1167" t="inlineStr">
        <is>
          <t>Mt</t>
        </is>
      </c>
      <c r="C174" s="1174">
        <f>'Steel Supply Model'!$C$90</f>
        <v/>
      </c>
      <c r="D174" s="1174">
        <f>'Model Assumptions'!E$63</f>
        <v/>
      </c>
      <c r="E174" s="1174">
        <f>'Model Assumptions'!F$63</f>
        <v/>
      </c>
      <c r="F174" s="1174">
        <f>'Model Assumptions'!G$63</f>
        <v/>
      </c>
      <c r="G174" s="1174">
        <f>'Model Assumptions'!H$63</f>
        <v/>
      </c>
      <c r="H174" s="1174">
        <f>'Model Assumptions'!I$63</f>
        <v/>
      </c>
      <c r="I174" s="1174">
        <f>'Model Assumptions'!J$63</f>
        <v/>
      </c>
      <c r="J174" s="1174">
        <f>'Model Assumptions'!K$63</f>
        <v/>
      </c>
      <c r="K174" s="1169" t="n"/>
    </row>
    <row r="175" ht="14" customHeight="1" s="632">
      <c r="A175" s="1166" t="inlineStr">
        <is>
          <t>Variation in stock</t>
        </is>
      </c>
      <c r="B175" s="1167" t="inlineStr">
        <is>
          <t>Mt</t>
        </is>
      </c>
      <c r="C175" s="1174">
        <f>'Steel Supply Model'!$C$91</f>
        <v/>
      </c>
      <c r="D175" s="1174">
        <f>'Model Assumptions'!E$67</f>
        <v/>
      </c>
      <c r="E175" s="1174">
        <f>'Model Assumptions'!F$67</f>
        <v/>
      </c>
      <c r="F175" s="1174">
        <f>'Model Assumptions'!G$67</f>
        <v/>
      </c>
      <c r="G175" s="1174">
        <f>'Model Assumptions'!H$67</f>
        <v/>
      </c>
      <c r="H175" s="1174">
        <f>'Model Assumptions'!I$67</f>
        <v/>
      </c>
      <c r="I175" s="1174">
        <f>'Model Assumptions'!J$67</f>
        <v/>
      </c>
      <c r="J175" s="1174">
        <f>'Model Assumptions'!K$67</f>
        <v/>
      </c>
      <c r="K175" s="1169" t="n"/>
    </row>
    <row r="176" ht="14" customHeight="1" s="632">
      <c r="A176" s="1166" t="inlineStr">
        <is>
          <t>Required finished steel production</t>
        </is>
      </c>
      <c r="B176" s="1167" t="inlineStr">
        <is>
          <t>Mt</t>
        </is>
      </c>
      <c r="C176" s="1173">
        <f>C173+C174+C175</f>
        <v/>
      </c>
      <c r="D176" s="1173">
        <f>D173+D174+D175</f>
        <v/>
      </c>
      <c r="E176" s="1173">
        <f>E173+E174+E175</f>
        <v/>
      </c>
      <c r="F176" s="1173">
        <f>F173+F174+F175</f>
        <v/>
      </c>
      <c r="G176" s="1173">
        <f>G173+G174+G175</f>
        <v/>
      </c>
      <c r="H176" s="1173">
        <f>H173+H174+H175</f>
        <v/>
      </c>
      <c r="I176" s="1173">
        <f>I173+I174+I175</f>
        <v/>
      </c>
      <c r="J176" s="1173">
        <f>J173+J174+J175</f>
        <v/>
      </c>
      <c r="K176" s="1171">
        <f>IFERROR(IF(AND(ISNUMBER(C176),ISNUMBER(J176),C176&gt;0),(J176/C176)^(1/7)-1,""),"")</f>
        <v/>
      </c>
    </row>
    <row r="177" ht="14" customHeight="1" s="632">
      <c r="A177" s="1166" t="inlineStr">
        <is>
          <t>Crude-to-finished steel ratio</t>
        </is>
      </c>
      <c r="B177" s="1167" t="inlineStr">
        <is>
          <t>x</t>
        </is>
      </c>
      <c r="C177" s="1175">
        <f>'Steel Supply Model'!$C$93</f>
        <v/>
      </c>
      <c r="D177" s="1175">
        <f>'Model Assumptions'!E$59</f>
        <v/>
      </c>
      <c r="E177" s="1175">
        <f>'Model Assumptions'!F$59</f>
        <v/>
      </c>
      <c r="F177" s="1175">
        <f>'Model Assumptions'!G$59</f>
        <v/>
      </c>
      <c r="G177" s="1175">
        <f>'Model Assumptions'!H$59</f>
        <v/>
      </c>
      <c r="H177" s="1175">
        <f>'Model Assumptions'!I$59</f>
        <v/>
      </c>
      <c r="I177" s="1175">
        <f>'Model Assumptions'!J$59</f>
        <v/>
      </c>
      <c r="J177" s="1175">
        <f>'Model Assumptions'!K$59</f>
        <v/>
      </c>
      <c r="K177" s="1169" t="n"/>
    </row>
    <row r="178" ht="14" customHeight="1" s="632">
      <c r="A178" s="1166" t="inlineStr">
        <is>
          <t>Unconstrained crude steel production</t>
        </is>
      </c>
      <c r="B178" s="1167" t="inlineStr">
        <is>
          <t>Mt</t>
        </is>
      </c>
      <c r="C178" s="1173">
        <f>C176*C177</f>
        <v/>
      </c>
      <c r="D178" s="1173">
        <f>D176*D177</f>
        <v/>
      </c>
      <c r="E178" s="1173">
        <f>E176*E177</f>
        <v/>
      </c>
      <c r="F178" s="1173">
        <f>F176*F177</f>
        <v/>
      </c>
      <c r="G178" s="1173">
        <f>G176*G177</f>
        <v/>
      </c>
      <c r="H178" s="1173">
        <f>H176*H177</f>
        <v/>
      </c>
      <c r="I178" s="1173">
        <f>I176*I177</f>
        <v/>
      </c>
      <c r="J178" s="1173">
        <f>J176*J177</f>
        <v/>
      </c>
      <c r="K178" s="1171">
        <f>IFERROR(IF(AND(ISNUMBER(C178),ISNUMBER(J178),C178&gt;0),(J178/C178)^(1/7)-1,""),"")</f>
        <v/>
      </c>
    </row>
    <row r="179" ht="14" customHeight="1" s="632">
      <c r="A179" s="1166" t="inlineStr">
        <is>
          <t>Gross announced capacity additions</t>
        </is>
      </c>
      <c r="B179" s="1167" t="inlineStr">
        <is>
          <t>Mtpa</t>
        </is>
      </c>
      <c r="C179" s="1176" t="n"/>
      <c r="D179" s="1173">
        <f>'Capacity Expansion Tracker'!E$99</f>
        <v/>
      </c>
      <c r="E179" s="1173">
        <f>'Capacity Expansion Tracker'!F$99</f>
        <v/>
      </c>
      <c r="F179" s="1173">
        <f>'Capacity Expansion Tracker'!G$99</f>
        <v/>
      </c>
      <c r="G179" s="1173">
        <f>'Capacity Expansion Tracker'!H$99</f>
        <v/>
      </c>
      <c r="H179" s="1173">
        <f>'Capacity Expansion Tracker'!I$99</f>
        <v/>
      </c>
      <c r="I179" s="1173">
        <f>'Capacity Expansion Tracker'!J$99</f>
        <v/>
      </c>
      <c r="J179" s="1173">
        <f>'Capacity Expansion Tracker'!K$99</f>
        <v/>
      </c>
      <c r="K179" s="1169" t="n"/>
    </row>
    <row r="180" ht="14" customHeight="1" s="632">
      <c r="A180" s="1166" t="inlineStr">
        <is>
          <t>Pipeline delivery factor</t>
        </is>
      </c>
      <c r="B180" s="1167" t="inlineStr">
        <is>
          <t>%</t>
        </is>
      </c>
      <c r="C180" s="1176" t="n"/>
      <c r="D180" s="1177">
        <f>'Model Assumptions'!E$55</f>
        <v/>
      </c>
      <c r="E180" s="1177">
        <f>'Model Assumptions'!F$55</f>
        <v/>
      </c>
      <c r="F180" s="1177">
        <f>'Model Assumptions'!G$55</f>
        <v/>
      </c>
      <c r="G180" s="1177">
        <f>'Model Assumptions'!H$55</f>
        <v/>
      </c>
      <c r="H180" s="1177">
        <f>'Model Assumptions'!I$55</f>
        <v/>
      </c>
      <c r="I180" s="1177">
        <f>'Model Assumptions'!J$55</f>
        <v/>
      </c>
      <c r="J180" s="1177">
        <f>'Model Assumptions'!K$55</f>
        <v/>
      </c>
      <c r="K180" s="1169" t="n"/>
    </row>
    <row r="181" ht="14" customHeight="1" s="632">
      <c r="A181" s="1166" t="inlineStr">
        <is>
          <t>Secondary and unattributed additions</t>
        </is>
      </c>
      <c r="B181" s="1167" t="inlineStr">
        <is>
          <t>Mtpa</t>
        </is>
      </c>
      <c r="C181" s="1172">
        <f>'Capacity Forecast'!$C$100</f>
        <v/>
      </c>
      <c r="D181" s="1172">
        <f>'Model Assumptions'!E$123</f>
        <v/>
      </c>
      <c r="E181" s="1172">
        <f>'Model Assumptions'!F$123</f>
        <v/>
      </c>
      <c r="F181" s="1172">
        <f>'Model Assumptions'!G$123</f>
        <v/>
      </c>
      <c r="G181" s="1172">
        <f>'Model Assumptions'!H$123</f>
        <v/>
      </c>
      <c r="H181" s="1172">
        <f>'Model Assumptions'!I$123</f>
        <v/>
      </c>
      <c r="I181" s="1172">
        <f>'Model Assumptions'!J$123</f>
        <v/>
      </c>
      <c r="J181" s="1172">
        <f>'Model Assumptions'!K$123</f>
        <v/>
      </c>
      <c r="K181" s="1171">
        <f>IFERROR(IF(AND(ISNUMBER(C181),ISNUMBER(J181),C181&gt;0),(J181/C181)^(1/7)-1,""),"")</f>
        <v/>
      </c>
    </row>
    <row r="182" ht="14" customHeight="1" s="632">
      <c r="A182" s="1166" t="inlineStr">
        <is>
          <t>Total capacity additions</t>
        </is>
      </c>
      <c r="B182" s="1167" t="inlineStr">
        <is>
          <t>Mtpa</t>
        </is>
      </c>
      <c r="C182" s="1172">
        <f>'Capacity Forecast'!$C$100</f>
        <v/>
      </c>
      <c r="D182" s="1173">
        <f>D179*D180+D181</f>
        <v/>
      </c>
      <c r="E182" s="1173">
        <f>E179*E180+E181</f>
        <v/>
      </c>
      <c r="F182" s="1173">
        <f>F179*F180+F181</f>
        <v/>
      </c>
      <c r="G182" s="1173">
        <f>G179*G180+G181</f>
        <v/>
      </c>
      <c r="H182" s="1173">
        <f>H179*H180+H181</f>
        <v/>
      </c>
      <c r="I182" s="1173">
        <f>I179*I180+I181</f>
        <v/>
      </c>
      <c r="J182" s="1173">
        <f>J179*J180+J181</f>
        <v/>
      </c>
      <c r="K182" s="1171">
        <f>IFERROR(IF(AND(ISNUMBER(C182),ISNUMBER(J182),C182&gt;0),(J182/C182)^(1/7)-1,""),"")</f>
        <v/>
      </c>
    </row>
    <row r="183" ht="14" customHeight="1" s="632">
      <c r="A183" s="1166" t="inlineStr">
        <is>
          <t>Closing crude steel capacity</t>
        </is>
      </c>
      <c r="B183" s="1167" t="inlineStr">
        <is>
          <t>Mtpa</t>
        </is>
      </c>
      <c r="C183" s="1172">
        <f>'Capacity Forecast'!$C$101</f>
        <v/>
      </c>
      <c r="D183" s="1173">
        <f>C183+D182</f>
        <v/>
      </c>
      <c r="E183" s="1173">
        <f>D183+E182</f>
        <v/>
      </c>
      <c r="F183" s="1173">
        <f>E183+F182</f>
        <v/>
      </c>
      <c r="G183" s="1173">
        <f>F183+G182</f>
        <v/>
      </c>
      <c r="H183" s="1173">
        <f>G183+H182</f>
        <v/>
      </c>
      <c r="I183" s="1173">
        <f>H183+I182</f>
        <v/>
      </c>
      <c r="J183" s="1173">
        <f>I183+J182</f>
        <v/>
      </c>
      <c r="K183" s="1171">
        <f>IFERROR(IF(AND(ISNUMBER(C183),ISNUMBER(J183),C183&gt;0),(J183/C183)^(1/7)-1,""),"")</f>
        <v/>
      </c>
    </row>
    <row r="184" ht="14" customHeight="1" s="632">
      <c r="A184" s="1166" t="inlineStr">
        <is>
          <t>Maximum practical utilisation</t>
        </is>
      </c>
      <c r="B184" s="1167" t="inlineStr">
        <is>
          <t>%</t>
        </is>
      </c>
      <c r="C184" s="1177">
        <f>'Model Assumptions'!$D$32</f>
        <v/>
      </c>
      <c r="D184" s="1177">
        <f>'Model Assumptions'!E$135</f>
        <v/>
      </c>
      <c r="E184" s="1177">
        <f>'Model Assumptions'!F$135</f>
        <v/>
      </c>
      <c r="F184" s="1177">
        <f>'Model Assumptions'!G$135</f>
        <v/>
      </c>
      <c r="G184" s="1177">
        <f>'Model Assumptions'!H$135</f>
        <v/>
      </c>
      <c r="H184" s="1177">
        <f>'Model Assumptions'!I$135</f>
        <v/>
      </c>
      <c r="I184" s="1177">
        <f>'Model Assumptions'!J$135</f>
        <v/>
      </c>
      <c r="J184" s="1177">
        <f>'Model Assumptions'!K$135</f>
        <v/>
      </c>
      <c r="K184" s="1169" t="n"/>
    </row>
    <row r="185" ht="14" customHeight="1" s="632">
      <c r="A185" s="1166" t="inlineStr">
        <is>
          <t>Maximum crude steel production</t>
        </is>
      </c>
      <c r="B185" s="1167" t="inlineStr">
        <is>
          <t>Mt</t>
        </is>
      </c>
      <c r="C185" s="1173">
        <f>C183*C184</f>
        <v/>
      </c>
      <c r="D185" s="1173">
        <f>D183*D184</f>
        <v/>
      </c>
      <c r="E185" s="1173">
        <f>E183*E184</f>
        <v/>
      </c>
      <c r="F185" s="1173">
        <f>F183*F184</f>
        <v/>
      </c>
      <c r="G185" s="1173">
        <f>G183*G184</f>
        <v/>
      </c>
      <c r="H185" s="1173">
        <f>H183*H184</f>
        <v/>
      </c>
      <c r="I185" s="1173">
        <f>I183*I184</f>
        <v/>
      </c>
      <c r="J185" s="1173">
        <f>J183*J184</f>
        <v/>
      </c>
      <c r="K185" s="1171">
        <f>IFERROR(IF(AND(ISNUMBER(C185),ISNUMBER(J185),C185&gt;0),(J185/C185)^(1/7)-1,""),"")</f>
        <v/>
      </c>
    </row>
    <row r="186" ht="14" customHeight="1" s="632">
      <c r="A186" s="1166" t="inlineStr">
        <is>
          <t>Crude steel production</t>
        </is>
      </c>
      <c r="B186" s="1167" t="inlineStr">
        <is>
          <t>Mt</t>
        </is>
      </c>
      <c r="C186" s="1172">
        <f>'Steel Supply Model'!$C$99</f>
        <v/>
      </c>
      <c r="D186" s="1173">
        <f>MIN(D178,D185)</f>
        <v/>
      </c>
      <c r="E186" s="1173">
        <f>MIN(E178,E185)</f>
        <v/>
      </c>
      <c r="F186" s="1173">
        <f>MIN(F178,F185)</f>
        <v/>
      </c>
      <c r="G186" s="1173">
        <f>MIN(G178,G185)</f>
        <v/>
      </c>
      <c r="H186" s="1173">
        <f>MIN(H178,H185)</f>
        <v/>
      </c>
      <c r="I186" s="1173">
        <f>MIN(I178,I185)</f>
        <v/>
      </c>
      <c r="J186" s="1173">
        <f>MIN(J178,J185)</f>
        <v/>
      </c>
      <c r="K186" s="1171">
        <f>IFERROR(IF(AND(ISNUMBER(C186),ISNUMBER(J186),C186&gt;0),(J186/C186)^(1/7)-1,""),"")</f>
        <v/>
      </c>
    </row>
    <row r="187" ht="14" customHeight="1" s="632">
      <c r="A187" s="1166" t="inlineStr">
        <is>
          <t>Capacity utilisation</t>
        </is>
      </c>
      <c r="B187" s="1167" t="inlineStr">
        <is>
          <t>%</t>
        </is>
      </c>
      <c r="C187" s="1171">
        <f>C186/C183</f>
        <v/>
      </c>
      <c r="D187" s="1171">
        <f>D186/D183</f>
        <v/>
      </c>
      <c r="E187" s="1171">
        <f>E186/E183</f>
        <v/>
      </c>
      <c r="F187" s="1171">
        <f>F186/F183</f>
        <v/>
      </c>
      <c r="G187" s="1171">
        <f>G186/G183</f>
        <v/>
      </c>
      <c r="H187" s="1171">
        <f>H186/H183</f>
        <v/>
      </c>
      <c r="I187" s="1171">
        <f>I186/I183</f>
        <v/>
      </c>
      <c r="J187" s="1171">
        <f>J186/J183</f>
        <v/>
      </c>
      <c r="K187" s="1169" t="n"/>
    </row>
    <row r="188" ht="14" customHeight="1" s="632">
      <c r="A188" s="1166" t="inlineStr">
        <is>
          <t>Finished steel production</t>
        </is>
      </c>
      <c r="B188" s="1167" t="inlineStr">
        <is>
          <t>Mt</t>
        </is>
      </c>
      <c r="C188" s="1172">
        <f>'Steel Supply Model'!$C$101</f>
        <v/>
      </c>
      <c r="D188" s="1173">
        <f>D186/D177</f>
        <v/>
      </c>
      <c r="E188" s="1173">
        <f>E186/E177</f>
        <v/>
      </c>
      <c r="F188" s="1173">
        <f>F186/F177</f>
        <v/>
      </c>
      <c r="G188" s="1173">
        <f>G186/G177</f>
        <v/>
      </c>
      <c r="H188" s="1173">
        <f>H186/H177</f>
        <v/>
      </c>
      <c r="I188" s="1173">
        <f>I186/I177</f>
        <v/>
      </c>
      <c r="J188" s="1173">
        <f>J186/J177</f>
        <v/>
      </c>
      <c r="K188" s="1171">
        <f>IFERROR(IF(AND(ISNUMBER(C188),ISNUMBER(J188),C188&gt;0),(J188/C188)^(1/7)-1,""),"")</f>
        <v/>
      </c>
    </row>
    <row r="189" ht="14" customHeight="1" s="632">
      <c r="A189" s="1166" t="inlineStr">
        <is>
          <t>Blended realisation - scenario driver</t>
        </is>
      </c>
      <c r="B189" s="1167" t="inlineStr">
        <is>
          <t>Rs/t</t>
        </is>
      </c>
      <c r="C189" s="1178">
        <f>'Steel Price Forecast'!$C$97</f>
        <v/>
      </c>
      <c r="D189" s="1178">
        <f>'Model Assumptions'!E$71</f>
        <v/>
      </c>
      <c r="E189" s="1178">
        <f>'Model Assumptions'!F$71</f>
        <v/>
      </c>
      <c r="F189" s="1178">
        <f>'Model Assumptions'!G$71</f>
        <v/>
      </c>
      <c r="G189" s="1178">
        <f>'Model Assumptions'!H$71</f>
        <v/>
      </c>
      <c r="H189" s="1178">
        <f>'Model Assumptions'!I$71</f>
        <v/>
      </c>
      <c r="I189" s="1178">
        <f>'Model Assumptions'!J$71</f>
        <v/>
      </c>
      <c r="J189" s="1178">
        <f>'Model Assumptions'!K$71</f>
        <v/>
      </c>
      <c r="K189" s="1171">
        <f>IFERROR(IF(AND(ISNUMBER(C189),ISNUMBER(J189),C189&gt;0),(J189/C189)^(1/7)-1,""),"")</f>
        <v/>
      </c>
    </row>
    <row r="190" ht="14" customHeight="1" s="632">
      <c r="A190" s="1166" t="inlineStr">
        <is>
          <t>Normal capacity utilisation</t>
        </is>
      </c>
      <c r="B190" s="1167" t="inlineStr">
        <is>
          <t>%</t>
        </is>
      </c>
      <c r="C190" s="1177">
        <f>'Model Assumptions'!$D$31</f>
        <v/>
      </c>
      <c r="D190" s="1177">
        <f>'Model Assumptions'!E$131</f>
        <v/>
      </c>
      <c r="E190" s="1177">
        <f>'Model Assumptions'!F$131</f>
        <v/>
      </c>
      <c r="F190" s="1177">
        <f>'Model Assumptions'!G$131</f>
        <v/>
      </c>
      <c r="G190" s="1177">
        <f>'Model Assumptions'!H$131</f>
        <v/>
      </c>
      <c r="H190" s="1177">
        <f>'Model Assumptions'!I$131</f>
        <v/>
      </c>
      <c r="I190" s="1177">
        <f>'Model Assumptions'!J$131</f>
        <v/>
      </c>
      <c r="J190" s="1177">
        <f>'Model Assumptions'!K$131</f>
        <v/>
      </c>
      <c r="K190" s="1169" t="n"/>
    </row>
    <row r="191" ht="14" customHeight="1" s="632">
      <c r="A191" s="1166" t="inlineStr">
        <is>
          <t>Price sensitivity to utilisation</t>
        </is>
      </c>
      <c r="B191" s="1167" t="inlineStr">
        <is>
          <t>x</t>
        </is>
      </c>
      <c r="C191" s="1170">
        <f>'Model Assumptions'!$D$30</f>
        <v/>
      </c>
      <c r="D191" s="1170">
        <f>'Model Assumptions'!E$127</f>
        <v/>
      </c>
      <c r="E191" s="1170">
        <f>'Model Assumptions'!F$127</f>
        <v/>
      </c>
      <c r="F191" s="1170">
        <f>'Model Assumptions'!G$127</f>
        <v/>
      </c>
      <c r="G191" s="1170">
        <f>'Model Assumptions'!H$127</f>
        <v/>
      </c>
      <c r="H191" s="1170">
        <f>'Model Assumptions'!I$127</f>
        <v/>
      </c>
      <c r="I191" s="1170">
        <f>'Model Assumptions'!J$127</f>
        <v/>
      </c>
      <c r="J191" s="1170">
        <f>'Model Assumptions'!K$127</f>
        <v/>
      </c>
      <c r="K191" s="1169" t="n"/>
    </row>
    <row r="192" ht="14" customHeight="1" s="632">
      <c r="A192" s="1166" t="inlineStr">
        <is>
          <t>Price adjustment factor (lagged one year)</t>
        </is>
      </c>
      <c r="B192" s="1167" t="inlineStr">
        <is>
          <t>x</t>
        </is>
      </c>
      <c r="C192" s="1179">
        <f>1</f>
        <v/>
      </c>
      <c r="D192" s="1180">
        <f>1+D191*(C187-D190)</f>
        <v/>
      </c>
      <c r="E192" s="1180">
        <f>1+E191*(D187-E190)</f>
        <v/>
      </c>
      <c r="F192" s="1180">
        <f>1+F191*(E187-F190)</f>
        <v/>
      </c>
      <c r="G192" s="1180">
        <f>1+G191*(F187-G190)</f>
        <v/>
      </c>
      <c r="H192" s="1180">
        <f>1+H191*(G187-H190)</f>
        <v/>
      </c>
      <c r="I192" s="1180">
        <f>1+I191*(H187-I190)</f>
        <v/>
      </c>
      <c r="J192" s="1180">
        <f>1+J191*(I187-J190)</f>
        <v/>
      </c>
      <c r="K192" s="1169" t="n"/>
    </row>
    <row r="193" ht="14" customHeight="1" s="632">
      <c r="A193" s="1166" t="inlineStr">
        <is>
          <t>Blended realisation - effective</t>
        </is>
      </c>
      <c r="B193" s="1167" t="inlineStr">
        <is>
          <t>Rs/t</t>
        </is>
      </c>
      <c r="C193" s="1178">
        <f>'Steel Price Forecast'!$C$103</f>
        <v/>
      </c>
      <c r="D193" s="1181">
        <f>D189*D192</f>
        <v/>
      </c>
      <c r="E193" s="1181">
        <f>E189*E192</f>
        <v/>
      </c>
      <c r="F193" s="1181">
        <f>F189*F192</f>
        <v/>
      </c>
      <c r="G193" s="1181">
        <f>G189*G192</f>
        <v/>
      </c>
      <c r="H193" s="1181">
        <f>H189*H192</f>
        <v/>
      </c>
      <c r="I193" s="1181">
        <f>I189*I192</f>
        <v/>
      </c>
      <c r="J193" s="1181">
        <f>J189*J192</f>
        <v/>
      </c>
      <c r="K193" s="1171">
        <f>IFERROR(IF(AND(ISNUMBER(C193),ISNUMBER(J193),C193&gt;0),(J193/C193)^(1/7)-1,""),"")</f>
        <v/>
      </c>
    </row>
    <row r="194" ht="14" customHeight="1" s="632">
      <c r="A194" s="1166" t="inlineStr">
        <is>
          <t>Iron ore 62% Fe CFR China</t>
        </is>
      </c>
      <c r="B194" s="1167" t="inlineStr">
        <is>
          <t>US$/dmt</t>
        </is>
      </c>
      <c r="C194" s="1172">
        <f>'Raw Material Forecast'!$C$85</f>
        <v/>
      </c>
      <c r="D194" s="1172">
        <f>'Model Assumptions'!E$75</f>
        <v/>
      </c>
      <c r="E194" s="1172">
        <f>'Model Assumptions'!F$75</f>
        <v/>
      </c>
      <c r="F194" s="1172">
        <f>'Model Assumptions'!G$75</f>
        <v/>
      </c>
      <c r="G194" s="1172">
        <f>'Model Assumptions'!H$75</f>
        <v/>
      </c>
      <c r="H194" s="1172">
        <f>'Model Assumptions'!I$75</f>
        <v/>
      </c>
      <c r="I194" s="1172">
        <f>'Model Assumptions'!J$75</f>
        <v/>
      </c>
      <c r="J194" s="1172">
        <f>'Model Assumptions'!K$75</f>
        <v/>
      </c>
      <c r="K194" s="1171">
        <f>IFERROR(IF(AND(ISNUMBER(C194),ISNUMBER(J194),C194&gt;0),(J194/C194)^(1/7)-1,""),"")</f>
        <v/>
      </c>
    </row>
    <row r="195" ht="14" customHeight="1" s="632">
      <c r="A195" s="1166" t="inlineStr">
        <is>
          <t>Premium HCC coking coal FOB Australia</t>
        </is>
      </c>
      <c r="B195" s="1167" t="inlineStr">
        <is>
          <t>US$/t</t>
        </is>
      </c>
      <c r="C195" s="1178">
        <f>'Raw Material Forecast'!$C$86</f>
        <v/>
      </c>
      <c r="D195" s="1178">
        <f>'Model Assumptions'!E$79</f>
        <v/>
      </c>
      <c r="E195" s="1178">
        <f>'Model Assumptions'!F$79</f>
        <v/>
      </c>
      <c r="F195" s="1178">
        <f>'Model Assumptions'!G$79</f>
        <v/>
      </c>
      <c r="G195" s="1178">
        <f>'Model Assumptions'!H$79</f>
        <v/>
      </c>
      <c r="H195" s="1178">
        <f>'Model Assumptions'!I$79</f>
        <v/>
      </c>
      <c r="I195" s="1178">
        <f>'Model Assumptions'!J$79</f>
        <v/>
      </c>
      <c r="J195" s="1178">
        <f>'Model Assumptions'!K$79</f>
        <v/>
      </c>
      <c r="K195" s="1171">
        <f>IFERROR(IF(AND(ISNUMBER(C195),ISNUMBER(J195),C195&gt;0),(J195/C195)^(1/7)-1,""),"")</f>
        <v/>
      </c>
    </row>
    <row r="196" ht="14" customHeight="1" s="632">
      <c r="A196" s="1166" t="inlineStr">
        <is>
          <t>USD/INR</t>
        </is>
      </c>
      <c r="B196" s="1167" t="inlineStr">
        <is>
          <t>Rs/US$</t>
        </is>
      </c>
      <c r="C196" s="1172">
        <f>'Raw Material Forecast'!$C$87</f>
        <v/>
      </c>
      <c r="D196" s="1172">
        <f>'Model Assumptions'!E$47</f>
        <v/>
      </c>
      <c r="E196" s="1172">
        <f>'Model Assumptions'!F$47</f>
        <v/>
      </c>
      <c r="F196" s="1172">
        <f>'Model Assumptions'!G$47</f>
        <v/>
      </c>
      <c r="G196" s="1172">
        <f>'Model Assumptions'!H$47</f>
        <v/>
      </c>
      <c r="H196" s="1172">
        <f>'Model Assumptions'!I$47</f>
        <v/>
      </c>
      <c r="I196" s="1172">
        <f>'Model Assumptions'!J$47</f>
        <v/>
      </c>
      <c r="J196" s="1172">
        <f>'Model Assumptions'!K$47</f>
        <v/>
      </c>
      <c r="K196" s="1171">
        <f>IFERROR(IF(AND(ISNUMBER(C196),ISNUMBER(J196),C196&gt;0),(J196/C196)^(1/7)-1,""),"")</f>
        <v/>
      </c>
    </row>
    <row r="197" ht="14" customHeight="1" s="632">
      <c r="A197" s="1166" t="inlineStr">
        <is>
          <t>Iron ore in rupees</t>
        </is>
      </c>
      <c r="B197" s="1167" t="inlineStr">
        <is>
          <t>Rs/dmt</t>
        </is>
      </c>
      <c r="C197" s="1178">
        <f>'Raw Material Forecast'!$C$89</f>
        <v/>
      </c>
      <c r="D197" s="1181">
        <f>D194*D196</f>
        <v/>
      </c>
      <c r="E197" s="1181">
        <f>E194*E196</f>
        <v/>
      </c>
      <c r="F197" s="1181">
        <f>F194*F196</f>
        <v/>
      </c>
      <c r="G197" s="1181">
        <f>G194*G196</f>
        <v/>
      </c>
      <c r="H197" s="1181">
        <f>H194*H196</f>
        <v/>
      </c>
      <c r="I197" s="1181">
        <f>I194*I196</f>
        <v/>
      </c>
      <c r="J197" s="1181">
        <f>J194*J196</f>
        <v/>
      </c>
      <c r="K197" s="1171">
        <f>IFERROR(IF(AND(ISNUMBER(C197),ISNUMBER(J197),C197&gt;0),(J197/C197)^(1/7)-1,""),"")</f>
        <v/>
      </c>
    </row>
    <row r="198" ht="14" customHeight="1" s="632">
      <c r="A198" s="1166" t="inlineStr">
        <is>
          <t>Coking coal in rupees</t>
        </is>
      </c>
      <c r="B198" s="1167" t="inlineStr">
        <is>
          <t>Rs/t</t>
        </is>
      </c>
      <c r="C198" s="1178">
        <f>'Raw Material Forecast'!$C$90</f>
        <v/>
      </c>
      <c r="D198" s="1181">
        <f>D195*D196</f>
        <v/>
      </c>
      <c r="E198" s="1181">
        <f>E195*E196</f>
        <v/>
      </c>
      <c r="F198" s="1181">
        <f>F195*F196</f>
        <v/>
      </c>
      <c r="G198" s="1181">
        <f>G195*G196</f>
        <v/>
      </c>
      <c r="H198" s="1181">
        <f>H195*H196</f>
        <v/>
      </c>
      <c r="I198" s="1181">
        <f>I195*I196</f>
        <v/>
      </c>
      <c r="J198" s="1181">
        <f>J195*J196</f>
        <v/>
      </c>
      <c r="K198" s="1171">
        <f>IFERROR(IF(AND(ISNUMBER(C198),ISNUMBER(J198),C198&gt;0),(J198/C198)^(1/7)-1,""),"")</f>
        <v/>
      </c>
    </row>
    <row r="199" ht="14" customHeight="1" s="632">
      <c r="A199" s="1166" t="inlineStr">
        <is>
          <t>Conversion cost inflation</t>
        </is>
      </c>
      <c r="B199" s="1167" t="inlineStr">
        <is>
          <t>%</t>
        </is>
      </c>
      <c r="C199" s="1176" t="n"/>
      <c r="D199" s="1168">
        <f>'Model Assumptions'!E$83</f>
        <v/>
      </c>
      <c r="E199" s="1168">
        <f>'Model Assumptions'!F$83</f>
        <v/>
      </c>
      <c r="F199" s="1168">
        <f>'Model Assumptions'!G$83</f>
        <v/>
      </c>
      <c r="G199" s="1168">
        <f>'Model Assumptions'!H$83</f>
        <v/>
      </c>
      <c r="H199" s="1168">
        <f>'Model Assumptions'!I$83</f>
        <v/>
      </c>
      <c r="I199" s="1168">
        <f>'Model Assumptions'!J$83</f>
        <v/>
      </c>
      <c r="J199" s="1168">
        <f>'Model Assumptions'!K$83</f>
        <v/>
      </c>
      <c r="K199" s="1169" t="n"/>
    </row>
    <row r="200" ht="14" customHeight="1" s="632">
      <c r="A200" s="1166" t="inlineStr">
        <is>
          <t>Conversion cost index</t>
        </is>
      </c>
      <c r="B200" s="1167" t="inlineStr">
        <is>
          <t>x</t>
        </is>
      </c>
      <c r="C200" s="1179">
        <f>1</f>
        <v/>
      </c>
      <c r="D200" s="1180">
        <f>C200*(1+D199)</f>
        <v/>
      </c>
      <c r="E200" s="1180">
        <f>D200*(1+E199)</f>
        <v/>
      </c>
      <c r="F200" s="1180">
        <f>E200*(1+F199)</f>
        <v/>
      </c>
      <c r="G200" s="1180">
        <f>F200*(1+G199)</f>
        <v/>
      </c>
      <c r="H200" s="1180">
        <f>G200*(1+H199)</f>
        <v/>
      </c>
      <c r="I200" s="1180">
        <f>H200*(1+I199)</f>
        <v/>
      </c>
      <c r="J200" s="1180">
        <f>I200*(1+J199)</f>
        <v/>
      </c>
      <c r="K200" s="1169" t="n"/>
    </row>
    <row r="201" ht="14" customHeight="1" s="632">
      <c r="A201" s="1166" t="inlineStr">
        <is>
          <t>Iron ore weight in the raw material basket</t>
        </is>
      </c>
      <c r="B201" s="1167" t="inlineStr">
        <is>
          <t>%</t>
        </is>
      </c>
      <c r="C201" s="1177">
        <f>'Model Assumptions'!$D$21</f>
        <v/>
      </c>
      <c r="D201" s="1177">
        <f>'Model Assumptions'!E$91</f>
        <v/>
      </c>
      <c r="E201" s="1177">
        <f>'Model Assumptions'!F$91</f>
        <v/>
      </c>
      <c r="F201" s="1177">
        <f>'Model Assumptions'!G$91</f>
        <v/>
      </c>
      <c r="G201" s="1177">
        <f>'Model Assumptions'!H$91</f>
        <v/>
      </c>
      <c r="H201" s="1177">
        <f>'Model Assumptions'!I$91</f>
        <v/>
      </c>
      <c r="I201" s="1177">
        <f>'Model Assumptions'!J$91</f>
        <v/>
      </c>
      <c r="J201" s="1177">
        <f>'Model Assumptions'!K$91</f>
        <v/>
      </c>
      <c r="K201" s="1169" t="n"/>
    </row>
    <row r="202" ht="14" customHeight="1" s="632">
      <c r="A202" s="1166" t="inlineStr">
        <is>
          <t>Raw material cost index</t>
        </is>
      </c>
      <c r="B202" s="1167" t="inlineStr">
        <is>
          <t>x</t>
        </is>
      </c>
      <c r="C202" s="1179">
        <f>1</f>
        <v/>
      </c>
      <c r="D202" s="1180">
        <f>D201*(D197/$C$197)+D201*(D198/$C$198)+(1-2*D201)*D200</f>
        <v/>
      </c>
      <c r="E202" s="1180">
        <f>E201*(E197/$C$197)+E201*(E198/$C$198)+(1-2*E201)*E200</f>
        <v/>
      </c>
      <c r="F202" s="1180">
        <f>F201*(F197/$C$197)+F201*(F198/$C$198)+(1-2*F201)*F200</f>
        <v/>
      </c>
      <c r="G202" s="1180">
        <f>G201*(G197/$C$197)+G201*(G198/$C$198)+(1-2*G201)*G200</f>
        <v/>
      </c>
      <c r="H202" s="1180">
        <f>H201*(H197/$C$197)+H201*(H198/$C$198)+(1-2*H201)*H200</f>
        <v/>
      </c>
      <c r="I202" s="1180">
        <f>I201*(I197/$C$197)+I201*(I198/$C$198)+(1-2*I201)*I200</f>
        <v/>
      </c>
      <c r="J202" s="1180">
        <f>J201*(J197/$C$197)+J201*(J198/$C$198)+(1-2*J201)*J200</f>
        <v/>
      </c>
      <c r="K202" s="1169" t="n"/>
    </row>
    <row r="203" ht="14" customHeight="1" s="632">
      <c r="A203" s="1166" t="inlineStr">
        <is>
          <t>Raw material share of cash cost</t>
        </is>
      </c>
      <c r="B203" s="1167" t="inlineStr">
        <is>
          <t>%</t>
        </is>
      </c>
      <c r="C203" s="1177">
        <f>'Model Assumptions'!$D$20</f>
        <v/>
      </c>
      <c r="D203" s="1177">
        <f>'Model Assumptions'!E$87</f>
        <v/>
      </c>
      <c r="E203" s="1177">
        <f>'Model Assumptions'!F$87</f>
        <v/>
      </c>
      <c r="F203" s="1177">
        <f>'Model Assumptions'!G$87</f>
        <v/>
      </c>
      <c r="G203" s="1177">
        <f>'Model Assumptions'!H$87</f>
        <v/>
      </c>
      <c r="H203" s="1177">
        <f>'Model Assumptions'!I$87</f>
        <v/>
      </c>
      <c r="I203" s="1177">
        <f>'Model Assumptions'!J$87</f>
        <v/>
      </c>
      <c r="J203" s="1177">
        <f>'Model Assumptions'!K$87</f>
        <v/>
      </c>
      <c r="K203" s="1169" t="n"/>
    </row>
    <row r="204" ht="14" customHeight="1" s="632">
      <c r="A204" s="1166" t="inlineStr">
        <is>
          <t>Industry cash cost per tonne</t>
        </is>
      </c>
      <c r="B204" s="1167" t="inlineStr">
        <is>
          <t>Rs/t</t>
        </is>
      </c>
      <c r="C204" s="1178">
        <f>'Cost Curve'!$C$80</f>
        <v/>
      </c>
      <c r="D204" s="1181">
        <f>$C$204*(D203*D202+(1-D203)*D200)</f>
        <v/>
      </c>
      <c r="E204" s="1181">
        <f>$C$204*(E203*E202+(1-E203)*E200)</f>
        <v/>
      </c>
      <c r="F204" s="1181">
        <f>$C$204*(F203*F202+(1-F203)*F200)</f>
        <v/>
      </c>
      <c r="G204" s="1181">
        <f>$C$204*(G203*G202+(1-G203)*G200)</f>
        <v/>
      </c>
      <c r="H204" s="1181">
        <f>$C$204*(H203*H202+(1-H203)*H200)</f>
        <v/>
      </c>
      <c r="I204" s="1181">
        <f>$C$204*(I203*I202+(1-I203)*I200)</f>
        <v/>
      </c>
      <c r="J204" s="1181">
        <f>$C$204*(J203*J202+(1-J203)*J200)</f>
        <v/>
      </c>
      <c r="K204" s="1171">
        <f>IFERROR(IF(AND(ISNUMBER(C204),ISNUMBER(J204),C204&gt;0),(J204/C204)^(1/7)-1,""),"")</f>
        <v/>
      </c>
    </row>
    <row r="205" ht="14" customHeight="1" s="632">
      <c r="A205" s="1166" t="inlineStr">
        <is>
          <t>Industry EBITDA per tonne</t>
        </is>
      </c>
      <c r="B205" s="1167" t="inlineStr">
        <is>
          <t>Rs/t</t>
        </is>
      </c>
      <c r="C205" s="1181">
        <f>C193-C204</f>
        <v/>
      </c>
      <c r="D205" s="1181">
        <f>D193-D204</f>
        <v/>
      </c>
      <c r="E205" s="1181">
        <f>E193-E204</f>
        <v/>
      </c>
      <c r="F205" s="1181">
        <f>F193-F204</f>
        <v/>
      </c>
      <c r="G205" s="1181">
        <f>G193-G204</f>
        <v/>
      </c>
      <c r="H205" s="1181">
        <f>H193-H204</f>
        <v/>
      </c>
      <c r="I205" s="1181">
        <f>I193-I204</f>
        <v/>
      </c>
      <c r="J205" s="1181">
        <f>J193-J204</f>
        <v/>
      </c>
      <c r="K205" s="1171">
        <f>IFERROR(IF(AND(ISNUMBER(C205),ISNUMBER(J205),C205&gt;0),(J205/C205)^(1/7)-1,""),"")</f>
        <v/>
      </c>
    </row>
    <row r="206" ht="14" customHeight="1" s="632">
      <c r="A206" s="1166" t="inlineStr">
        <is>
          <t>Industry revenue</t>
        </is>
      </c>
      <c r="B206" s="1167" t="inlineStr">
        <is>
          <t>Rs cr</t>
        </is>
      </c>
      <c r="C206" s="1178">
        <f>'Revenue Forecast'!$C$96</f>
        <v/>
      </c>
      <c r="D206" s="1181">
        <f>D188*D193/10</f>
        <v/>
      </c>
      <c r="E206" s="1181">
        <f>E188*E193/10</f>
        <v/>
      </c>
      <c r="F206" s="1181">
        <f>F188*F193/10</f>
        <v/>
      </c>
      <c r="G206" s="1181">
        <f>G188*G193/10</f>
        <v/>
      </c>
      <c r="H206" s="1181">
        <f>H188*H193/10</f>
        <v/>
      </c>
      <c r="I206" s="1181">
        <f>I188*I193/10</f>
        <v/>
      </c>
      <c r="J206" s="1181">
        <f>J188*J193/10</f>
        <v/>
      </c>
      <c r="K206" s="1171">
        <f>IFERROR(IF(AND(ISNUMBER(C206),ISNUMBER(J206),C206&gt;0),(J206/C206)^(1/7)-1,""),"")</f>
        <v/>
      </c>
    </row>
    <row r="207" ht="14" customHeight="1" s="632">
      <c r="A207" s="1166" t="inlineStr">
        <is>
          <t>Industry EBITDA</t>
        </is>
      </c>
      <c r="B207" s="1167" t="inlineStr">
        <is>
          <t>Rs cr</t>
        </is>
      </c>
      <c r="C207" s="1181">
        <f>C188*C205/10</f>
        <v/>
      </c>
      <c r="D207" s="1181">
        <f>D188*D205/10</f>
        <v/>
      </c>
      <c r="E207" s="1181">
        <f>E188*E205/10</f>
        <v/>
      </c>
      <c r="F207" s="1181">
        <f>F188*F205/10</f>
        <v/>
      </c>
      <c r="G207" s="1181">
        <f>G188*G205/10</f>
        <v/>
      </c>
      <c r="H207" s="1181">
        <f>H188*H205/10</f>
        <v/>
      </c>
      <c r="I207" s="1181">
        <f>I188*I205/10</f>
        <v/>
      </c>
      <c r="J207" s="1181">
        <f>J188*J205/10</f>
        <v/>
      </c>
      <c r="K207" s="1171">
        <f>IFERROR(IF(AND(ISNUMBER(C207),ISNUMBER(J207),C207&gt;0),(J207/C207)^(1/7)-1,""),"")</f>
        <v/>
      </c>
    </row>
    <row r="208" ht="14" customHeight="1" s="632">
      <c r="A208" s="1166" t="inlineStr">
        <is>
          <t>Industry EBITDA margin</t>
        </is>
      </c>
      <c r="B208" s="1167" t="inlineStr">
        <is>
          <t>%</t>
        </is>
      </c>
      <c r="C208" s="1171">
        <f>C205/C193</f>
        <v/>
      </c>
      <c r="D208" s="1171">
        <f>D205/D193</f>
        <v/>
      </c>
      <c r="E208" s="1171">
        <f>E205/E193</f>
        <v/>
      </c>
      <c r="F208" s="1171">
        <f>F205/F193</f>
        <v/>
      </c>
      <c r="G208" s="1171">
        <f>G205/G193</f>
        <v/>
      </c>
      <c r="H208" s="1171">
        <f>H205/H193</f>
        <v/>
      </c>
      <c r="I208" s="1171">
        <f>I205/I193</f>
        <v/>
      </c>
      <c r="J208" s="1171">
        <f>J205/J193</f>
        <v/>
      </c>
      <c r="K208" s="1169" t="n"/>
    </row>
    <row r="209" ht="14" customHeight="1" s="632">
      <c r="A209" s="1166" t="inlineStr">
        <is>
          <t>Depreciation and amortisation</t>
        </is>
      </c>
      <c r="B209" s="1167" t="inlineStr">
        <is>
          <t>% of revenue</t>
        </is>
      </c>
      <c r="C209" s="1182">
        <f>'Cash Flow Model'!$C$98</f>
        <v/>
      </c>
      <c r="D209" s="1182">
        <f>'Model Assumptions'!E$139</f>
        <v/>
      </c>
      <c r="E209" s="1182">
        <f>'Model Assumptions'!F$139</f>
        <v/>
      </c>
      <c r="F209" s="1182">
        <f>'Model Assumptions'!G$139</f>
        <v/>
      </c>
      <c r="G209" s="1182">
        <f>'Model Assumptions'!H$139</f>
        <v/>
      </c>
      <c r="H209" s="1182">
        <f>'Model Assumptions'!I$139</f>
        <v/>
      </c>
      <c r="I209" s="1182">
        <f>'Model Assumptions'!J$139</f>
        <v/>
      </c>
      <c r="J209" s="1182">
        <f>'Model Assumptions'!K$139</f>
        <v/>
      </c>
      <c r="K209" s="1169" t="n"/>
    </row>
    <row r="210" ht="14" customHeight="1" s="632">
      <c r="A210" s="1166" t="inlineStr">
        <is>
          <t>Depreciation and amortisation</t>
        </is>
      </c>
      <c r="B210" s="1167" t="inlineStr">
        <is>
          <t>Rs cr</t>
        </is>
      </c>
      <c r="C210" s="1181">
        <f>C206*C209</f>
        <v/>
      </c>
      <c r="D210" s="1181">
        <f>D206*D209</f>
        <v/>
      </c>
      <c r="E210" s="1181">
        <f>E206*E209</f>
        <v/>
      </c>
      <c r="F210" s="1181">
        <f>F206*F209</f>
        <v/>
      </c>
      <c r="G210" s="1181">
        <f>G206*G209</f>
        <v/>
      </c>
      <c r="H210" s="1181">
        <f>H206*H209</f>
        <v/>
      </c>
      <c r="I210" s="1181">
        <f>I206*I209</f>
        <v/>
      </c>
      <c r="J210" s="1181">
        <f>J206*J209</f>
        <v/>
      </c>
      <c r="K210" s="1171">
        <f>IFERROR(IF(AND(ISNUMBER(C210),ISNUMBER(J210),C210&gt;0),(J210/C210)^(1/7)-1,""),"")</f>
        <v/>
      </c>
    </row>
    <row r="211" ht="14" customHeight="1" s="632">
      <c r="A211" s="1166" t="inlineStr">
        <is>
          <t>EBIT</t>
        </is>
      </c>
      <c r="B211" s="1167" t="inlineStr">
        <is>
          <t>Rs cr</t>
        </is>
      </c>
      <c r="C211" s="1183">
        <f>C207-C210</f>
        <v/>
      </c>
      <c r="D211" s="1183">
        <f>D207-D210</f>
        <v/>
      </c>
      <c r="E211" s="1183">
        <f>E207-E210</f>
        <v/>
      </c>
      <c r="F211" s="1183">
        <f>F207-F210</f>
        <v/>
      </c>
      <c r="G211" s="1183">
        <f>G207-G210</f>
        <v/>
      </c>
      <c r="H211" s="1183">
        <f>H207-H210</f>
        <v/>
      </c>
      <c r="I211" s="1183">
        <f>I207-I210</f>
        <v/>
      </c>
      <c r="J211" s="1183">
        <f>J207-J210</f>
        <v/>
      </c>
      <c r="K211" s="1171">
        <f>IFERROR(IF(AND(ISNUMBER(C211),ISNUMBER(J211),C211&gt;0),(J211/C211)^(1/7)-1,""),"")</f>
        <v/>
      </c>
    </row>
    <row r="212" ht="14" customHeight="1" s="632">
      <c r="A212" s="1166" t="inlineStr">
        <is>
          <t>Effective tax rate</t>
        </is>
      </c>
      <c r="B212" s="1167" t="inlineStr">
        <is>
          <t>%</t>
        </is>
      </c>
      <c r="C212" s="1182">
        <f>'Cash Flow Model'!$C$101</f>
        <v/>
      </c>
      <c r="D212" s="1182">
        <f>'Model Assumptions'!E$95</f>
        <v/>
      </c>
      <c r="E212" s="1182">
        <f>'Model Assumptions'!F$95</f>
        <v/>
      </c>
      <c r="F212" s="1182">
        <f>'Model Assumptions'!G$95</f>
        <v/>
      </c>
      <c r="G212" s="1182">
        <f>'Model Assumptions'!H$95</f>
        <v/>
      </c>
      <c r="H212" s="1182">
        <f>'Model Assumptions'!I$95</f>
        <v/>
      </c>
      <c r="I212" s="1182">
        <f>'Model Assumptions'!J$95</f>
        <v/>
      </c>
      <c r="J212" s="1182">
        <f>'Model Assumptions'!K$95</f>
        <v/>
      </c>
      <c r="K212" s="1169" t="n"/>
    </row>
    <row r="213" ht="14" customHeight="1" s="632">
      <c r="A213" s="1166" t="inlineStr">
        <is>
          <t>Cash tax</t>
        </is>
      </c>
      <c r="B213" s="1167" t="inlineStr">
        <is>
          <t>Rs cr</t>
        </is>
      </c>
      <c r="C213" s="1181">
        <f>MAX(0,C211)*C212</f>
        <v/>
      </c>
      <c r="D213" s="1181">
        <f>MAX(0,D211)*D212</f>
        <v/>
      </c>
      <c r="E213" s="1181">
        <f>MAX(0,E211)*E212</f>
        <v/>
      </c>
      <c r="F213" s="1181">
        <f>MAX(0,F211)*F212</f>
        <v/>
      </c>
      <c r="G213" s="1181">
        <f>MAX(0,G211)*G212</f>
        <v/>
      </c>
      <c r="H213" s="1181">
        <f>MAX(0,H211)*H212</f>
        <v/>
      </c>
      <c r="I213" s="1181">
        <f>MAX(0,I211)*I212</f>
        <v/>
      </c>
      <c r="J213" s="1181">
        <f>MAX(0,J211)*J212</f>
        <v/>
      </c>
      <c r="K213" s="1171">
        <f>IFERROR(IF(AND(ISNUMBER(C213),ISNUMBER(J213),C213&gt;0),(J213/C213)^(1/7)-1,""),"")</f>
        <v/>
      </c>
    </row>
    <row r="214" ht="14" customHeight="1" s="632">
      <c r="A214" s="1166" t="inlineStr">
        <is>
          <t>Capex intensity</t>
        </is>
      </c>
      <c r="B214" s="1167" t="inlineStr">
        <is>
          <t>Rs/t of capacity</t>
        </is>
      </c>
      <c r="C214" s="1178">
        <f>'Model Assumptions'!$D$23</f>
        <v/>
      </c>
      <c r="D214" s="1178">
        <f>'Model Assumptions'!E$99</f>
        <v/>
      </c>
      <c r="E214" s="1178">
        <f>'Model Assumptions'!F$99</f>
        <v/>
      </c>
      <c r="F214" s="1178">
        <f>'Model Assumptions'!G$99</f>
        <v/>
      </c>
      <c r="G214" s="1178">
        <f>'Model Assumptions'!H$99</f>
        <v/>
      </c>
      <c r="H214" s="1178">
        <f>'Model Assumptions'!I$99</f>
        <v/>
      </c>
      <c r="I214" s="1178">
        <f>'Model Assumptions'!J$99</f>
        <v/>
      </c>
      <c r="J214" s="1178">
        <f>'Model Assumptions'!K$99</f>
        <v/>
      </c>
      <c r="K214" s="1171">
        <f>IFERROR(IF(AND(ISNUMBER(C214),ISNUMBER(J214),C214&gt;0),(J214/C214)^(1/7)-1,""),"")</f>
        <v/>
      </c>
    </row>
    <row r="215" ht="14" customHeight="1" s="632">
      <c r="A215" s="1166" t="inlineStr">
        <is>
          <t>Growth capex</t>
        </is>
      </c>
      <c r="B215" s="1167" t="inlineStr">
        <is>
          <t>Rs cr</t>
        </is>
      </c>
      <c r="C215" s="1176" t="n"/>
      <c r="D215" s="1181">
        <f>D182*D214/10</f>
        <v/>
      </c>
      <c r="E215" s="1181">
        <f>E182*E214/10</f>
        <v/>
      </c>
      <c r="F215" s="1181">
        <f>F182*F214/10</f>
        <v/>
      </c>
      <c r="G215" s="1181">
        <f>G182*G214/10</f>
        <v/>
      </c>
      <c r="H215" s="1181">
        <f>H182*H214/10</f>
        <v/>
      </c>
      <c r="I215" s="1181">
        <f>I182*I214/10</f>
        <v/>
      </c>
      <c r="J215" s="1181">
        <f>J182*J214/10</f>
        <v/>
      </c>
      <c r="K215" s="1169" t="n"/>
    </row>
    <row r="216" ht="14" customHeight="1" s="632">
      <c r="A216" s="1166" t="inlineStr">
        <is>
          <t>Maintenance capex</t>
        </is>
      </c>
      <c r="B216" s="1167" t="inlineStr">
        <is>
          <t>% of revenue</t>
        </is>
      </c>
      <c r="C216" s="1168">
        <f>'Model Assumptions'!$D$24</f>
        <v/>
      </c>
      <c r="D216" s="1168">
        <f>'Model Assumptions'!E$103</f>
        <v/>
      </c>
      <c r="E216" s="1168">
        <f>'Model Assumptions'!F$103</f>
        <v/>
      </c>
      <c r="F216" s="1168">
        <f>'Model Assumptions'!G$103</f>
        <v/>
      </c>
      <c r="G216" s="1168">
        <f>'Model Assumptions'!H$103</f>
        <v/>
      </c>
      <c r="H216" s="1168">
        <f>'Model Assumptions'!I$103</f>
        <v/>
      </c>
      <c r="I216" s="1168">
        <f>'Model Assumptions'!J$103</f>
        <v/>
      </c>
      <c r="J216" s="1168">
        <f>'Model Assumptions'!K$103</f>
        <v/>
      </c>
      <c r="K216" s="1169" t="n"/>
    </row>
    <row r="217" ht="14" customHeight="1" s="632">
      <c r="A217" s="1166" t="inlineStr">
        <is>
          <t>Maintenance capex</t>
        </is>
      </c>
      <c r="B217" s="1167" t="inlineStr">
        <is>
          <t>Rs cr</t>
        </is>
      </c>
      <c r="C217" s="1176" t="n"/>
      <c r="D217" s="1181">
        <f>D206*D216</f>
        <v/>
      </c>
      <c r="E217" s="1181">
        <f>E206*E216</f>
        <v/>
      </c>
      <c r="F217" s="1181">
        <f>F206*F216</f>
        <v/>
      </c>
      <c r="G217" s="1181">
        <f>G206*G216</f>
        <v/>
      </c>
      <c r="H217" s="1181">
        <f>H206*H216</f>
        <v/>
      </c>
      <c r="I217" s="1181">
        <f>I206*I216</f>
        <v/>
      </c>
      <c r="J217" s="1181">
        <f>J206*J216</f>
        <v/>
      </c>
      <c r="K217" s="1169" t="n"/>
    </row>
    <row r="218" ht="14" customHeight="1" s="632">
      <c r="A218" s="1166" t="inlineStr">
        <is>
          <t>Total capex</t>
        </is>
      </c>
      <c r="B218" s="1167" t="inlineStr">
        <is>
          <t>Rs cr</t>
        </is>
      </c>
      <c r="C218" s="1176" t="n"/>
      <c r="D218" s="1181">
        <f>D215+D217</f>
        <v/>
      </c>
      <c r="E218" s="1181">
        <f>E215+E217</f>
        <v/>
      </c>
      <c r="F218" s="1181">
        <f>F215+F217</f>
        <v/>
      </c>
      <c r="G218" s="1181">
        <f>G215+G217</f>
        <v/>
      </c>
      <c r="H218" s="1181">
        <f>H215+H217</f>
        <v/>
      </c>
      <c r="I218" s="1181">
        <f>I215+I217</f>
        <v/>
      </c>
      <c r="J218" s="1181">
        <f>J215+J217</f>
        <v/>
      </c>
      <c r="K218" s="1169" t="n"/>
    </row>
    <row r="219" ht="14" customHeight="1" s="632">
      <c r="A219" s="1166" t="inlineStr">
        <is>
          <t>Net working capital</t>
        </is>
      </c>
      <c r="B219" s="1167" t="inlineStr">
        <is>
          <t>days of revenue</t>
        </is>
      </c>
      <c r="C219" s="1178">
        <f>'Working Capital Model'!$C$71</f>
        <v/>
      </c>
      <c r="D219" s="1178">
        <f>'Model Assumptions'!E$107</f>
        <v/>
      </c>
      <c r="E219" s="1178">
        <f>'Model Assumptions'!F$107</f>
        <v/>
      </c>
      <c r="F219" s="1178">
        <f>'Model Assumptions'!G$107</f>
        <v/>
      </c>
      <c r="G219" s="1178">
        <f>'Model Assumptions'!H$107</f>
        <v/>
      </c>
      <c r="H219" s="1178">
        <f>'Model Assumptions'!I$107</f>
        <v/>
      </c>
      <c r="I219" s="1178">
        <f>'Model Assumptions'!J$107</f>
        <v/>
      </c>
      <c r="J219" s="1178">
        <f>'Model Assumptions'!K$107</f>
        <v/>
      </c>
      <c r="K219" s="1171">
        <f>IFERROR(IF(AND(ISNUMBER(C219),ISNUMBER(J219),C219&gt;0),(J219/C219)^(1/7)-1,""),"")</f>
        <v/>
      </c>
    </row>
    <row r="220" ht="14" customHeight="1" s="632">
      <c r="A220" s="1166" t="inlineStr">
        <is>
          <t>Net working capital</t>
        </is>
      </c>
      <c r="B220" s="1167" t="inlineStr">
        <is>
          <t>Rs cr</t>
        </is>
      </c>
      <c r="C220" s="1178">
        <f>'Working Capital Model'!$C$72</f>
        <v/>
      </c>
      <c r="D220" s="1181">
        <f>D206*D219/365</f>
        <v/>
      </c>
      <c r="E220" s="1181">
        <f>E206*E219/365</f>
        <v/>
      </c>
      <c r="F220" s="1181">
        <f>F206*F219/365</f>
        <v/>
      </c>
      <c r="G220" s="1181">
        <f>G206*G219/365</f>
        <v/>
      </c>
      <c r="H220" s="1181">
        <f>H206*H219/365</f>
        <v/>
      </c>
      <c r="I220" s="1181">
        <f>I206*I219/365</f>
        <v/>
      </c>
      <c r="J220" s="1181">
        <f>J206*J219/365</f>
        <v/>
      </c>
      <c r="K220" s="1171">
        <f>IFERROR(IF(AND(ISNUMBER(C220),ISNUMBER(J220),C220&gt;0),(J220/C220)^(1/7)-1,""),"")</f>
        <v/>
      </c>
    </row>
    <row r="221" ht="14" customHeight="1" s="632">
      <c r="A221" s="1166" t="inlineStr">
        <is>
          <t>Change in net working capital</t>
        </is>
      </c>
      <c r="B221" s="1167" t="inlineStr">
        <is>
          <t>Rs cr</t>
        </is>
      </c>
      <c r="C221" s="1176" t="n"/>
      <c r="D221" s="1183">
        <f>D220-C220</f>
        <v/>
      </c>
      <c r="E221" s="1183">
        <f>E220-D220</f>
        <v/>
      </c>
      <c r="F221" s="1183">
        <f>F220-E220</f>
        <v/>
      </c>
      <c r="G221" s="1183">
        <f>G220-F220</f>
        <v/>
      </c>
      <c r="H221" s="1183">
        <f>H220-G220</f>
        <v/>
      </c>
      <c r="I221" s="1183">
        <f>I220-H220</f>
        <v/>
      </c>
      <c r="J221" s="1183">
        <f>J220-I220</f>
        <v/>
      </c>
      <c r="K221" s="1169" t="n"/>
    </row>
    <row r="222" ht="14" customHeight="1" s="632">
      <c r="A222" s="1166" t="inlineStr">
        <is>
          <t>Unlevered free cash flow</t>
        </is>
      </c>
      <c r="B222" s="1167" t="inlineStr">
        <is>
          <t>Rs cr</t>
        </is>
      </c>
      <c r="C222" s="1176" t="n"/>
      <c r="D222" s="1183">
        <f>D207-D213-D218-D221</f>
        <v/>
      </c>
      <c r="E222" s="1183">
        <f>E207-E213-E218-E221</f>
        <v/>
      </c>
      <c r="F222" s="1183">
        <f>F207-F213-F218-F221</f>
        <v/>
      </c>
      <c r="G222" s="1183">
        <f>G207-G213-G218-G221</f>
        <v/>
      </c>
      <c r="H222" s="1183">
        <f>H207-H213-H218-H221</f>
        <v/>
      </c>
      <c r="I222" s="1183">
        <f>I207-I213-I218-I221</f>
        <v/>
      </c>
      <c r="J222" s="1183">
        <f>J207-J213-J218-J221</f>
        <v/>
      </c>
      <c r="K222" s="1169" t="n"/>
    </row>
    <row r="223" ht="14" customHeight="1" s="632">
      <c r="A223" s="1166" t="inlineStr">
        <is>
          <t>Exit EV/EBITDA multiple</t>
        </is>
      </c>
      <c r="B223" s="1167" t="inlineStr">
        <is>
          <t>x</t>
        </is>
      </c>
      <c r="C223" s="1176" t="n"/>
      <c r="D223" s="1184">
        <f>'Model Assumptions'!E$111</f>
        <v/>
      </c>
      <c r="E223" s="1184">
        <f>'Model Assumptions'!F$111</f>
        <v/>
      </c>
      <c r="F223" s="1184">
        <f>'Model Assumptions'!G$111</f>
        <v/>
      </c>
      <c r="G223" s="1184">
        <f>'Model Assumptions'!H$111</f>
        <v/>
      </c>
      <c r="H223" s="1184">
        <f>'Model Assumptions'!I$111</f>
        <v/>
      </c>
      <c r="I223" s="1184">
        <f>'Model Assumptions'!J$111</f>
        <v/>
      </c>
      <c r="J223" s="1184">
        <f>'Model Assumptions'!K$111</f>
        <v/>
      </c>
      <c r="K223" s="1169" t="n"/>
    </row>
    <row r="224" ht="14" customHeight="1" s="632">
      <c r="A224" s="1166" t="inlineStr">
        <is>
          <t>WACC (nominal, INR)</t>
        </is>
      </c>
      <c r="B224" s="1167" t="inlineStr">
        <is>
          <t>%</t>
        </is>
      </c>
      <c r="C224" s="1176" t="n"/>
      <c r="D224" s="1168">
        <f>'Model Assumptions'!E$115</f>
        <v/>
      </c>
      <c r="E224" s="1168">
        <f>'Model Assumptions'!F$115</f>
        <v/>
      </c>
      <c r="F224" s="1168">
        <f>'Model Assumptions'!G$115</f>
        <v/>
      </c>
      <c r="G224" s="1168">
        <f>'Model Assumptions'!H$115</f>
        <v/>
      </c>
      <c r="H224" s="1168">
        <f>'Model Assumptions'!I$115</f>
        <v/>
      </c>
      <c r="I224" s="1168">
        <f>'Model Assumptions'!J$115</f>
        <v/>
      </c>
      <c r="J224" s="1168">
        <f>'Model Assumptions'!K$115</f>
        <v/>
      </c>
      <c r="K224" s="1169" t="n"/>
    </row>
    <row r="225" ht="14" customHeight="1" s="632">
      <c r="A225" s="1166" t="inlineStr">
        <is>
          <t>Finished steel imports - driver</t>
        </is>
      </c>
      <c r="B225" s="1167" t="inlineStr">
        <is>
          <t>Mt</t>
        </is>
      </c>
      <c r="C225" s="1172">
        <f>'Trade Model'!$C$74</f>
        <v/>
      </c>
      <c r="D225" s="1172">
        <f>'Model Assumptions'!E$119</f>
        <v/>
      </c>
      <c r="E225" s="1172">
        <f>'Model Assumptions'!F$119</f>
        <v/>
      </c>
      <c r="F225" s="1172">
        <f>'Model Assumptions'!G$119</f>
        <v/>
      </c>
      <c r="G225" s="1172">
        <f>'Model Assumptions'!H$119</f>
        <v/>
      </c>
      <c r="H225" s="1172">
        <f>'Model Assumptions'!I$119</f>
        <v/>
      </c>
      <c r="I225" s="1172">
        <f>'Model Assumptions'!J$119</f>
        <v/>
      </c>
      <c r="J225" s="1172">
        <f>'Model Assumptions'!K$119</f>
        <v/>
      </c>
      <c r="K225" s="1171">
        <f>IFERROR(IF(AND(ISNUMBER(C225),ISNUMBER(J225),C225&gt;0),(J225/C225)^(1/7)-1,""),"")</f>
        <v/>
      </c>
    </row>
    <row r="226" ht="14" customHeight="1" s="632">
      <c r="A226" s="1166" t="inlineStr">
        <is>
          <t>Shortfall routed from the capacity ceiling</t>
        </is>
      </c>
      <c r="B226" s="1167" t="inlineStr">
        <is>
          <t>Mt</t>
        </is>
      </c>
      <c r="C226" s="1172">
        <f>0</f>
        <v/>
      </c>
      <c r="D226" s="1173">
        <f>MAX(0,D176-D188)</f>
        <v/>
      </c>
      <c r="E226" s="1173">
        <f>MAX(0,E176-E188)</f>
        <v/>
      </c>
      <c r="F226" s="1173">
        <f>MAX(0,F176-F188)</f>
        <v/>
      </c>
      <c r="G226" s="1173">
        <f>MAX(0,G176-G188)</f>
        <v/>
      </c>
      <c r="H226" s="1173">
        <f>MAX(0,H176-H188)</f>
        <v/>
      </c>
      <c r="I226" s="1173">
        <f>MAX(0,I176-I188)</f>
        <v/>
      </c>
      <c r="J226" s="1173">
        <f>MAX(0,J176-J188)</f>
        <v/>
      </c>
      <c r="K226" s="1171">
        <f>IFERROR(IF(AND(ISNUMBER(C226),ISNUMBER(J226),C226&gt;0),(J226/C226)^(1/7)-1,""),"")</f>
        <v/>
      </c>
    </row>
    <row r="227" ht="14" customHeight="1" s="632">
      <c r="A227" s="1166" t="inlineStr">
        <is>
          <t>Total finished steel imports</t>
        </is>
      </c>
      <c r="B227" s="1167" t="inlineStr">
        <is>
          <t>Mt</t>
        </is>
      </c>
      <c r="C227" s="1173">
        <f>C225+C226</f>
        <v/>
      </c>
      <c r="D227" s="1173">
        <f>D225+D226</f>
        <v/>
      </c>
      <c r="E227" s="1173">
        <f>E225+E226</f>
        <v/>
      </c>
      <c r="F227" s="1173">
        <f>F225+F226</f>
        <v/>
      </c>
      <c r="G227" s="1173">
        <f>G225+G226</f>
        <v/>
      </c>
      <c r="H227" s="1173">
        <f>H225+H226</f>
        <v/>
      </c>
      <c r="I227" s="1173">
        <f>I225+I226</f>
        <v/>
      </c>
      <c r="J227" s="1173">
        <f>J225+J226</f>
        <v/>
      </c>
      <c r="K227" s="1171">
        <f>IFERROR(IF(AND(ISNUMBER(C227),ISNUMBER(J227),C227&gt;0),(J227/C227)^(1/7)-1,""),"")</f>
        <v/>
      </c>
    </row>
    <row r="228" ht="14" customHeight="1" s="632">
      <c r="A228" s="1166" t="inlineStr">
        <is>
          <t>Finished steel exports</t>
        </is>
      </c>
      <c r="B228" s="1167" t="inlineStr">
        <is>
          <t>Mt</t>
        </is>
      </c>
      <c r="C228" s="1172">
        <f>'Trade Model'!$C$78</f>
        <v/>
      </c>
      <c r="D228" s="1173">
        <f>D225+D174</f>
        <v/>
      </c>
      <c r="E228" s="1173">
        <f>E225+E174</f>
        <v/>
      </c>
      <c r="F228" s="1173">
        <f>F225+F174</f>
        <v/>
      </c>
      <c r="G228" s="1173">
        <f>G225+G174</f>
        <v/>
      </c>
      <c r="H228" s="1173">
        <f>H225+H174</f>
        <v/>
      </c>
      <c r="I228" s="1173">
        <f>I225+I174</f>
        <v/>
      </c>
      <c r="J228" s="1173">
        <f>J225+J174</f>
        <v/>
      </c>
      <c r="K228" s="1171">
        <f>IFERROR(IF(AND(ISNUMBER(C228),ISNUMBER(J228),C228&gt;0),(J228/C228)^(1/7)-1,""),"")</f>
        <v/>
      </c>
    </row>
    <row r="229" ht="14" customHeight="1" s="632">
      <c r="A229" s="1166" t="inlineStr">
        <is>
          <t>Import penetration</t>
        </is>
      </c>
      <c r="B229" s="1167" t="inlineStr">
        <is>
          <t>% of consumption</t>
        </is>
      </c>
      <c r="C229" s="1171">
        <f>C227/C173</f>
        <v/>
      </c>
      <c r="D229" s="1171">
        <f>D227/D173</f>
        <v/>
      </c>
      <c r="E229" s="1171">
        <f>E227/E173</f>
        <v/>
      </c>
      <c r="F229" s="1171">
        <f>F227/F173</f>
        <v/>
      </c>
      <c r="G229" s="1171">
        <f>G227/G173</f>
        <v/>
      </c>
      <c r="H229" s="1171">
        <f>H227/H173</f>
        <v/>
      </c>
      <c r="I229" s="1171">
        <f>I227/I173</f>
        <v/>
      </c>
      <c r="J229" s="1171">
        <f>J227/J173</f>
        <v/>
      </c>
      <c r="K229" s="1169" t="n"/>
    </row>
    <row r="230" ht="14" customHeight="1" s="632">
      <c r="A230" s="1166" t="inlineStr">
        <is>
          <t>Per capita finished steel consumption</t>
        </is>
      </c>
      <c r="B230" s="1167" t="inlineStr">
        <is>
          <t>kg</t>
        </is>
      </c>
      <c r="C230" s="1172">
        <f>'Steel Demand Model'!$C$121</f>
        <v/>
      </c>
      <c r="D230" s="1173">
        <f>D173/'Steel Demand Model'!D$119</f>
        <v/>
      </c>
      <c r="E230" s="1173">
        <f>E173/'Steel Demand Model'!E$119</f>
        <v/>
      </c>
      <c r="F230" s="1173">
        <f>F173/'Steel Demand Model'!F$119</f>
        <v/>
      </c>
      <c r="G230" s="1173">
        <f>G173/'Steel Demand Model'!G$119</f>
        <v/>
      </c>
      <c r="H230" s="1173">
        <f>H173/'Steel Demand Model'!H$119</f>
        <v/>
      </c>
      <c r="I230" s="1173">
        <f>I173/'Steel Demand Model'!I$119</f>
        <v/>
      </c>
      <c r="J230" s="1173">
        <f>J173/'Steel Demand Model'!J$119</f>
        <v/>
      </c>
      <c r="K230" s="1171">
        <f>IFERROR(IF(AND(ISNUMBER(C230),ISNUMBER(J230),C230&gt;0),(J230/C230)^(1/7)-1,""),"")</f>
        <v/>
      </c>
    </row>
    <row r="231" ht="14" customHeight="1" s="632">
      <c r="A231" s="1166" t="inlineStr">
        <is>
          <t>Enterprise value at the exit multiple (terminal-year proxy)</t>
        </is>
      </c>
      <c r="B231" s="1167" t="inlineStr">
        <is>
          <t>Rs cr</t>
        </is>
      </c>
      <c r="C231" s="1176" t="n"/>
      <c r="D231" s="1181">
        <f>D207*D223</f>
        <v/>
      </c>
      <c r="E231" s="1181">
        <f>E207*E223</f>
        <v/>
      </c>
      <c r="F231" s="1181">
        <f>F207*F223</f>
        <v/>
      </c>
      <c r="G231" s="1181">
        <f>G207*G223</f>
        <v/>
      </c>
      <c r="H231" s="1181">
        <f>H207*H223</f>
        <v/>
      </c>
      <c r="I231" s="1181">
        <f>I207*I223</f>
        <v/>
      </c>
      <c r="J231" s="1181">
        <f>J207*J223</f>
        <v/>
      </c>
      <c r="K231" s="1169" t="n"/>
    </row>
    <row r="232" ht="14" customHeight="1" s="632">
      <c r="A232" s="1166" t="inlineStr">
        <is>
          <t>NOPAT</t>
        </is>
      </c>
      <c r="B232" s="1167" t="inlineStr">
        <is>
          <t>Rs cr</t>
        </is>
      </c>
      <c r="C232" s="1176" t="n"/>
      <c r="D232" s="1183">
        <f>D211*(1-D212)</f>
        <v/>
      </c>
      <c r="E232" s="1183">
        <f>E211*(1-E212)</f>
        <v/>
      </c>
      <c r="F232" s="1183">
        <f>F211*(1-F212)</f>
        <v/>
      </c>
      <c r="G232" s="1183">
        <f>G211*(1-G212)</f>
        <v/>
      </c>
      <c r="H232" s="1183">
        <f>H211*(1-H212)</f>
        <v/>
      </c>
      <c r="I232" s="1183">
        <f>I211*(1-I212)</f>
        <v/>
      </c>
      <c r="J232" s="1183">
        <f>J211*(1-J212)</f>
        <v/>
      </c>
      <c r="K232" s="1169" t="n"/>
    </row>
    <row r="233" ht="14" customHeight="1" s="632">
      <c r="A233" s="1166" t="inlineStr">
        <is>
          <t>Invested capital (proxy)</t>
        </is>
      </c>
      <c r="B233" s="1167" t="inlineStr">
        <is>
          <t>Rs cr</t>
        </is>
      </c>
      <c r="C233" s="1176" t="n"/>
      <c r="D233" s="1181">
        <f>220.4*D214/10+D220</f>
        <v/>
      </c>
      <c r="E233" s="1181">
        <f>220.4*E214/10+E220</f>
        <v/>
      </c>
      <c r="F233" s="1181">
        <f>220.4*F214/10+F220</f>
        <v/>
      </c>
      <c r="G233" s="1181">
        <f>220.4*G214/10+G220</f>
        <v/>
      </c>
      <c r="H233" s="1181">
        <f>220.4*H214/10+H220</f>
        <v/>
      </c>
      <c r="I233" s="1181">
        <f>220.4*I214/10+I220</f>
        <v/>
      </c>
      <c r="J233" s="1181">
        <f>220.4*J214/10+J220</f>
        <v/>
      </c>
      <c r="K233" s="1169" t="n"/>
    </row>
    <row r="234" ht="14" customHeight="1" s="632">
      <c r="A234" s="1166" t="inlineStr">
        <is>
          <t>ROIC (indicative)</t>
        </is>
      </c>
      <c r="B234" s="1167" t="inlineStr">
        <is>
          <t>%</t>
        </is>
      </c>
      <c r="C234" s="1176" t="n"/>
      <c r="D234" s="1171">
        <f>IFERROR(D232/D233,"")</f>
        <v/>
      </c>
      <c r="E234" s="1171">
        <f>IFERROR(E232/E233,"")</f>
        <v/>
      </c>
      <c r="F234" s="1171">
        <f>IFERROR(F232/F233,"")</f>
        <v/>
      </c>
      <c r="G234" s="1171">
        <f>IFERROR(G232/G233,"")</f>
        <v/>
      </c>
      <c r="H234" s="1171">
        <f>IFERROR(H232/H233,"")</f>
        <v/>
      </c>
      <c r="I234" s="1171">
        <f>IFERROR(I232/I233,"")</f>
        <v/>
      </c>
      <c r="J234" s="1171">
        <f>IFERROR(J232/J233,"")</f>
        <v/>
      </c>
      <c r="K234" s="1169" t="n"/>
    </row>
    <row r="235" ht="14" customHeight="1" s="632">
      <c r="A235" s="1166" t="inlineStr">
        <is>
          <t>Cycle indicator 1 - real GDP growth (4% to 9%)</t>
        </is>
      </c>
      <c r="B235" s="1167" t="inlineStr">
        <is>
          <t>score</t>
        </is>
      </c>
      <c r="C235" s="1185">
        <f>MIN(100,MAX(0,(C170-4%)/5%*100))</f>
        <v/>
      </c>
      <c r="D235" s="1185">
        <f>MIN(100,MAX(0,(D170-4%)/5%*100))</f>
        <v/>
      </c>
      <c r="E235" s="1185">
        <f>MIN(100,MAX(0,(E170-4%)/5%*100))</f>
        <v/>
      </c>
      <c r="F235" s="1185">
        <f>MIN(100,MAX(0,(F170-4%)/5%*100))</f>
        <v/>
      </c>
      <c r="G235" s="1185">
        <f>MIN(100,MAX(0,(G170-4%)/5%*100))</f>
        <v/>
      </c>
      <c r="H235" s="1185">
        <f>MIN(100,MAX(0,(H170-4%)/5%*100))</f>
        <v/>
      </c>
      <c r="I235" s="1185">
        <f>MIN(100,MAX(0,(I170-4%)/5%*100))</f>
        <v/>
      </c>
      <c r="J235" s="1185">
        <f>MIN(100,MAX(0,(J170-4%)/5%*100))</f>
        <v/>
      </c>
      <c r="K235" s="1169" t="n"/>
    </row>
    <row r="236" ht="14" customHeight="1" s="632">
      <c r="A236" s="1166" t="inlineStr">
        <is>
          <t>Cycle indicator 2 - consumption growth (2% to 12%)</t>
        </is>
      </c>
      <c r="B236" s="1167" t="inlineStr">
        <is>
          <t>score</t>
        </is>
      </c>
      <c r="C236" s="1185">
        <f>MIN(100,MAX(0,(C172-2%)/10%*100))</f>
        <v/>
      </c>
      <c r="D236" s="1185">
        <f>MIN(100,MAX(0,(D172-2%)/10%*100))</f>
        <v/>
      </c>
      <c r="E236" s="1185">
        <f>MIN(100,MAX(0,(E172-2%)/10%*100))</f>
        <v/>
      </c>
      <c r="F236" s="1185">
        <f>MIN(100,MAX(0,(F172-2%)/10%*100))</f>
        <v/>
      </c>
      <c r="G236" s="1185">
        <f>MIN(100,MAX(0,(G172-2%)/10%*100))</f>
        <v/>
      </c>
      <c r="H236" s="1185">
        <f>MIN(100,MAX(0,(H172-2%)/10%*100))</f>
        <v/>
      </c>
      <c r="I236" s="1185">
        <f>MIN(100,MAX(0,(I172-2%)/10%*100))</f>
        <v/>
      </c>
      <c r="J236" s="1185">
        <f>MIN(100,MAX(0,(J172-2%)/10%*100))</f>
        <v/>
      </c>
      <c r="K236" s="1169" t="n"/>
    </row>
    <row r="237" ht="14" customHeight="1" s="632">
      <c r="A237" s="1166" t="inlineStr">
        <is>
          <t>Cycle indicator 3 - capacity utilisation (65% to 92%)</t>
        </is>
      </c>
      <c r="B237" s="1167" t="inlineStr">
        <is>
          <t>score</t>
        </is>
      </c>
      <c r="C237" s="1185">
        <f>MIN(100,MAX(0,(C187-65%)/27%*100))</f>
        <v/>
      </c>
      <c r="D237" s="1185">
        <f>MIN(100,MAX(0,(D187-65%)/27%*100))</f>
        <v/>
      </c>
      <c r="E237" s="1185">
        <f>MIN(100,MAX(0,(E187-65%)/27%*100))</f>
        <v/>
      </c>
      <c r="F237" s="1185">
        <f>MIN(100,MAX(0,(F187-65%)/27%*100))</f>
        <v/>
      </c>
      <c r="G237" s="1185">
        <f>MIN(100,MAX(0,(G187-65%)/27%*100))</f>
        <v/>
      </c>
      <c r="H237" s="1185">
        <f>MIN(100,MAX(0,(H187-65%)/27%*100))</f>
        <v/>
      </c>
      <c r="I237" s="1185">
        <f>MIN(100,MAX(0,(I187-65%)/27%*100))</f>
        <v/>
      </c>
      <c r="J237" s="1185">
        <f>MIN(100,MAX(0,(J187-65%)/27%*100))</f>
        <v/>
      </c>
      <c r="K237" s="1169" t="n"/>
    </row>
    <row r="238" ht="14" customHeight="1" s="632">
      <c r="A238" s="1166" t="inlineStr">
        <is>
          <t>Cycle indicator 4 - spare capacity, scored inversely (0% to 30%)</t>
        </is>
      </c>
      <c r="B238" s="1167" t="inlineStr">
        <is>
          <t>score</t>
        </is>
      </c>
      <c r="C238" s="1185">
        <f>MIN(100,MAX(0,100-(C183-C178)/C183/30%*100))</f>
        <v/>
      </c>
      <c r="D238" s="1185">
        <f>MIN(100,MAX(0,100-(D183-D178)/D183/30%*100))</f>
        <v/>
      </c>
      <c r="E238" s="1185">
        <f>MIN(100,MAX(0,100-(E183-E178)/E183/30%*100))</f>
        <v/>
      </c>
      <c r="F238" s="1185">
        <f>MIN(100,MAX(0,100-(F183-F178)/F183/30%*100))</f>
        <v/>
      </c>
      <c r="G238" s="1185">
        <f>MIN(100,MAX(0,100-(G183-G178)/G183/30%*100))</f>
        <v/>
      </c>
      <c r="H238" s="1185">
        <f>MIN(100,MAX(0,100-(H183-H178)/H183/30%*100))</f>
        <v/>
      </c>
      <c r="I238" s="1185">
        <f>MIN(100,MAX(0,100-(I183-I178)/I183/30%*100))</f>
        <v/>
      </c>
      <c r="J238" s="1185">
        <f>MIN(100,MAX(0,100-(J183-J178)/J183/30%*100))</f>
        <v/>
      </c>
      <c r="K238" s="1169" t="n"/>
    </row>
    <row r="239" ht="14" customHeight="1" s="632">
      <c r="A239" s="1166" t="inlineStr">
        <is>
          <t>Cycle indicator 5 - blended realisation (Rs 50,000 to Rs 75,000/t)</t>
        </is>
      </c>
      <c r="B239" s="1167" t="inlineStr">
        <is>
          <t>score</t>
        </is>
      </c>
      <c r="C239" s="1185">
        <f>MIN(100,MAX(0,(C193-50000)/25000*100))</f>
        <v/>
      </c>
      <c r="D239" s="1185">
        <f>MIN(100,MAX(0,(D193-50000)/25000*100))</f>
        <v/>
      </c>
      <c r="E239" s="1185">
        <f>MIN(100,MAX(0,(E193-50000)/25000*100))</f>
        <v/>
      </c>
      <c r="F239" s="1185">
        <f>MIN(100,MAX(0,(F193-50000)/25000*100))</f>
        <v/>
      </c>
      <c r="G239" s="1185">
        <f>MIN(100,MAX(0,(G193-50000)/25000*100))</f>
        <v/>
      </c>
      <c r="H239" s="1185">
        <f>MIN(100,MAX(0,(H193-50000)/25000*100))</f>
        <v/>
      </c>
      <c r="I239" s="1185">
        <f>MIN(100,MAX(0,(I193-50000)/25000*100))</f>
        <v/>
      </c>
      <c r="J239" s="1185">
        <f>MIN(100,MAX(0,(J193-50000)/25000*100))</f>
        <v/>
      </c>
      <c r="K239" s="1169" t="n"/>
    </row>
    <row r="240" ht="14" customHeight="1" s="632">
      <c r="A240" s="1166" t="inlineStr">
        <is>
          <t>Cycle indicator 6 - EBITDA margin (-10% to +26%)</t>
        </is>
      </c>
      <c r="B240" s="1167" t="inlineStr">
        <is>
          <t>score</t>
        </is>
      </c>
      <c r="C240" s="1185">
        <f>MIN(100,MAX(0,(C208+10%)/36%*100))</f>
        <v/>
      </c>
      <c r="D240" s="1185">
        <f>MIN(100,MAX(0,(D208+10%)/36%*100))</f>
        <v/>
      </c>
      <c r="E240" s="1185">
        <f>MIN(100,MAX(0,(E208+10%)/36%*100))</f>
        <v/>
      </c>
      <c r="F240" s="1185">
        <f>MIN(100,MAX(0,(F208+10%)/36%*100))</f>
        <v/>
      </c>
      <c r="G240" s="1185">
        <f>MIN(100,MAX(0,(G208+10%)/36%*100))</f>
        <v/>
      </c>
      <c r="H240" s="1185">
        <f>MIN(100,MAX(0,(H208+10%)/36%*100))</f>
        <v/>
      </c>
      <c r="I240" s="1185">
        <f>MIN(100,MAX(0,(I208+10%)/36%*100))</f>
        <v/>
      </c>
      <c r="J240" s="1185">
        <f>MIN(100,MAX(0,(J208+10%)/36%*100))</f>
        <v/>
      </c>
      <c r="K240" s="1169" t="n"/>
    </row>
    <row r="241" ht="14" customHeight="1" s="632">
      <c r="A241" s="1166" t="inlineStr">
        <is>
          <t>Cycle indicator 7 - capacity additions (0 to 25 Mtpa)</t>
        </is>
      </c>
      <c r="B241" s="1167" t="inlineStr">
        <is>
          <t>score</t>
        </is>
      </c>
      <c r="C241" s="1185">
        <f>MIN(100,MAX(0,C182/25*100))</f>
        <v/>
      </c>
      <c r="D241" s="1185">
        <f>MIN(100,MAX(0,D182/25*100))</f>
        <v/>
      </c>
      <c r="E241" s="1185">
        <f>MIN(100,MAX(0,E182/25*100))</f>
        <v/>
      </c>
      <c r="F241" s="1185">
        <f>MIN(100,MAX(0,F182/25*100))</f>
        <v/>
      </c>
      <c r="G241" s="1185">
        <f>MIN(100,MAX(0,G182/25*100))</f>
        <v/>
      </c>
      <c r="H241" s="1185">
        <f>MIN(100,MAX(0,H182/25*100))</f>
        <v/>
      </c>
      <c r="I241" s="1185">
        <f>MIN(100,MAX(0,I182/25*100))</f>
        <v/>
      </c>
      <c r="J241" s="1185">
        <f>MIN(100,MAX(0,J182/25*100))</f>
        <v/>
      </c>
      <c r="K241" s="1169" t="n"/>
    </row>
    <row r="242" ht="14" customHeight="1" s="632">
      <c r="A242" s="1166" t="inlineStr">
        <is>
          <t>Cycle indicator 8 - variation in stock, centred on 50</t>
        </is>
      </c>
      <c r="B242" s="1167" t="inlineStr">
        <is>
          <t>score</t>
        </is>
      </c>
      <c r="C242" s="1185">
        <f>MIN(100,MAX(0,50-C175/C173*1000))</f>
        <v/>
      </c>
      <c r="D242" s="1185">
        <f>MIN(100,MAX(0,50-D175/D173*1000))</f>
        <v/>
      </c>
      <c r="E242" s="1185">
        <f>MIN(100,MAX(0,50-E175/E173*1000))</f>
        <v/>
      </c>
      <c r="F242" s="1185">
        <f>MIN(100,MAX(0,50-F175/F173*1000))</f>
        <v/>
      </c>
      <c r="G242" s="1185">
        <f>MIN(100,MAX(0,50-G175/G173*1000))</f>
        <v/>
      </c>
      <c r="H242" s="1185">
        <f>MIN(100,MAX(0,50-H175/H173*1000))</f>
        <v/>
      </c>
      <c r="I242" s="1185">
        <f>MIN(100,MAX(0,50-I175/I173*1000))</f>
        <v/>
      </c>
      <c r="J242" s="1185">
        <f>MIN(100,MAX(0,50-J175/J173*1000))</f>
        <v/>
      </c>
      <c r="K242" s="1169" t="n"/>
    </row>
    <row r="243" ht="14" customHeight="1" s="632">
      <c r="A243" s="1166" t="inlineStr">
        <is>
          <t>CYCLE SCORE - weighted</t>
        </is>
      </c>
      <c r="B243" s="1167" t="inlineStr">
        <is>
          <t>score 0-100</t>
        </is>
      </c>
      <c r="C243" s="1185">
        <f>SUMPRODUCT('Industry Cycle Model'!$B$19:$B$26,C235:C242)</f>
        <v/>
      </c>
      <c r="D243" s="1185">
        <f>SUMPRODUCT('Industry Cycle Model'!$B$19:$B$26,D235:D242)</f>
        <v/>
      </c>
      <c r="E243" s="1185">
        <f>SUMPRODUCT('Industry Cycle Model'!$B$19:$B$26,E235:E242)</f>
        <v/>
      </c>
      <c r="F243" s="1185">
        <f>SUMPRODUCT('Industry Cycle Model'!$B$19:$B$26,F235:F242)</f>
        <v/>
      </c>
      <c r="G243" s="1185">
        <f>SUMPRODUCT('Industry Cycle Model'!$B$19:$B$26,G235:G242)</f>
        <v/>
      </c>
      <c r="H243" s="1185">
        <f>SUMPRODUCT('Industry Cycle Model'!$B$19:$B$26,H235:H242)</f>
        <v/>
      </c>
      <c r="I243" s="1185">
        <f>SUMPRODUCT('Industry Cycle Model'!$B$19:$B$26,I235:I242)</f>
        <v/>
      </c>
      <c r="J243" s="1185">
        <f>SUMPRODUCT('Industry Cycle Model'!$B$19:$B$26,J235:J242)</f>
        <v/>
      </c>
      <c r="K243" s="1169" t="n"/>
    </row>
    <row r="244"/>
    <row r="245" ht="16" customHeight="1" s="632">
      <c r="A245" s="1164" t="inlineStr">
        <is>
          <t>BEAR CASE</t>
        </is>
      </c>
      <c r="B245" s="1165" t="n"/>
      <c r="C245" s="1165" t="n"/>
      <c r="D245" s="1165" t="n"/>
      <c r="E245" s="1165" t="n"/>
      <c r="F245" s="1165" t="n"/>
      <c r="G245" s="1165" t="n"/>
      <c r="H245" s="1165" t="n"/>
      <c r="I245" s="1165" t="n"/>
      <c r="J245" s="1165" t="n"/>
      <c r="K245" s="1165" t="n"/>
    </row>
    <row r="246" ht="14" customHeight="1" s="632">
      <c r="A246" s="1166" t="inlineStr">
        <is>
          <t>India real GDP growth</t>
        </is>
      </c>
      <c r="B246" s="1167" t="inlineStr">
        <is>
          <t>%</t>
        </is>
      </c>
      <c r="C246" s="1168">
        <f>'Macroeconomic Model'!$C$101</f>
        <v/>
      </c>
      <c r="D246" s="1168">
        <f>'Model Assumptions'!E$40</f>
        <v/>
      </c>
      <c r="E246" s="1168">
        <f>'Model Assumptions'!F$40</f>
        <v/>
      </c>
      <c r="F246" s="1168">
        <f>'Model Assumptions'!G$40</f>
        <v/>
      </c>
      <c r="G246" s="1168">
        <f>'Model Assumptions'!H$40</f>
        <v/>
      </c>
      <c r="H246" s="1168">
        <f>'Model Assumptions'!I$40</f>
        <v/>
      </c>
      <c r="I246" s="1168">
        <f>'Model Assumptions'!J$40</f>
        <v/>
      </c>
      <c r="J246" s="1168">
        <f>'Model Assumptions'!K$40</f>
        <v/>
      </c>
      <c r="K246" s="1169" t="n"/>
    </row>
    <row r="247" ht="14" customHeight="1" s="632">
      <c r="A247" s="1166" t="inlineStr">
        <is>
          <t>Steel demand elasticity to GDP</t>
        </is>
      </c>
      <c r="B247" s="1167" t="inlineStr">
        <is>
          <t>x</t>
        </is>
      </c>
      <c r="C247" s="1170">
        <f>'Steel Demand Model'!$C$114</f>
        <v/>
      </c>
      <c r="D247" s="1170">
        <f>'Model Assumptions'!E$44</f>
        <v/>
      </c>
      <c r="E247" s="1170">
        <f>'Model Assumptions'!F$44</f>
        <v/>
      </c>
      <c r="F247" s="1170">
        <f>'Model Assumptions'!G$44</f>
        <v/>
      </c>
      <c r="G247" s="1170">
        <f>'Model Assumptions'!H$44</f>
        <v/>
      </c>
      <c r="H247" s="1170">
        <f>'Model Assumptions'!I$44</f>
        <v/>
      </c>
      <c r="I247" s="1170">
        <f>'Model Assumptions'!J$44</f>
        <v/>
      </c>
      <c r="J247" s="1170">
        <f>'Model Assumptions'!K$44</f>
        <v/>
      </c>
      <c r="K247" s="1169" t="n"/>
    </row>
    <row r="248" ht="14" customHeight="1" s="632">
      <c r="A248" s="1166" t="inlineStr">
        <is>
          <t>Implied consumption growth</t>
        </is>
      </c>
      <c r="B248" s="1167" t="inlineStr">
        <is>
          <t>%</t>
        </is>
      </c>
      <c r="C248" s="1168">
        <f>'Steel Demand Model'!$C$115</f>
        <v/>
      </c>
      <c r="D248" s="1171">
        <f>D246*D247</f>
        <v/>
      </c>
      <c r="E248" s="1171">
        <f>E246*E247</f>
        <v/>
      </c>
      <c r="F248" s="1171">
        <f>F246*F247</f>
        <v/>
      </c>
      <c r="G248" s="1171">
        <f>G246*G247</f>
        <v/>
      </c>
      <c r="H248" s="1171">
        <f>H246*H247</f>
        <v/>
      </c>
      <c r="I248" s="1171">
        <f>I246*I247</f>
        <v/>
      </c>
      <c r="J248" s="1171">
        <f>J246*J247</f>
        <v/>
      </c>
      <c r="K248" s="1169" t="n"/>
    </row>
    <row r="249" ht="14" customHeight="1" s="632">
      <c r="A249" s="1166" t="inlineStr">
        <is>
          <t>Apparent finished steel consumption</t>
        </is>
      </c>
      <c r="B249" s="1167" t="inlineStr">
        <is>
          <t>Mt</t>
        </is>
      </c>
      <c r="C249" s="1172">
        <f>'Steel Demand Model'!$C$116</f>
        <v/>
      </c>
      <c r="D249" s="1173">
        <f>C249*(1+D248)</f>
        <v/>
      </c>
      <c r="E249" s="1173">
        <f>D249*(1+E248)</f>
        <v/>
      </c>
      <c r="F249" s="1173">
        <f>E249*(1+F248)</f>
        <v/>
      </c>
      <c r="G249" s="1173">
        <f>F249*(1+G248)</f>
        <v/>
      </c>
      <c r="H249" s="1173">
        <f>G249*(1+H248)</f>
        <v/>
      </c>
      <c r="I249" s="1173">
        <f>H249*(1+I248)</f>
        <v/>
      </c>
      <c r="J249" s="1173">
        <f>I249*(1+J248)</f>
        <v/>
      </c>
      <c r="K249" s="1171">
        <f>IFERROR(IF(AND(ISNUMBER(C249),ISNUMBER(J249),C249&gt;0),(J249/C249)^(1/7)-1,""),"")</f>
        <v/>
      </c>
    </row>
    <row r="250" ht="14" customHeight="1" s="632">
      <c r="A250" s="1166" t="inlineStr">
        <is>
          <t>Net finished steel exports</t>
        </is>
      </c>
      <c r="B250" s="1167" t="inlineStr">
        <is>
          <t>Mt</t>
        </is>
      </c>
      <c r="C250" s="1174">
        <f>'Steel Supply Model'!$C$90</f>
        <v/>
      </c>
      <c r="D250" s="1174">
        <f>'Model Assumptions'!E$64</f>
        <v/>
      </c>
      <c r="E250" s="1174">
        <f>'Model Assumptions'!F$64</f>
        <v/>
      </c>
      <c r="F250" s="1174">
        <f>'Model Assumptions'!G$64</f>
        <v/>
      </c>
      <c r="G250" s="1174">
        <f>'Model Assumptions'!H$64</f>
        <v/>
      </c>
      <c r="H250" s="1174">
        <f>'Model Assumptions'!I$64</f>
        <v/>
      </c>
      <c r="I250" s="1174">
        <f>'Model Assumptions'!J$64</f>
        <v/>
      </c>
      <c r="J250" s="1174">
        <f>'Model Assumptions'!K$64</f>
        <v/>
      </c>
      <c r="K250" s="1169" t="n"/>
    </row>
    <row r="251" ht="14" customHeight="1" s="632">
      <c r="A251" s="1166" t="inlineStr">
        <is>
          <t>Variation in stock</t>
        </is>
      </c>
      <c r="B251" s="1167" t="inlineStr">
        <is>
          <t>Mt</t>
        </is>
      </c>
      <c r="C251" s="1174">
        <f>'Steel Supply Model'!$C$91</f>
        <v/>
      </c>
      <c r="D251" s="1174">
        <f>'Model Assumptions'!E$68</f>
        <v/>
      </c>
      <c r="E251" s="1174">
        <f>'Model Assumptions'!F$68</f>
        <v/>
      </c>
      <c r="F251" s="1174">
        <f>'Model Assumptions'!G$68</f>
        <v/>
      </c>
      <c r="G251" s="1174">
        <f>'Model Assumptions'!H$68</f>
        <v/>
      </c>
      <c r="H251" s="1174">
        <f>'Model Assumptions'!I$68</f>
        <v/>
      </c>
      <c r="I251" s="1174">
        <f>'Model Assumptions'!J$68</f>
        <v/>
      </c>
      <c r="J251" s="1174">
        <f>'Model Assumptions'!K$68</f>
        <v/>
      </c>
      <c r="K251" s="1169" t="n"/>
    </row>
    <row r="252" ht="14" customHeight="1" s="632">
      <c r="A252" s="1166" t="inlineStr">
        <is>
          <t>Required finished steel production</t>
        </is>
      </c>
      <c r="B252" s="1167" t="inlineStr">
        <is>
          <t>Mt</t>
        </is>
      </c>
      <c r="C252" s="1173">
        <f>C249+C250+C251</f>
        <v/>
      </c>
      <c r="D252" s="1173">
        <f>D249+D250+D251</f>
        <v/>
      </c>
      <c r="E252" s="1173">
        <f>E249+E250+E251</f>
        <v/>
      </c>
      <c r="F252" s="1173">
        <f>F249+F250+F251</f>
        <v/>
      </c>
      <c r="G252" s="1173">
        <f>G249+G250+G251</f>
        <v/>
      </c>
      <c r="H252" s="1173">
        <f>H249+H250+H251</f>
        <v/>
      </c>
      <c r="I252" s="1173">
        <f>I249+I250+I251</f>
        <v/>
      </c>
      <c r="J252" s="1173">
        <f>J249+J250+J251</f>
        <v/>
      </c>
      <c r="K252" s="1171">
        <f>IFERROR(IF(AND(ISNUMBER(C252),ISNUMBER(J252),C252&gt;0),(J252/C252)^(1/7)-1,""),"")</f>
        <v/>
      </c>
    </row>
    <row r="253" ht="14" customHeight="1" s="632">
      <c r="A253" s="1166" t="inlineStr">
        <is>
          <t>Crude-to-finished steel ratio</t>
        </is>
      </c>
      <c r="B253" s="1167" t="inlineStr">
        <is>
          <t>x</t>
        </is>
      </c>
      <c r="C253" s="1175">
        <f>'Steel Supply Model'!$C$93</f>
        <v/>
      </c>
      <c r="D253" s="1175">
        <f>'Model Assumptions'!E$60</f>
        <v/>
      </c>
      <c r="E253" s="1175">
        <f>'Model Assumptions'!F$60</f>
        <v/>
      </c>
      <c r="F253" s="1175">
        <f>'Model Assumptions'!G$60</f>
        <v/>
      </c>
      <c r="G253" s="1175">
        <f>'Model Assumptions'!H$60</f>
        <v/>
      </c>
      <c r="H253" s="1175">
        <f>'Model Assumptions'!I$60</f>
        <v/>
      </c>
      <c r="I253" s="1175">
        <f>'Model Assumptions'!J$60</f>
        <v/>
      </c>
      <c r="J253" s="1175">
        <f>'Model Assumptions'!K$60</f>
        <v/>
      </c>
      <c r="K253" s="1169" t="n"/>
    </row>
    <row r="254" ht="14" customHeight="1" s="632">
      <c r="A254" s="1166" t="inlineStr">
        <is>
          <t>Unconstrained crude steel production</t>
        </is>
      </c>
      <c r="B254" s="1167" t="inlineStr">
        <is>
          <t>Mt</t>
        </is>
      </c>
      <c r="C254" s="1173">
        <f>C252*C253</f>
        <v/>
      </c>
      <c r="D254" s="1173">
        <f>D252*D253</f>
        <v/>
      </c>
      <c r="E254" s="1173">
        <f>E252*E253</f>
        <v/>
      </c>
      <c r="F254" s="1173">
        <f>F252*F253</f>
        <v/>
      </c>
      <c r="G254" s="1173">
        <f>G252*G253</f>
        <v/>
      </c>
      <c r="H254" s="1173">
        <f>H252*H253</f>
        <v/>
      </c>
      <c r="I254" s="1173">
        <f>I252*I253</f>
        <v/>
      </c>
      <c r="J254" s="1173">
        <f>J252*J253</f>
        <v/>
      </c>
      <c r="K254" s="1171">
        <f>IFERROR(IF(AND(ISNUMBER(C254),ISNUMBER(J254),C254&gt;0),(J254/C254)^(1/7)-1,""),"")</f>
        <v/>
      </c>
    </row>
    <row r="255" ht="14" customHeight="1" s="632">
      <c r="A255" s="1166" t="inlineStr">
        <is>
          <t>Gross announced capacity additions</t>
        </is>
      </c>
      <c r="B255" s="1167" t="inlineStr">
        <is>
          <t>Mtpa</t>
        </is>
      </c>
      <c r="C255" s="1176" t="n"/>
      <c r="D255" s="1173">
        <f>'Capacity Expansion Tracker'!E$99</f>
        <v/>
      </c>
      <c r="E255" s="1173">
        <f>'Capacity Expansion Tracker'!F$99</f>
        <v/>
      </c>
      <c r="F255" s="1173">
        <f>'Capacity Expansion Tracker'!G$99</f>
        <v/>
      </c>
      <c r="G255" s="1173">
        <f>'Capacity Expansion Tracker'!H$99</f>
        <v/>
      </c>
      <c r="H255" s="1173">
        <f>'Capacity Expansion Tracker'!I$99</f>
        <v/>
      </c>
      <c r="I255" s="1173">
        <f>'Capacity Expansion Tracker'!J$99</f>
        <v/>
      </c>
      <c r="J255" s="1173">
        <f>'Capacity Expansion Tracker'!K$99</f>
        <v/>
      </c>
      <c r="K255" s="1169" t="n"/>
    </row>
    <row r="256" ht="14" customHeight="1" s="632">
      <c r="A256" s="1166" t="inlineStr">
        <is>
          <t>Pipeline delivery factor</t>
        </is>
      </c>
      <c r="B256" s="1167" t="inlineStr">
        <is>
          <t>%</t>
        </is>
      </c>
      <c r="C256" s="1176" t="n"/>
      <c r="D256" s="1177">
        <f>'Model Assumptions'!E$56</f>
        <v/>
      </c>
      <c r="E256" s="1177">
        <f>'Model Assumptions'!F$56</f>
        <v/>
      </c>
      <c r="F256" s="1177">
        <f>'Model Assumptions'!G$56</f>
        <v/>
      </c>
      <c r="G256" s="1177">
        <f>'Model Assumptions'!H$56</f>
        <v/>
      </c>
      <c r="H256" s="1177">
        <f>'Model Assumptions'!I$56</f>
        <v/>
      </c>
      <c r="I256" s="1177">
        <f>'Model Assumptions'!J$56</f>
        <v/>
      </c>
      <c r="J256" s="1177">
        <f>'Model Assumptions'!K$56</f>
        <v/>
      </c>
      <c r="K256" s="1169" t="n"/>
    </row>
    <row r="257" ht="14" customHeight="1" s="632">
      <c r="A257" s="1166" t="inlineStr">
        <is>
          <t>Secondary and unattributed additions</t>
        </is>
      </c>
      <c r="B257" s="1167" t="inlineStr">
        <is>
          <t>Mtpa</t>
        </is>
      </c>
      <c r="C257" s="1172">
        <f>'Capacity Forecast'!$C$100</f>
        <v/>
      </c>
      <c r="D257" s="1172">
        <f>'Model Assumptions'!E$124</f>
        <v/>
      </c>
      <c r="E257" s="1172">
        <f>'Model Assumptions'!F$124</f>
        <v/>
      </c>
      <c r="F257" s="1172">
        <f>'Model Assumptions'!G$124</f>
        <v/>
      </c>
      <c r="G257" s="1172">
        <f>'Model Assumptions'!H$124</f>
        <v/>
      </c>
      <c r="H257" s="1172">
        <f>'Model Assumptions'!I$124</f>
        <v/>
      </c>
      <c r="I257" s="1172">
        <f>'Model Assumptions'!J$124</f>
        <v/>
      </c>
      <c r="J257" s="1172">
        <f>'Model Assumptions'!K$124</f>
        <v/>
      </c>
      <c r="K257" s="1171">
        <f>IFERROR(IF(AND(ISNUMBER(C257),ISNUMBER(J257),C257&gt;0),(J257/C257)^(1/7)-1,""),"")</f>
        <v/>
      </c>
    </row>
    <row r="258" ht="14" customHeight="1" s="632">
      <c r="A258" s="1166" t="inlineStr">
        <is>
          <t>Total capacity additions</t>
        </is>
      </c>
      <c r="B258" s="1167" t="inlineStr">
        <is>
          <t>Mtpa</t>
        </is>
      </c>
      <c r="C258" s="1172">
        <f>'Capacity Forecast'!$C$100</f>
        <v/>
      </c>
      <c r="D258" s="1173">
        <f>D255*D256+D257</f>
        <v/>
      </c>
      <c r="E258" s="1173">
        <f>E255*E256+E257</f>
        <v/>
      </c>
      <c r="F258" s="1173">
        <f>F255*F256+F257</f>
        <v/>
      </c>
      <c r="G258" s="1173">
        <f>G255*G256+G257</f>
        <v/>
      </c>
      <c r="H258" s="1173">
        <f>H255*H256+H257</f>
        <v/>
      </c>
      <c r="I258" s="1173">
        <f>I255*I256+I257</f>
        <v/>
      </c>
      <c r="J258" s="1173">
        <f>J255*J256+J257</f>
        <v/>
      </c>
      <c r="K258" s="1171">
        <f>IFERROR(IF(AND(ISNUMBER(C258),ISNUMBER(J258),C258&gt;0),(J258/C258)^(1/7)-1,""),"")</f>
        <v/>
      </c>
    </row>
    <row r="259" ht="14" customHeight="1" s="632">
      <c r="A259" s="1166" t="inlineStr">
        <is>
          <t>Closing crude steel capacity</t>
        </is>
      </c>
      <c r="B259" s="1167" t="inlineStr">
        <is>
          <t>Mtpa</t>
        </is>
      </c>
      <c r="C259" s="1172">
        <f>'Capacity Forecast'!$C$101</f>
        <v/>
      </c>
      <c r="D259" s="1173">
        <f>C259+D258</f>
        <v/>
      </c>
      <c r="E259" s="1173">
        <f>D259+E258</f>
        <v/>
      </c>
      <c r="F259" s="1173">
        <f>E259+F258</f>
        <v/>
      </c>
      <c r="G259" s="1173">
        <f>F259+G258</f>
        <v/>
      </c>
      <c r="H259" s="1173">
        <f>G259+H258</f>
        <v/>
      </c>
      <c r="I259" s="1173">
        <f>H259+I258</f>
        <v/>
      </c>
      <c r="J259" s="1173">
        <f>I259+J258</f>
        <v/>
      </c>
      <c r="K259" s="1171">
        <f>IFERROR(IF(AND(ISNUMBER(C259),ISNUMBER(J259),C259&gt;0),(J259/C259)^(1/7)-1,""),"")</f>
        <v/>
      </c>
    </row>
    <row r="260" ht="14" customHeight="1" s="632">
      <c r="A260" s="1166" t="inlineStr">
        <is>
          <t>Maximum practical utilisation</t>
        </is>
      </c>
      <c r="B260" s="1167" t="inlineStr">
        <is>
          <t>%</t>
        </is>
      </c>
      <c r="C260" s="1177">
        <f>'Model Assumptions'!$D$32</f>
        <v/>
      </c>
      <c r="D260" s="1177">
        <f>'Model Assumptions'!E$136</f>
        <v/>
      </c>
      <c r="E260" s="1177">
        <f>'Model Assumptions'!F$136</f>
        <v/>
      </c>
      <c r="F260" s="1177">
        <f>'Model Assumptions'!G$136</f>
        <v/>
      </c>
      <c r="G260" s="1177">
        <f>'Model Assumptions'!H$136</f>
        <v/>
      </c>
      <c r="H260" s="1177">
        <f>'Model Assumptions'!I$136</f>
        <v/>
      </c>
      <c r="I260" s="1177">
        <f>'Model Assumptions'!J$136</f>
        <v/>
      </c>
      <c r="J260" s="1177">
        <f>'Model Assumptions'!K$136</f>
        <v/>
      </c>
      <c r="K260" s="1169" t="n"/>
    </row>
    <row r="261" ht="14" customHeight="1" s="632">
      <c r="A261" s="1166" t="inlineStr">
        <is>
          <t>Maximum crude steel production</t>
        </is>
      </c>
      <c r="B261" s="1167" t="inlineStr">
        <is>
          <t>Mt</t>
        </is>
      </c>
      <c r="C261" s="1173">
        <f>C259*C260</f>
        <v/>
      </c>
      <c r="D261" s="1173">
        <f>D259*D260</f>
        <v/>
      </c>
      <c r="E261" s="1173">
        <f>E259*E260</f>
        <v/>
      </c>
      <c r="F261" s="1173">
        <f>F259*F260</f>
        <v/>
      </c>
      <c r="G261" s="1173">
        <f>G259*G260</f>
        <v/>
      </c>
      <c r="H261" s="1173">
        <f>H259*H260</f>
        <v/>
      </c>
      <c r="I261" s="1173">
        <f>I259*I260</f>
        <v/>
      </c>
      <c r="J261" s="1173">
        <f>J259*J260</f>
        <v/>
      </c>
      <c r="K261" s="1171">
        <f>IFERROR(IF(AND(ISNUMBER(C261),ISNUMBER(J261),C261&gt;0),(J261/C261)^(1/7)-1,""),"")</f>
        <v/>
      </c>
    </row>
    <row r="262" ht="14" customHeight="1" s="632">
      <c r="A262" s="1166" t="inlineStr">
        <is>
          <t>Crude steel production</t>
        </is>
      </c>
      <c r="B262" s="1167" t="inlineStr">
        <is>
          <t>Mt</t>
        </is>
      </c>
      <c r="C262" s="1172">
        <f>'Steel Supply Model'!$C$99</f>
        <v/>
      </c>
      <c r="D262" s="1173">
        <f>MIN(D254,D261)</f>
        <v/>
      </c>
      <c r="E262" s="1173">
        <f>MIN(E254,E261)</f>
        <v/>
      </c>
      <c r="F262" s="1173">
        <f>MIN(F254,F261)</f>
        <v/>
      </c>
      <c r="G262" s="1173">
        <f>MIN(G254,G261)</f>
        <v/>
      </c>
      <c r="H262" s="1173">
        <f>MIN(H254,H261)</f>
        <v/>
      </c>
      <c r="I262" s="1173">
        <f>MIN(I254,I261)</f>
        <v/>
      </c>
      <c r="J262" s="1173">
        <f>MIN(J254,J261)</f>
        <v/>
      </c>
      <c r="K262" s="1171">
        <f>IFERROR(IF(AND(ISNUMBER(C262),ISNUMBER(J262),C262&gt;0),(J262/C262)^(1/7)-1,""),"")</f>
        <v/>
      </c>
    </row>
    <row r="263" ht="14" customHeight="1" s="632">
      <c r="A263" s="1166" t="inlineStr">
        <is>
          <t>Capacity utilisation</t>
        </is>
      </c>
      <c r="B263" s="1167" t="inlineStr">
        <is>
          <t>%</t>
        </is>
      </c>
      <c r="C263" s="1171">
        <f>C262/C259</f>
        <v/>
      </c>
      <c r="D263" s="1171">
        <f>D262/D259</f>
        <v/>
      </c>
      <c r="E263" s="1171">
        <f>E262/E259</f>
        <v/>
      </c>
      <c r="F263" s="1171">
        <f>F262/F259</f>
        <v/>
      </c>
      <c r="G263" s="1171">
        <f>G262/G259</f>
        <v/>
      </c>
      <c r="H263" s="1171">
        <f>H262/H259</f>
        <v/>
      </c>
      <c r="I263" s="1171">
        <f>I262/I259</f>
        <v/>
      </c>
      <c r="J263" s="1171">
        <f>J262/J259</f>
        <v/>
      </c>
      <c r="K263" s="1169" t="n"/>
    </row>
    <row r="264" ht="14" customHeight="1" s="632">
      <c r="A264" s="1166" t="inlineStr">
        <is>
          <t>Finished steel production</t>
        </is>
      </c>
      <c r="B264" s="1167" t="inlineStr">
        <is>
          <t>Mt</t>
        </is>
      </c>
      <c r="C264" s="1172">
        <f>'Steel Supply Model'!$C$101</f>
        <v/>
      </c>
      <c r="D264" s="1173">
        <f>D262/D253</f>
        <v/>
      </c>
      <c r="E264" s="1173">
        <f>E262/E253</f>
        <v/>
      </c>
      <c r="F264" s="1173">
        <f>F262/F253</f>
        <v/>
      </c>
      <c r="G264" s="1173">
        <f>G262/G253</f>
        <v/>
      </c>
      <c r="H264" s="1173">
        <f>H262/H253</f>
        <v/>
      </c>
      <c r="I264" s="1173">
        <f>I262/I253</f>
        <v/>
      </c>
      <c r="J264" s="1173">
        <f>J262/J253</f>
        <v/>
      </c>
      <c r="K264" s="1171">
        <f>IFERROR(IF(AND(ISNUMBER(C264),ISNUMBER(J264),C264&gt;0),(J264/C264)^(1/7)-1,""),"")</f>
        <v/>
      </c>
    </row>
    <row r="265" ht="14" customHeight="1" s="632">
      <c r="A265" s="1166" t="inlineStr">
        <is>
          <t>Blended realisation - scenario driver</t>
        </is>
      </c>
      <c r="B265" s="1167" t="inlineStr">
        <is>
          <t>Rs/t</t>
        </is>
      </c>
      <c r="C265" s="1178">
        <f>'Steel Price Forecast'!$C$97</f>
        <v/>
      </c>
      <c r="D265" s="1178">
        <f>'Model Assumptions'!E$72</f>
        <v/>
      </c>
      <c r="E265" s="1178">
        <f>'Model Assumptions'!F$72</f>
        <v/>
      </c>
      <c r="F265" s="1178">
        <f>'Model Assumptions'!G$72</f>
        <v/>
      </c>
      <c r="G265" s="1178">
        <f>'Model Assumptions'!H$72</f>
        <v/>
      </c>
      <c r="H265" s="1178">
        <f>'Model Assumptions'!I$72</f>
        <v/>
      </c>
      <c r="I265" s="1178">
        <f>'Model Assumptions'!J$72</f>
        <v/>
      </c>
      <c r="J265" s="1178">
        <f>'Model Assumptions'!K$72</f>
        <v/>
      </c>
      <c r="K265" s="1171">
        <f>IFERROR(IF(AND(ISNUMBER(C265),ISNUMBER(J265),C265&gt;0),(J265/C265)^(1/7)-1,""),"")</f>
        <v/>
      </c>
    </row>
    <row r="266" ht="14" customHeight="1" s="632">
      <c r="A266" s="1166" t="inlineStr">
        <is>
          <t>Normal capacity utilisation</t>
        </is>
      </c>
      <c r="B266" s="1167" t="inlineStr">
        <is>
          <t>%</t>
        </is>
      </c>
      <c r="C266" s="1177">
        <f>'Model Assumptions'!$D$31</f>
        <v/>
      </c>
      <c r="D266" s="1177">
        <f>'Model Assumptions'!E$132</f>
        <v/>
      </c>
      <c r="E266" s="1177">
        <f>'Model Assumptions'!F$132</f>
        <v/>
      </c>
      <c r="F266" s="1177">
        <f>'Model Assumptions'!G$132</f>
        <v/>
      </c>
      <c r="G266" s="1177">
        <f>'Model Assumptions'!H$132</f>
        <v/>
      </c>
      <c r="H266" s="1177">
        <f>'Model Assumptions'!I$132</f>
        <v/>
      </c>
      <c r="I266" s="1177">
        <f>'Model Assumptions'!J$132</f>
        <v/>
      </c>
      <c r="J266" s="1177">
        <f>'Model Assumptions'!K$132</f>
        <v/>
      </c>
      <c r="K266" s="1169" t="n"/>
    </row>
    <row r="267" ht="14" customHeight="1" s="632">
      <c r="A267" s="1166" t="inlineStr">
        <is>
          <t>Price sensitivity to utilisation</t>
        </is>
      </c>
      <c r="B267" s="1167" t="inlineStr">
        <is>
          <t>x</t>
        </is>
      </c>
      <c r="C267" s="1170">
        <f>'Model Assumptions'!$D$30</f>
        <v/>
      </c>
      <c r="D267" s="1170">
        <f>'Model Assumptions'!E$128</f>
        <v/>
      </c>
      <c r="E267" s="1170">
        <f>'Model Assumptions'!F$128</f>
        <v/>
      </c>
      <c r="F267" s="1170">
        <f>'Model Assumptions'!G$128</f>
        <v/>
      </c>
      <c r="G267" s="1170">
        <f>'Model Assumptions'!H$128</f>
        <v/>
      </c>
      <c r="H267" s="1170">
        <f>'Model Assumptions'!I$128</f>
        <v/>
      </c>
      <c r="I267" s="1170">
        <f>'Model Assumptions'!J$128</f>
        <v/>
      </c>
      <c r="J267" s="1170">
        <f>'Model Assumptions'!K$128</f>
        <v/>
      </c>
      <c r="K267" s="1169" t="n"/>
    </row>
    <row r="268" ht="14" customHeight="1" s="632">
      <c r="A268" s="1166" t="inlineStr">
        <is>
          <t>Price adjustment factor (lagged one year)</t>
        </is>
      </c>
      <c r="B268" s="1167" t="inlineStr">
        <is>
          <t>x</t>
        </is>
      </c>
      <c r="C268" s="1179">
        <f>1</f>
        <v/>
      </c>
      <c r="D268" s="1180">
        <f>1+D267*(C263-D266)</f>
        <v/>
      </c>
      <c r="E268" s="1180">
        <f>1+E267*(D263-E266)</f>
        <v/>
      </c>
      <c r="F268" s="1180">
        <f>1+F267*(E263-F266)</f>
        <v/>
      </c>
      <c r="G268" s="1180">
        <f>1+G267*(F263-G266)</f>
        <v/>
      </c>
      <c r="H268" s="1180">
        <f>1+H267*(G263-H266)</f>
        <v/>
      </c>
      <c r="I268" s="1180">
        <f>1+I267*(H263-I266)</f>
        <v/>
      </c>
      <c r="J268" s="1180">
        <f>1+J267*(I263-J266)</f>
        <v/>
      </c>
      <c r="K268" s="1169" t="n"/>
    </row>
    <row r="269" ht="14" customHeight="1" s="632">
      <c r="A269" s="1166" t="inlineStr">
        <is>
          <t>Blended realisation - effective</t>
        </is>
      </c>
      <c r="B269" s="1167" t="inlineStr">
        <is>
          <t>Rs/t</t>
        </is>
      </c>
      <c r="C269" s="1178">
        <f>'Steel Price Forecast'!$C$103</f>
        <v/>
      </c>
      <c r="D269" s="1181">
        <f>D265*D268</f>
        <v/>
      </c>
      <c r="E269" s="1181">
        <f>E265*E268</f>
        <v/>
      </c>
      <c r="F269" s="1181">
        <f>F265*F268</f>
        <v/>
      </c>
      <c r="G269" s="1181">
        <f>G265*G268</f>
        <v/>
      </c>
      <c r="H269" s="1181">
        <f>H265*H268</f>
        <v/>
      </c>
      <c r="I269" s="1181">
        <f>I265*I268</f>
        <v/>
      </c>
      <c r="J269" s="1181">
        <f>J265*J268</f>
        <v/>
      </c>
      <c r="K269" s="1171">
        <f>IFERROR(IF(AND(ISNUMBER(C269),ISNUMBER(J269),C269&gt;0),(J269/C269)^(1/7)-1,""),"")</f>
        <v/>
      </c>
    </row>
    <row r="270" ht="14" customHeight="1" s="632">
      <c r="A270" s="1166" t="inlineStr">
        <is>
          <t>Iron ore 62% Fe CFR China</t>
        </is>
      </c>
      <c r="B270" s="1167" t="inlineStr">
        <is>
          <t>US$/dmt</t>
        </is>
      </c>
      <c r="C270" s="1172">
        <f>'Raw Material Forecast'!$C$85</f>
        <v/>
      </c>
      <c r="D270" s="1172">
        <f>'Model Assumptions'!E$76</f>
        <v/>
      </c>
      <c r="E270" s="1172">
        <f>'Model Assumptions'!F$76</f>
        <v/>
      </c>
      <c r="F270" s="1172">
        <f>'Model Assumptions'!G$76</f>
        <v/>
      </c>
      <c r="G270" s="1172">
        <f>'Model Assumptions'!H$76</f>
        <v/>
      </c>
      <c r="H270" s="1172">
        <f>'Model Assumptions'!I$76</f>
        <v/>
      </c>
      <c r="I270" s="1172">
        <f>'Model Assumptions'!J$76</f>
        <v/>
      </c>
      <c r="J270" s="1172">
        <f>'Model Assumptions'!K$76</f>
        <v/>
      </c>
      <c r="K270" s="1171">
        <f>IFERROR(IF(AND(ISNUMBER(C270),ISNUMBER(J270),C270&gt;0),(J270/C270)^(1/7)-1,""),"")</f>
        <v/>
      </c>
    </row>
    <row r="271" ht="14" customHeight="1" s="632">
      <c r="A271" s="1166" t="inlineStr">
        <is>
          <t>Premium HCC coking coal FOB Australia</t>
        </is>
      </c>
      <c r="B271" s="1167" t="inlineStr">
        <is>
          <t>US$/t</t>
        </is>
      </c>
      <c r="C271" s="1178">
        <f>'Raw Material Forecast'!$C$86</f>
        <v/>
      </c>
      <c r="D271" s="1178">
        <f>'Model Assumptions'!E$80</f>
        <v/>
      </c>
      <c r="E271" s="1178">
        <f>'Model Assumptions'!F$80</f>
        <v/>
      </c>
      <c r="F271" s="1178">
        <f>'Model Assumptions'!G$80</f>
        <v/>
      </c>
      <c r="G271" s="1178">
        <f>'Model Assumptions'!H$80</f>
        <v/>
      </c>
      <c r="H271" s="1178">
        <f>'Model Assumptions'!I$80</f>
        <v/>
      </c>
      <c r="I271" s="1178">
        <f>'Model Assumptions'!J$80</f>
        <v/>
      </c>
      <c r="J271" s="1178">
        <f>'Model Assumptions'!K$80</f>
        <v/>
      </c>
      <c r="K271" s="1171">
        <f>IFERROR(IF(AND(ISNUMBER(C271),ISNUMBER(J271),C271&gt;0),(J271/C271)^(1/7)-1,""),"")</f>
        <v/>
      </c>
    </row>
    <row r="272" ht="14" customHeight="1" s="632">
      <c r="A272" s="1166" t="inlineStr">
        <is>
          <t>USD/INR</t>
        </is>
      </c>
      <c r="B272" s="1167" t="inlineStr">
        <is>
          <t>Rs/US$</t>
        </is>
      </c>
      <c r="C272" s="1172">
        <f>'Raw Material Forecast'!$C$87</f>
        <v/>
      </c>
      <c r="D272" s="1172">
        <f>'Model Assumptions'!E$48</f>
        <v/>
      </c>
      <c r="E272" s="1172">
        <f>'Model Assumptions'!F$48</f>
        <v/>
      </c>
      <c r="F272" s="1172">
        <f>'Model Assumptions'!G$48</f>
        <v/>
      </c>
      <c r="G272" s="1172">
        <f>'Model Assumptions'!H$48</f>
        <v/>
      </c>
      <c r="H272" s="1172">
        <f>'Model Assumptions'!I$48</f>
        <v/>
      </c>
      <c r="I272" s="1172">
        <f>'Model Assumptions'!J$48</f>
        <v/>
      </c>
      <c r="J272" s="1172">
        <f>'Model Assumptions'!K$48</f>
        <v/>
      </c>
      <c r="K272" s="1171">
        <f>IFERROR(IF(AND(ISNUMBER(C272),ISNUMBER(J272),C272&gt;0),(J272/C272)^(1/7)-1,""),"")</f>
        <v/>
      </c>
    </row>
    <row r="273" ht="14" customHeight="1" s="632">
      <c r="A273" s="1166" t="inlineStr">
        <is>
          <t>Iron ore in rupees</t>
        </is>
      </c>
      <c r="B273" s="1167" t="inlineStr">
        <is>
          <t>Rs/dmt</t>
        </is>
      </c>
      <c r="C273" s="1178">
        <f>'Raw Material Forecast'!$C$89</f>
        <v/>
      </c>
      <c r="D273" s="1181">
        <f>D270*D272</f>
        <v/>
      </c>
      <c r="E273" s="1181">
        <f>E270*E272</f>
        <v/>
      </c>
      <c r="F273" s="1181">
        <f>F270*F272</f>
        <v/>
      </c>
      <c r="G273" s="1181">
        <f>G270*G272</f>
        <v/>
      </c>
      <c r="H273" s="1181">
        <f>H270*H272</f>
        <v/>
      </c>
      <c r="I273" s="1181">
        <f>I270*I272</f>
        <v/>
      </c>
      <c r="J273" s="1181">
        <f>J270*J272</f>
        <v/>
      </c>
      <c r="K273" s="1171">
        <f>IFERROR(IF(AND(ISNUMBER(C273),ISNUMBER(J273),C273&gt;0),(J273/C273)^(1/7)-1,""),"")</f>
        <v/>
      </c>
    </row>
    <row r="274" ht="14" customHeight="1" s="632">
      <c r="A274" s="1166" t="inlineStr">
        <is>
          <t>Coking coal in rupees</t>
        </is>
      </c>
      <c r="B274" s="1167" t="inlineStr">
        <is>
          <t>Rs/t</t>
        </is>
      </c>
      <c r="C274" s="1178">
        <f>'Raw Material Forecast'!$C$90</f>
        <v/>
      </c>
      <c r="D274" s="1181">
        <f>D271*D272</f>
        <v/>
      </c>
      <c r="E274" s="1181">
        <f>E271*E272</f>
        <v/>
      </c>
      <c r="F274" s="1181">
        <f>F271*F272</f>
        <v/>
      </c>
      <c r="G274" s="1181">
        <f>G271*G272</f>
        <v/>
      </c>
      <c r="H274" s="1181">
        <f>H271*H272</f>
        <v/>
      </c>
      <c r="I274" s="1181">
        <f>I271*I272</f>
        <v/>
      </c>
      <c r="J274" s="1181">
        <f>J271*J272</f>
        <v/>
      </c>
      <c r="K274" s="1171">
        <f>IFERROR(IF(AND(ISNUMBER(C274),ISNUMBER(J274),C274&gt;0),(J274/C274)^(1/7)-1,""),"")</f>
        <v/>
      </c>
    </row>
    <row r="275" ht="14" customHeight="1" s="632">
      <c r="A275" s="1166" t="inlineStr">
        <is>
          <t>Conversion cost inflation</t>
        </is>
      </c>
      <c r="B275" s="1167" t="inlineStr">
        <is>
          <t>%</t>
        </is>
      </c>
      <c r="C275" s="1176" t="n"/>
      <c r="D275" s="1168">
        <f>'Model Assumptions'!E$84</f>
        <v/>
      </c>
      <c r="E275" s="1168">
        <f>'Model Assumptions'!F$84</f>
        <v/>
      </c>
      <c r="F275" s="1168">
        <f>'Model Assumptions'!G$84</f>
        <v/>
      </c>
      <c r="G275" s="1168">
        <f>'Model Assumptions'!H$84</f>
        <v/>
      </c>
      <c r="H275" s="1168">
        <f>'Model Assumptions'!I$84</f>
        <v/>
      </c>
      <c r="I275" s="1168">
        <f>'Model Assumptions'!J$84</f>
        <v/>
      </c>
      <c r="J275" s="1168">
        <f>'Model Assumptions'!K$84</f>
        <v/>
      </c>
      <c r="K275" s="1169" t="n"/>
    </row>
    <row r="276" ht="14" customHeight="1" s="632">
      <c r="A276" s="1166" t="inlineStr">
        <is>
          <t>Conversion cost index</t>
        </is>
      </c>
      <c r="B276" s="1167" t="inlineStr">
        <is>
          <t>x</t>
        </is>
      </c>
      <c r="C276" s="1179">
        <f>1</f>
        <v/>
      </c>
      <c r="D276" s="1180">
        <f>C276*(1+D275)</f>
        <v/>
      </c>
      <c r="E276" s="1180">
        <f>D276*(1+E275)</f>
        <v/>
      </c>
      <c r="F276" s="1180">
        <f>E276*(1+F275)</f>
        <v/>
      </c>
      <c r="G276" s="1180">
        <f>F276*(1+G275)</f>
        <v/>
      </c>
      <c r="H276" s="1180">
        <f>G276*(1+H275)</f>
        <v/>
      </c>
      <c r="I276" s="1180">
        <f>H276*(1+I275)</f>
        <v/>
      </c>
      <c r="J276" s="1180">
        <f>I276*(1+J275)</f>
        <v/>
      </c>
      <c r="K276" s="1169" t="n"/>
    </row>
    <row r="277" ht="14" customHeight="1" s="632">
      <c r="A277" s="1166" t="inlineStr">
        <is>
          <t>Iron ore weight in the raw material basket</t>
        </is>
      </c>
      <c r="B277" s="1167" t="inlineStr">
        <is>
          <t>%</t>
        </is>
      </c>
      <c r="C277" s="1177">
        <f>'Model Assumptions'!$D$21</f>
        <v/>
      </c>
      <c r="D277" s="1177">
        <f>'Model Assumptions'!E$92</f>
        <v/>
      </c>
      <c r="E277" s="1177">
        <f>'Model Assumptions'!F$92</f>
        <v/>
      </c>
      <c r="F277" s="1177">
        <f>'Model Assumptions'!G$92</f>
        <v/>
      </c>
      <c r="G277" s="1177">
        <f>'Model Assumptions'!H$92</f>
        <v/>
      </c>
      <c r="H277" s="1177">
        <f>'Model Assumptions'!I$92</f>
        <v/>
      </c>
      <c r="I277" s="1177">
        <f>'Model Assumptions'!J$92</f>
        <v/>
      </c>
      <c r="J277" s="1177">
        <f>'Model Assumptions'!K$92</f>
        <v/>
      </c>
      <c r="K277" s="1169" t="n"/>
    </row>
    <row r="278" ht="14" customHeight="1" s="632">
      <c r="A278" s="1166" t="inlineStr">
        <is>
          <t>Raw material cost index</t>
        </is>
      </c>
      <c r="B278" s="1167" t="inlineStr">
        <is>
          <t>x</t>
        </is>
      </c>
      <c r="C278" s="1179">
        <f>1</f>
        <v/>
      </c>
      <c r="D278" s="1180">
        <f>D277*(D273/$C$273)+D277*(D274/$C$274)+(1-2*D277)*D276</f>
        <v/>
      </c>
      <c r="E278" s="1180">
        <f>E277*(E273/$C$273)+E277*(E274/$C$274)+(1-2*E277)*E276</f>
        <v/>
      </c>
      <c r="F278" s="1180">
        <f>F277*(F273/$C$273)+F277*(F274/$C$274)+(1-2*F277)*F276</f>
        <v/>
      </c>
      <c r="G278" s="1180">
        <f>G277*(G273/$C$273)+G277*(G274/$C$274)+(1-2*G277)*G276</f>
        <v/>
      </c>
      <c r="H278" s="1180">
        <f>H277*(H273/$C$273)+H277*(H274/$C$274)+(1-2*H277)*H276</f>
        <v/>
      </c>
      <c r="I278" s="1180">
        <f>I277*(I273/$C$273)+I277*(I274/$C$274)+(1-2*I277)*I276</f>
        <v/>
      </c>
      <c r="J278" s="1180">
        <f>J277*(J273/$C$273)+J277*(J274/$C$274)+(1-2*J277)*J276</f>
        <v/>
      </c>
      <c r="K278" s="1169" t="n"/>
    </row>
    <row r="279" ht="14" customHeight="1" s="632">
      <c r="A279" s="1166" t="inlineStr">
        <is>
          <t>Raw material share of cash cost</t>
        </is>
      </c>
      <c r="B279" s="1167" t="inlineStr">
        <is>
          <t>%</t>
        </is>
      </c>
      <c r="C279" s="1177">
        <f>'Model Assumptions'!$D$20</f>
        <v/>
      </c>
      <c r="D279" s="1177">
        <f>'Model Assumptions'!E$88</f>
        <v/>
      </c>
      <c r="E279" s="1177">
        <f>'Model Assumptions'!F$88</f>
        <v/>
      </c>
      <c r="F279" s="1177">
        <f>'Model Assumptions'!G$88</f>
        <v/>
      </c>
      <c r="G279" s="1177">
        <f>'Model Assumptions'!H$88</f>
        <v/>
      </c>
      <c r="H279" s="1177">
        <f>'Model Assumptions'!I$88</f>
        <v/>
      </c>
      <c r="I279" s="1177">
        <f>'Model Assumptions'!J$88</f>
        <v/>
      </c>
      <c r="J279" s="1177">
        <f>'Model Assumptions'!K$88</f>
        <v/>
      </c>
      <c r="K279" s="1169" t="n"/>
    </row>
    <row r="280" ht="14" customHeight="1" s="632">
      <c r="A280" s="1166" t="inlineStr">
        <is>
          <t>Industry cash cost per tonne</t>
        </is>
      </c>
      <c r="B280" s="1167" t="inlineStr">
        <is>
          <t>Rs/t</t>
        </is>
      </c>
      <c r="C280" s="1178">
        <f>'Cost Curve'!$C$80</f>
        <v/>
      </c>
      <c r="D280" s="1181">
        <f>$C$280*(D279*D278+(1-D279)*D276)</f>
        <v/>
      </c>
      <c r="E280" s="1181">
        <f>$C$280*(E279*E278+(1-E279)*E276)</f>
        <v/>
      </c>
      <c r="F280" s="1181">
        <f>$C$280*(F279*F278+(1-F279)*F276)</f>
        <v/>
      </c>
      <c r="G280" s="1181">
        <f>$C$280*(G279*G278+(1-G279)*G276)</f>
        <v/>
      </c>
      <c r="H280" s="1181">
        <f>$C$280*(H279*H278+(1-H279)*H276)</f>
        <v/>
      </c>
      <c r="I280" s="1181">
        <f>$C$280*(I279*I278+(1-I279)*I276)</f>
        <v/>
      </c>
      <c r="J280" s="1181">
        <f>$C$280*(J279*J278+(1-J279)*J276)</f>
        <v/>
      </c>
      <c r="K280" s="1171">
        <f>IFERROR(IF(AND(ISNUMBER(C280),ISNUMBER(J280),C280&gt;0),(J280/C280)^(1/7)-1,""),"")</f>
        <v/>
      </c>
    </row>
    <row r="281" ht="14" customHeight="1" s="632">
      <c r="A281" s="1166" t="inlineStr">
        <is>
          <t>Industry EBITDA per tonne</t>
        </is>
      </c>
      <c r="B281" s="1167" t="inlineStr">
        <is>
          <t>Rs/t</t>
        </is>
      </c>
      <c r="C281" s="1181">
        <f>C269-C280</f>
        <v/>
      </c>
      <c r="D281" s="1181">
        <f>D269-D280</f>
        <v/>
      </c>
      <c r="E281" s="1181">
        <f>E269-E280</f>
        <v/>
      </c>
      <c r="F281" s="1181">
        <f>F269-F280</f>
        <v/>
      </c>
      <c r="G281" s="1181">
        <f>G269-G280</f>
        <v/>
      </c>
      <c r="H281" s="1181">
        <f>H269-H280</f>
        <v/>
      </c>
      <c r="I281" s="1181">
        <f>I269-I280</f>
        <v/>
      </c>
      <c r="J281" s="1181">
        <f>J269-J280</f>
        <v/>
      </c>
      <c r="K281" s="1171">
        <f>IFERROR(IF(AND(ISNUMBER(C281),ISNUMBER(J281),C281&gt;0),(J281/C281)^(1/7)-1,""),"")</f>
        <v/>
      </c>
    </row>
    <row r="282" ht="14" customHeight="1" s="632">
      <c r="A282" s="1166" t="inlineStr">
        <is>
          <t>Industry revenue</t>
        </is>
      </c>
      <c r="B282" s="1167" t="inlineStr">
        <is>
          <t>Rs cr</t>
        </is>
      </c>
      <c r="C282" s="1178">
        <f>'Revenue Forecast'!$C$96</f>
        <v/>
      </c>
      <c r="D282" s="1181">
        <f>D264*D269/10</f>
        <v/>
      </c>
      <c r="E282" s="1181">
        <f>E264*E269/10</f>
        <v/>
      </c>
      <c r="F282" s="1181">
        <f>F264*F269/10</f>
        <v/>
      </c>
      <c r="G282" s="1181">
        <f>G264*G269/10</f>
        <v/>
      </c>
      <c r="H282" s="1181">
        <f>H264*H269/10</f>
        <v/>
      </c>
      <c r="I282" s="1181">
        <f>I264*I269/10</f>
        <v/>
      </c>
      <c r="J282" s="1181">
        <f>J264*J269/10</f>
        <v/>
      </c>
      <c r="K282" s="1171">
        <f>IFERROR(IF(AND(ISNUMBER(C282),ISNUMBER(J282),C282&gt;0),(J282/C282)^(1/7)-1,""),"")</f>
        <v/>
      </c>
    </row>
    <row r="283" ht="14" customHeight="1" s="632">
      <c r="A283" s="1166" t="inlineStr">
        <is>
          <t>Industry EBITDA</t>
        </is>
      </c>
      <c r="B283" s="1167" t="inlineStr">
        <is>
          <t>Rs cr</t>
        </is>
      </c>
      <c r="C283" s="1181">
        <f>C264*C281/10</f>
        <v/>
      </c>
      <c r="D283" s="1181">
        <f>D264*D281/10</f>
        <v/>
      </c>
      <c r="E283" s="1181">
        <f>E264*E281/10</f>
        <v/>
      </c>
      <c r="F283" s="1181">
        <f>F264*F281/10</f>
        <v/>
      </c>
      <c r="G283" s="1181">
        <f>G264*G281/10</f>
        <v/>
      </c>
      <c r="H283" s="1181">
        <f>H264*H281/10</f>
        <v/>
      </c>
      <c r="I283" s="1181">
        <f>I264*I281/10</f>
        <v/>
      </c>
      <c r="J283" s="1181">
        <f>J264*J281/10</f>
        <v/>
      </c>
      <c r="K283" s="1171">
        <f>IFERROR(IF(AND(ISNUMBER(C283),ISNUMBER(J283),C283&gt;0),(J283/C283)^(1/7)-1,""),"")</f>
        <v/>
      </c>
    </row>
    <row r="284" ht="14" customHeight="1" s="632">
      <c r="A284" s="1166" t="inlineStr">
        <is>
          <t>Industry EBITDA margin</t>
        </is>
      </c>
      <c r="B284" s="1167" t="inlineStr">
        <is>
          <t>%</t>
        </is>
      </c>
      <c r="C284" s="1171">
        <f>C281/C269</f>
        <v/>
      </c>
      <c r="D284" s="1171">
        <f>D281/D269</f>
        <v/>
      </c>
      <c r="E284" s="1171">
        <f>E281/E269</f>
        <v/>
      </c>
      <c r="F284" s="1171">
        <f>F281/F269</f>
        <v/>
      </c>
      <c r="G284" s="1171">
        <f>G281/G269</f>
        <v/>
      </c>
      <c r="H284" s="1171">
        <f>H281/H269</f>
        <v/>
      </c>
      <c r="I284" s="1171">
        <f>I281/I269</f>
        <v/>
      </c>
      <c r="J284" s="1171">
        <f>J281/J269</f>
        <v/>
      </c>
      <c r="K284" s="1169" t="n"/>
    </row>
    <row r="285" ht="14" customHeight="1" s="632">
      <c r="A285" s="1166" t="inlineStr">
        <is>
          <t>Depreciation and amortisation</t>
        </is>
      </c>
      <c r="B285" s="1167" t="inlineStr">
        <is>
          <t>% of revenue</t>
        </is>
      </c>
      <c r="C285" s="1182">
        <f>'Cash Flow Model'!$C$98</f>
        <v/>
      </c>
      <c r="D285" s="1182">
        <f>'Model Assumptions'!E$140</f>
        <v/>
      </c>
      <c r="E285" s="1182">
        <f>'Model Assumptions'!F$140</f>
        <v/>
      </c>
      <c r="F285" s="1182">
        <f>'Model Assumptions'!G$140</f>
        <v/>
      </c>
      <c r="G285" s="1182">
        <f>'Model Assumptions'!H$140</f>
        <v/>
      </c>
      <c r="H285" s="1182">
        <f>'Model Assumptions'!I$140</f>
        <v/>
      </c>
      <c r="I285" s="1182">
        <f>'Model Assumptions'!J$140</f>
        <v/>
      </c>
      <c r="J285" s="1182">
        <f>'Model Assumptions'!K$140</f>
        <v/>
      </c>
      <c r="K285" s="1169" t="n"/>
    </row>
    <row r="286" ht="14" customHeight="1" s="632">
      <c r="A286" s="1166" t="inlineStr">
        <is>
          <t>Depreciation and amortisation</t>
        </is>
      </c>
      <c r="B286" s="1167" t="inlineStr">
        <is>
          <t>Rs cr</t>
        </is>
      </c>
      <c r="C286" s="1181">
        <f>C282*C285</f>
        <v/>
      </c>
      <c r="D286" s="1181">
        <f>D282*D285</f>
        <v/>
      </c>
      <c r="E286" s="1181">
        <f>E282*E285</f>
        <v/>
      </c>
      <c r="F286" s="1181">
        <f>F282*F285</f>
        <v/>
      </c>
      <c r="G286" s="1181">
        <f>G282*G285</f>
        <v/>
      </c>
      <c r="H286" s="1181">
        <f>H282*H285</f>
        <v/>
      </c>
      <c r="I286" s="1181">
        <f>I282*I285</f>
        <v/>
      </c>
      <c r="J286" s="1181">
        <f>J282*J285</f>
        <v/>
      </c>
      <c r="K286" s="1171">
        <f>IFERROR(IF(AND(ISNUMBER(C286),ISNUMBER(J286),C286&gt;0),(J286/C286)^(1/7)-1,""),"")</f>
        <v/>
      </c>
    </row>
    <row r="287" ht="14" customHeight="1" s="632">
      <c r="A287" s="1166" t="inlineStr">
        <is>
          <t>EBIT</t>
        </is>
      </c>
      <c r="B287" s="1167" t="inlineStr">
        <is>
          <t>Rs cr</t>
        </is>
      </c>
      <c r="C287" s="1183">
        <f>C283-C286</f>
        <v/>
      </c>
      <c r="D287" s="1183">
        <f>D283-D286</f>
        <v/>
      </c>
      <c r="E287" s="1183">
        <f>E283-E286</f>
        <v/>
      </c>
      <c r="F287" s="1183">
        <f>F283-F286</f>
        <v/>
      </c>
      <c r="G287" s="1183">
        <f>G283-G286</f>
        <v/>
      </c>
      <c r="H287" s="1183">
        <f>H283-H286</f>
        <v/>
      </c>
      <c r="I287" s="1183">
        <f>I283-I286</f>
        <v/>
      </c>
      <c r="J287" s="1183">
        <f>J283-J286</f>
        <v/>
      </c>
      <c r="K287" s="1171">
        <f>IFERROR(IF(AND(ISNUMBER(C287),ISNUMBER(J287),C287&gt;0),(J287/C287)^(1/7)-1,""),"")</f>
        <v/>
      </c>
    </row>
    <row r="288" ht="14" customHeight="1" s="632">
      <c r="A288" s="1166" t="inlineStr">
        <is>
          <t>Effective tax rate</t>
        </is>
      </c>
      <c r="B288" s="1167" t="inlineStr">
        <is>
          <t>%</t>
        </is>
      </c>
      <c r="C288" s="1182">
        <f>'Cash Flow Model'!$C$101</f>
        <v/>
      </c>
      <c r="D288" s="1182">
        <f>'Model Assumptions'!E$96</f>
        <v/>
      </c>
      <c r="E288" s="1182">
        <f>'Model Assumptions'!F$96</f>
        <v/>
      </c>
      <c r="F288" s="1182">
        <f>'Model Assumptions'!G$96</f>
        <v/>
      </c>
      <c r="G288" s="1182">
        <f>'Model Assumptions'!H$96</f>
        <v/>
      </c>
      <c r="H288" s="1182">
        <f>'Model Assumptions'!I$96</f>
        <v/>
      </c>
      <c r="I288" s="1182">
        <f>'Model Assumptions'!J$96</f>
        <v/>
      </c>
      <c r="J288" s="1182">
        <f>'Model Assumptions'!K$96</f>
        <v/>
      </c>
      <c r="K288" s="1169" t="n"/>
    </row>
    <row r="289" ht="14" customHeight="1" s="632">
      <c r="A289" s="1166" t="inlineStr">
        <is>
          <t>Cash tax</t>
        </is>
      </c>
      <c r="B289" s="1167" t="inlineStr">
        <is>
          <t>Rs cr</t>
        </is>
      </c>
      <c r="C289" s="1181">
        <f>MAX(0,C287)*C288</f>
        <v/>
      </c>
      <c r="D289" s="1181">
        <f>MAX(0,D287)*D288</f>
        <v/>
      </c>
      <c r="E289" s="1181">
        <f>MAX(0,E287)*E288</f>
        <v/>
      </c>
      <c r="F289" s="1181">
        <f>MAX(0,F287)*F288</f>
        <v/>
      </c>
      <c r="G289" s="1181">
        <f>MAX(0,G287)*G288</f>
        <v/>
      </c>
      <c r="H289" s="1181">
        <f>MAX(0,H287)*H288</f>
        <v/>
      </c>
      <c r="I289" s="1181">
        <f>MAX(0,I287)*I288</f>
        <v/>
      </c>
      <c r="J289" s="1181">
        <f>MAX(0,J287)*J288</f>
        <v/>
      </c>
      <c r="K289" s="1171">
        <f>IFERROR(IF(AND(ISNUMBER(C289),ISNUMBER(J289),C289&gt;0),(J289/C289)^(1/7)-1,""),"")</f>
        <v/>
      </c>
    </row>
    <row r="290" ht="14" customHeight="1" s="632">
      <c r="A290" s="1166" t="inlineStr">
        <is>
          <t>Capex intensity</t>
        </is>
      </c>
      <c r="B290" s="1167" t="inlineStr">
        <is>
          <t>Rs/t of capacity</t>
        </is>
      </c>
      <c r="C290" s="1178">
        <f>'Model Assumptions'!$D$23</f>
        <v/>
      </c>
      <c r="D290" s="1178">
        <f>'Model Assumptions'!E$100</f>
        <v/>
      </c>
      <c r="E290" s="1178">
        <f>'Model Assumptions'!F$100</f>
        <v/>
      </c>
      <c r="F290" s="1178">
        <f>'Model Assumptions'!G$100</f>
        <v/>
      </c>
      <c r="G290" s="1178">
        <f>'Model Assumptions'!H$100</f>
        <v/>
      </c>
      <c r="H290" s="1178">
        <f>'Model Assumptions'!I$100</f>
        <v/>
      </c>
      <c r="I290" s="1178">
        <f>'Model Assumptions'!J$100</f>
        <v/>
      </c>
      <c r="J290" s="1178">
        <f>'Model Assumptions'!K$100</f>
        <v/>
      </c>
      <c r="K290" s="1171">
        <f>IFERROR(IF(AND(ISNUMBER(C290),ISNUMBER(J290),C290&gt;0),(J290/C290)^(1/7)-1,""),"")</f>
        <v/>
      </c>
    </row>
    <row r="291" ht="14" customHeight="1" s="632">
      <c r="A291" s="1166" t="inlineStr">
        <is>
          <t>Growth capex</t>
        </is>
      </c>
      <c r="B291" s="1167" t="inlineStr">
        <is>
          <t>Rs cr</t>
        </is>
      </c>
      <c r="C291" s="1176" t="n"/>
      <c r="D291" s="1181">
        <f>D258*D290/10</f>
        <v/>
      </c>
      <c r="E291" s="1181">
        <f>E258*E290/10</f>
        <v/>
      </c>
      <c r="F291" s="1181">
        <f>F258*F290/10</f>
        <v/>
      </c>
      <c r="G291" s="1181">
        <f>G258*G290/10</f>
        <v/>
      </c>
      <c r="H291" s="1181">
        <f>H258*H290/10</f>
        <v/>
      </c>
      <c r="I291" s="1181">
        <f>I258*I290/10</f>
        <v/>
      </c>
      <c r="J291" s="1181">
        <f>J258*J290/10</f>
        <v/>
      </c>
      <c r="K291" s="1169" t="n"/>
    </row>
    <row r="292" ht="14" customHeight="1" s="632">
      <c r="A292" s="1166" t="inlineStr">
        <is>
          <t>Maintenance capex</t>
        </is>
      </c>
      <c r="B292" s="1167" t="inlineStr">
        <is>
          <t>% of revenue</t>
        </is>
      </c>
      <c r="C292" s="1168">
        <f>'Model Assumptions'!$D$24</f>
        <v/>
      </c>
      <c r="D292" s="1168">
        <f>'Model Assumptions'!E$104</f>
        <v/>
      </c>
      <c r="E292" s="1168">
        <f>'Model Assumptions'!F$104</f>
        <v/>
      </c>
      <c r="F292" s="1168">
        <f>'Model Assumptions'!G$104</f>
        <v/>
      </c>
      <c r="G292" s="1168">
        <f>'Model Assumptions'!H$104</f>
        <v/>
      </c>
      <c r="H292" s="1168">
        <f>'Model Assumptions'!I$104</f>
        <v/>
      </c>
      <c r="I292" s="1168">
        <f>'Model Assumptions'!J$104</f>
        <v/>
      </c>
      <c r="J292" s="1168">
        <f>'Model Assumptions'!K$104</f>
        <v/>
      </c>
      <c r="K292" s="1169" t="n"/>
    </row>
    <row r="293" ht="14" customHeight="1" s="632">
      <c r="A293" s="1166" t="inlineStr">
        <is>
          <t>Maintenance capex</t>
        </is>
      </c>
      <c r="B293" s="1167" t="inlineStr">
        <is>
          <t>Rs cr</t>
        </is>
      </c>
      <c r="C293" s="1176" t="n"/>
      <c r="D293" s="1181">
        <f>D282*D292</f>
        <v/>
      </c>
      <c r="E293" s="1181">
        <f>E282*E292</f>
        <v/>
      </c>
      <c r="F293" s="1181">
        <f>F282*F292</f>
        <v/>
      </c>
      <c r="G293" s="1181">
        <f>G282*G292</f>
        <v/>
      </c>
      <c r="H293" s="1181">
        <f>H282*H292</f>
        <v/>
      </c>
      <c r="I293" s="1181">
        <f>I282*I292</f>
        <v/>
      </c>
      <c r="J293" s="1181">
        <f>J282*J292</f>
        <v/>
      </c>
      <c r="K293" s="1169" t="n"/>
    </row>
    <row r="294" ht="14" customHeight="1" s="632">
      <c r="A294" s="1166" t="inlineStr">
        <is>
          <t>Total capex</t>
        </is>
      </c>
      <c r="B294" s="1167" t="inlineStr">
        <is>
          <t>Rs cr</t>
        </is>
      </c>
      <c r="C294" s="1176" t="n"/>
      <c r="D294" s="1181">
        <f>D291+D293</f>
        <v/>
      </c>
      <c r="E294" s="1181">
        <f>E291+E293</f>
        <v/>
      </c>
      <c r="F294" s="1181">
        <f>F291+F293</f>
        <v/>
      </c>
      <c r="G294" s="1181">
        <f>G291+G293</f>
        <v/>
      </c>
      <c r="H294" s="1181">
        <f>H291+H293</f>
        <v/>
      </c>
      <c r="I294" s="1181">
        <f>I291+I293</f>
        <v/>
      </c>
      <c r="J294" s="1181">
        <f>J291+J293</f>
        <v/>
      </c>
      <c r="K294" s="1169" t="n"/>
    </row>
    <row r="295" ht="14" customHeight="1" s="632">
      <c r="A295" s="1166" t="inlineStr">
        <is>
          <t>Net working capital</t>
        </is>
      </c>
      <c r="B295" s="1167" t="inlineStr">
        <is>
          <t>days of revenue</t>
        </is>
      </c>
      <c r="C295" s="1178">
        <f>'Working Capital Model'!$C$71</f>
        <v/>
      </c>
      <c r="D295" s="1178">
        <f>'Model Assumptions'!E$108</f>
        <v/>
      </c>
      <c r="E295" s="1178">
        <f>'Model Assumptions'!F$108</f>
        <v/>
      </c>
      <c r="F295" s="1178">
        <f>'Model Assumptions'!G$108</f>
        <v/>
      </c>
      <c r="G295" s="1178">
        <f>'Model Assumptions'!H$108</f>
        <v/>
      </c>
      <c r="H295" s="1178">
        <f>'Model Assumptions'!I$108</f>
        <v/>
      </c>
      <c r="I295" s="1178">
        <f>'Model Assumptions'!J$108</f>
        <v/>
      </c>
      <c r="J295" s="1178">
        <f>'Model Assumptions'!K$108</f>
        <v/>
      </c>
      <c r="K295" s="1171">
        <f>IFERROR(IF(AND(ISNUMBER(C295),ISNUMBER(J295),C295&gt;0),(J295/C295)^(1/7)-1,""),"")</f>
        <v/>
      </c>
    </row>
    <row r="296" ht="14" customHeight="1" s="632">
      <c r="A296" s="1166" t="inlineStr">
        <is>
          <t>Net working capital</t>
        </is>
      </c>
      <c r="B296" s="1167" t="inlineStr">
        <is>
          <t>Rs cr</t>
        </is>
      </c>
      <c r="C296" s="1178">
        <f>'Working Capital Model'!$C$72</f>
        <v/>
      </c>
      <c r="D296" s="1181">
        <f>D282*D295/365</f>
        <v/>
      </c>
      <c r="E296" s="1181">
        <f>E282*E295/365</f>
        <v/>
      </c>
      <c r="F296" s="1181">
        <f>F282*F295/365</f>
        <v/>
      </c>
      <c r="G296" s="1181">
        <f>G282*G295/365</f>
        <v/>
      </c>
      <c r="H296" s="1181">
        <f>H282*H295/365</f>
        <v/>
      </c>
      <c r="I296" s="1181">
        <f>I282*I295/365</f>
        <v/>
      </c>
      <c r="J296" s="1181">
        <f>J282*J295/365</f>
        <v/>
      </c>
      <c r="K296" s="1171">
        <f>IFERROR(IF(AND(ISNUMBER(C296),ISNUMBER(J296),C296&gt;0),(J296/C296)^(1/7)-1,""),"")</f>
        <v/>
      </c>
    </row>
    <row r="297" ht="14" customHeight="1" s="632">
      <c r="A297" s="1166" t="inlineStr">
        <is>
          <t>Change in net working capital</t>
        </is>
      </c>
      <c r="B297" s="1167" t="inlineStr">
        <is>
          <t>Rs cr</t>
        </is>
      </c>
      <c r="C297" s="1176" t="n"/>
      <c r="D297" s="1183">
        <f>D296-C296</f>
        <v/>
      </c>
      <c r="E297" s="1183">
        <f>E296-D296</f>
        <v/>
      </c>
      <c r="F297" s="1183">
        <f>F296-E296</f>
        <v/>
      </c>
      <c r="G297" s="1183">
        <f>G296-F296</f>
        <v/>
      </c>
      <c r="H297" s="1183">
        <f>H296-G296</f>
        <v/>
      </c>
      <c r="I297" s="1183">
        <f>I296-H296</f>
        <v/>
      </c>
      <c r="J297" s="1183">
        <f>J296-I296</f>
        <v/>
      </c>
      <c r="K297" s="1169" t="n"/>
    </row>
    <row r="298" ht="14" customHeight="1" s="632">
      <c r="A298" s="1166" t="inlineStr">
        <is>
          <t>Unlevered free cash flow</t>
        </is>
      </c>
      <c r="B298" s="1167" t="inlineStr">
        <is>
          <t>Rs cr</t>
        </is>
      </c>
      <c r="C298" s="1176" t="n"/>
      <c r="D298" s="1183">
        <f>D283-D289-D294-D297</f>
        <v/>
      </c>
      <c r="E298" s="1183">
        <f>E283-E289-E294-E297</f>
        <v/>
      </c>
      <c r="F298" s="1183">
        <f>F283-F289-F294-F297</f>
        <v/>
      </c>
      <c r="G298" s="1183">
        <f>G283-G289-G294-G297</f>
        <v/>
      </c>
      <c r="H298" s="1183">
        <f>H283-H289-H294-H297</f>
        <v/>
      </c>
      <c r="I298" s="1183">
        <f>I283-I289-I294-I297</f>
        <v/>
      </c>
      <c r="J298" s="1183">
        <f>J283-J289-J294-J297</f>
        <v/>
      </c>
      <c r="K298" s="1169" t="n"/>
    </row>
    <row r="299" ht="14" customHeight="1" s="632">
      <c r="A299" s="1166" t="inlineStr">
        <is>
          <t>Exit EV/EBITDA multiple</t>
        </is>
      </c>
      <c r="B299" s="1167" t="inlineStr">
        <is>
          <t>x</t>
        </is>
      </c>
      <c r="C299" s="1176" t="n"/>
      <c r="D299" s="1184">
        <f>'Model Assumptions'!E$112</f>
        <v/>
      </c>
      <c r="E299" s="1184">
        <f>'Model Assumptions'!F$112</f>
        <v/>
      </c>
      <c r="F299" s="1184">
        <f>'Model Assumptions'!G$112</f>
        <v/>
      </c>
      <c r="G299" s="1184">
        <f>'Model Assumptions'!H$112</f>
        <v/>
      </c>
      <c r="H299" s="1184">
        <f>'Model Assumptions'!I$112</f>
        <v/>
      </c>
      <c r="I299" s="1184">
        <f>'Model Assumptions'!J$112</f>
        <v/>
      </c>
      <c r="J299" s="1184">
        <f>'Model Assumptions'!K$112</f>
        <v/>
      </c>
      <c r="K299" s="1169" t="n"/>
    </row>
    <row r="300" ht="14" customHeight="1" s="632">
      <c r="A300" s="1166" t="inlineStr">
        <is>
          <t>WACC (nominal, INR)</t>
        </is>
      </c>
      <c r="B300" s="1167" t="inlineStr">
        <is>
          <t>%</t>
        </is>
      </c>
      <c r="C300" s="1176" t="n"/>
      <c r="D300" s="1168">
        <f>'Model Assumptions'!E$116</f>
        <v/>
      </c>
      <c r="E300" s="1168">
        <f>'Model Assumptions'!F$116</f>
        <v/>
      </c>
      <c r="F300" s="1168">
        <f>'Model Assumptions'!G$116</f>
        <v/>
      </c>
      <c r="G300" s="1168">
        <f>'Model Assumptions'!H$116</f>
        <v/>
      </c>
      <c r="H300" s="1168">
        <f>'Model Assumptions'!I$116</f>
        <v/>
      </c>
      <c r="I300" s="1168">
        <f>'Model Assumptions'!J$116</f>
        <v/>
      </c>
      <c r="J300" s="1168">
        <f>'Model Assumptions'!K$116</f>
        <v/>
      </c>
      <c r="K300" s="1169" t="n"/>
    </row>
    <row r="301" ht="14" customHeight="1" s="632">
      <c r="A301" s="1166" t="inlineStr">
        <is>
          <t>Finished steel imports - driver</t>
        </is>
      </c>
      <c r="B301" s="1167" t="inlineStr">
        <is>
          <t>Mt</t>
        </is>
      </c>
      <c r="C301" s="1172">
        <f>'Trade Model'!$C$74</f>
        <v/>
      </c>
      <c r="D301" s="1172">
        <f>'Model Assumptions'!E$120</f>
        <v/>
      </c>
      <c r="E301" s="1172">
        <f>'Model Assumptions'!F$120</f>
        <v/>
      </c>
      <c r="F301" s="1172">
        <f>'Model Assumptions'!G$120</f>
        <v/>
      </c>
      <c r="G301" s="1172">
        <f>'Model Assumptions'!H$120</f>
        <v/>
      </c>
      <c r="H301" s="1172">
        <f>'Model Assumptions'!I$120</f>
        <v/>
      </c>
      <c r="I301" s="1172">
        <f>'Model Assumptions'!J$120</f>
        <v/>
      </c>
      <c r="J301" s="1172">
        <f>'Model Assumptions'!K$120</f>
        <v/>
      </c>
      <c r="K301" s="1171">
        <f>IFERROR(IF(AND(ISNUMBER(C301),ISNUMBER(J301),C301&gt;0),(J301/C301)^(1/7)-1,""),"")</f>
        <v/>
      </c>
    </row>
    <row r="302" ht="14" customHeight="1" s="632">
      <c r="A302" s="1166" t="inlineStr">
        <is>
          <t>Shortfall routed from the capacity ceiling</t>
        </is>
      </c>
      <c r="B302" s="1167" t="inlineStr">
        <is>
          <t>Mt</t>
        </is>
      </c>
      <c r="C302" s="1172">
        <f>0</f>
        <v/>
      </c>
      <c r="D302" s="1173">
        <f>MAX(0,D252-D264)</f>
        <v/>
      </c>
      <c r="E302" s="1173">
        <f>MAX(0,E252-E264)</f>
        <v/>
      </c>
      <c r="F302" s="1173">
        <f>MAX(0,F252-F264)</f>
        <v/>
      </c>
      <c r="G302" s="1173">
        <f>MAX(0,G252-G264)</f>
        <v/>
      </c>
      <c r="H302" s="1173">
        <f>MAX(0,H252-H264)</f>
        <v/>
      </c>
      <c r="I302" s="1173">
        <f>MAX(0,I252-I264)</f>
        <v/>
      </c>
      <c r="J302" s="1173">
        <f>MAX(0,J252-J264)</f>
        <v/>
      </c>
      <c r="K302" s="1171">
        <f>IFERROR(IF(AND(ISNUMBER(C302),ISNUMBER(J302),C302&gt;0),(J302/C302)^(1/7)-1,""),"")</f>
        <v/>
      </c>
    </row>
    <row r="303" ht="14" customHeight="1" s="632">
      <c r="A303" s="1166" t="inlineStr">
        <is>
          <t>Total finished steel imports</t>
        </is>
      </c>
      <c r="B303" s="1167" t="inlineStr">
        <is>
          <t>Mt</t>
        </is>
      </c>
      <c r="C303" s="1173">
        <f>C301+C302</f>
        <v/>
      </c>
      <c r="D303" s="1173">
        <f>D301+D302</f>
        <v/>
      </c>
      <c r="E303" s="1173">
        <f>E301+E302</f>
        <v/>
      </c>
      <c r="F303" s="1173">
        <f>F301+F302</f>
        <v/>
      </c>
      <c r="G303" s="1173">
        <f>G301+G302</f>
        <v/>
      </c>
      <c r="H303" s="1173">
        <f>H301+H302</f>
        <v/>
      </c>
      <c r="I303" s="1173">
        <f>I301+I302</f>
        <v/>
      </c>
      <c r="J303" s="1173">
        <f>J301+J302</f>
        <v/>
      </c>
      <c r="K303" s="1171">
        <f>IFERROR(IF(AND(ISNUMBER(C303),ISNUMBER(J303),C303&gt;0),(J303/C303)^(1/7)-1,""),"")</f>
        <v/>
      </c>
    </row>
    <row r="304" ht="14" customHeight="1" s="632">
      <c r="A304" s="1166" t="inlineStr">
        <is>
          <t>Finished steel exports</t>
        </is>
      </c>
      <c r="B304" s="1167" t="inlineStr">
        <is>
          <t>Mt</t>
        </is>
      </c>
      <c r="C304" s="1172">
        <f>'Trade Model'!$C$78</f>
        <v/>
      </c>
      <c r="D304" s="1173">
        <f>D301+D250</f>
        <v/>
      </c>
      <c r="E304" s="1173">
        <f>E301+E250</f>
        <v/>
      </c>
      <c r="F304" s="1173">
        <f>F301+F250</f>
        <v/>
      </c>
      <c r="G304" s="1173">
        <f>G301+G250</f>
        <v/>
      </c>
      <c r="H304" s="1173">
        <f>H301+H250</f>
        <v/>
      </c>
      <c r="I304" s="1173">
        <f>I301+I250</f>
        <v/>
      </c>
      <c r="J304" s="1173">
        <f>J301+J250</f>
        <v/>
      </c>
      <c r="K304" s="1171">
        <f>IFERROR(IF(AND(ISNUMBER(C304),ISNUMBER(J304),C304&gt;0),(J304/C304)^(1/7)-1,""),"")</f>
        <v/>
      </c>
    </row>
    <row r="305" ht="14" customHeight="1" s="632">
      <c r="A305" s="1166" t="inlineStr">
        <is>
          <t>Import penetration</t>
        </is>
      </c>
      <c r="B305" s="1167" t="inlineStr">
        <is>
          <t>% of consumption</t>
        </is>
      </c>
      <c r="C305" s="1171">
        <f>C303/C249</f>
        <v/>
      </c>
      <c r="D305" s="1171">
        <f>D303/D249</f>
        <v/>
      </c>
      <c r="E305" s="1171">
        <f>E303/E249</f>
        <v/>
      </c>
      <c r="F305" s="1171">
        <f>F303/F249</f>
        <v/>
      </c>
      <c r="G305" s="1171">
        <f>G303/G249</f>
        <v/>
      </c>
      <c r="H305" s="1171">
        <f>H303/H249</f>
        <v/>
      </c>
      <c r="I305" s="1171">
        <f>I303/I249</f>
        <v/>
      </c>
      <c r="J305" s="1171">
        <f>J303/J249</f>
        <v/>
      </c>
      <c r="K305" s="1169" t="n"/>
    </row>
    <row r="306" ht="14" customHeight="1" s="632">
      <c r="A306" s="1166" t="inlineStr">
        <is>
          <t>Per capita finished steel consumption</t>
        </is>
      </c>
      <c r="B306" s="1167" t="inlineStr">
        <is>
          <t>kg</t>
        </is>
      </c>
      <c r="C306" s="1172">
        <f>'Steel Demand Model'!$C$121</f>
        <v/>
      </c>
      <c r="D306" s="1173">
        <f>D249/'Steel Demand Model'!D$119</f>
        <v/>
      </c>
      <c r="E306" s="1173">
        <f>E249/'Steel Demand Model'!E$119</f>
        <v/>
      </c>
      <c r="F306" s="1173">
        <f>F249/'Steel Demand Model'!F$119</f>
        <v/>
      </c>
      <c r="G306" s="1173">
        <f>G249/'Steel Demand Model'!G$119</f>
        <v/>
      </c>
      <c r="H306" s="1173">
        <f>H249/'Steel Demand Model'!H$119</f>
        <v/>
      </c>
      <c r="I306" s="1173">
        <f>I249/'Steel Demand Model'!I$119</f>
        <v/>
      </c>
      <c r="J306" s="1173">
        <f>J249/'Steel Demand Model'!J$119</f>
        <v/>
      </c>
      <c r="K306" s="1171">
        <f>IFERROR(IF(AND(ISNUMBER(C306),ISNUMBER(J306),C306&gt;0),(J306/C306)^(1/7)-1,""),"")</f>
        <v/>
      </c>
    </row>
    <row r="307" ht="14" customHeight="1" s="632">
      <c r="A307" s="1166" t="inlineStr">
        <is>
          <t>Enterprise value at the exit multiple (terminal-year proxy)</t>
        </is>
      </c>
      <c r="B307" s="1167" t="inlineStr">
        <is>
          <t>Rs cr</t>
        </is>
      </c>
      <c r="C307" s="1176" t="n"/>
      <c r="D307" s="1181">
        <f>D283*D299</f>
        <v/>
      </c>
      <c r="E307" s="1181">
        <f>E283*E299</f>
        <v/>
      </c>
      <c r="F307" s="1181">
        <f>F283*F299</f>
        <v/>
      </c>
      <c r="G307" s="1181">
        <f>G283*G299</f>
        <v/>
      </c>
      <c r="H307" s="1181">
        <f>H283*H299</f>
        <v/>
      </c>
      <c r="I307" s="1181">
        <f>I283*I299</f>
        <v/>
      </c>
      <c r="J307" s="1181">
        <f>J283*J299</f>
        <v/>
      </c>
      <c r="K307" s="1169" t="n"/>
    </row>
    <row r="308" ht="14" customHeight="1" s="632">
      <c r="A308" s="1166" t="inlineStr">
        <is>
          <t>NOPAT</t>
        </is>
      </c>
      <c r="B308" s="1167" t="inlineStr">
        <is>
          <t>Rs cr</t>
        </is>
      </c>
      <c r="C308" s="1176" t="n"/>
      <c r="D308" s="1183">
        <f>D287*(1-D288)</f>
        <v/>
      </c>
      <c r="E308" s="1183">
        <f>E287*(1-E288)</f>
        <v/>
      </c>
      <c r="F308" s="1183">
        <f>F287*(1-F288)</f>
        <v/>
      </c>
      <c r="G308" s="1183">
        <f>G287*(1-G288)</f>
        <v/>
      </c>
      <c r="H308" s="1183">
        <f>H287*(1-H288)</f>
        <v/>
      </c>
      <c r="I308" s="1183">
        <f>I287*(1-I288)</f>
        <v/>
      </c>
      <c r="J308" s="1183">
        <f>J287*(1-J288)</f>
        <v/>
      </c>
      <c r="K308" s="1169" t="n"/>
    </row>
    <row r="309" ht="14" customHeight="1" s="632">
      <c r="A309" s="1166" t="inlineStr">
        <is>
          <t>Invested capital (proxy)</t>
        </is>
      </c>
      <c r="B309" s="1167" t="inlineStr">
        <is>
          <t>Rs cr</t>
        </is>
      </c>
      <c r="C309" s="1176" t="n"/>
      <c r="D309" s="1181">
        <f>220.4*D290/10+D296</f>
        <v/>
      </c>
      <c r="E309" s="1181">
        <f>220.4*E290/10+E296</f>
        <v/>
      </c>
      <c r="F309" s="1181">
        <f>220.4*F290/10+F296</f>
        <v/>
      </c>
      <c r="G309" s="1181">
        <f>220.4*G290/10+G296</f>
        <v/>
      </c>
      <c r="H309" s="1181">
        <f>220.4*H290/10+H296</f>
        <v/>
      </c>
      <c r="I309" s="1181">
        <f>220.4*I290/10+I296</f>
        <v/>
      </c>
      <c r="J309" s="1181">
        <f>220.4*J290/10+J296</f>
        <v/>
      </c>
      <c r="K309" s="1169" t="n"/>
    </row>
    <row r="310" ht="14" customHeight="1" s="632">
      <c r="A310" s="1166" t="inlineStr">
        <is>
          <t>ROIC (indicative)</t>
        </is>
      </c>
      <c r="B310" s="1167" t="inlineStr">
        <is>
          <t>%</t>
        </is>
      </c>
      <c r="C310" s="1176" t="n"/>
      <c r="D310" s="1171">
        <f>IFERROR(D308/D309,"")</f>
        <v/>
      </c>
      <c r="E310" s="1171">
        <f>IFERROR(E308/E309,"")</f>
        <v/>
      </c>
      <c r="F310" s="1171">
        <f>IFERROR(F308/F309,"")</f>
        <v/>
      </c>
      <c r="G310" s="1171">
        <f>IFERROR(G308/G309,"")</f>
        <v/>
      </c>
      <c r="H310" s="1171">
        <f>IFERROR(H308/H309,"")</f>
        <v/>
      </c>
      <c r="I310" s="1171">
        <f>IFERROR(I308/I309,"")</f>
        <v/>
      </c>
      <c r="J310" s="1171">
        <f>IFERROR(J308/J309,"")</f>
        <v/>
      </c>
      <c r="K310" s="1169" t="n"/>
    </row>
    <row r="311" ht="14" customHeight="1" s="632">
      <c r="A311" s="1166" t="inlineStr">
        <is>
          <t>Cycle indicator 1 - real GDP growth (4% to 9%)</t>
        </is>
      </c>
      <c r="B311" s="1167" t="inlineStr">
        <is>
          <t>score</t>
        </is>
      </c>
      <c r="C311" s="1185">
        <f>MIN(100,MAX(0,(C246-4%)/5%*100))</f>
        <v/>
      </c>
      <c r="D311" s="1185">
        <f>MIN(100,MAX(0,(D246-4%)/5%*100))</f>
        <v/>
      </c>
      <c r="E311" s="1185">
        <f>MIN(100,MAX(0,(E246-4%)/5%*100))</f>
        <v/>
      </c>
      <c r="F311" s="1185">
        <f>MIN(100,MAX(0,(F246-4%)/5%*100))</f>
        <v/>
      </c>
      <c r="G311" s="1185">
        <f>MIN(100,MAX(0,(G246-4%)/5%*100))</f>
        <v/>
      </c>
      <c r="H311" s="1185">
        <f>MIN(100,MAX(0,(H246-4%)/5%*100))</f>
        <v/>
      </c>
      <c r="I311" s="1185">
        <f>MIN(100,MAX(0,(I246-4%)/5%*100))</f>
        <v/>
      </c>
      <c r="J311" s="1185">
        <f>MIN(100,MAX(0,(J246-4%)/5%*100))</f>
        <v/>
      </c>
      <c r="K311" s="1169" t="n"/>
    </row>
    <row r="312" ht="14" customHeight="1" s="632">
      <c r="A312" s="1166" t="inlineStr">
        <is>
          <t>Cycle indicator 2 - consumption growth (2% to 12%)</t>
        </is>
      </c>
      <c r="B312" s="1167" t="inlineStr">
        <is>
          <t>score</t>
        </is>
      </c>
      <c r="C312" s="1185">
        <f>MIN(100,MAX(0,(C248-2%)/10%*100))</f>
        <v/>
      </c>
      <c r="D312" s="1185">
        <f>MIN(100,MAX(0,(D248-2%)/10%*100))</f>
        <v/>
      </c>
      <c r="E312" s="1185">
        <f>MIN(100,MAX(0,(E248-2%)/10%*100))</f>
        <v/>
      </c>
      <c r="F312" s="1185">
        <f>MIN(100,MAX(0,(F248-2%)/10%*100))</f>
        <v/>
      </c>
      <c r="G312" s="1185">
        <f>MIN(100,MAX(0,(G248-2%)/10%*100))</f>
        <v/>
      </c>
      <c r="H312" s="1185">
        <f>MIN(100,MAX(0,(H248-2%)/10%*100))</f>
        <v/>
      </c>
      <c r="I312" s="1185">
        <f>MIN(100,MAX(0,(I248-2%)/10%*100))</f>
        <v/>
      </c>
      <c r="J312" s="1185">
        <f>MIN(100,MAX(0,(J248-2%)/10%*100))</f>
        <v/>
      </c>
      <c r="K312" s="1169" t="n"/>
    </row>
    <row r="313" ht="14" customHeight="1" s="632">
      <c r="A313" s="1166" t="inlineStr">
        <is>
          <t>Cycle indicator 3 - capacity utilisation (65% to 92%)</t>
        </is>
      </c>
      <c r="B313" s="1167" t="inlineStr">
        <is>
          <t>score</t>
        </is>
      </c>
      <c r="C313" s="1185">
        <f>MIN(100,MAX(0,(C263-65%)/27%*100))</f>
        <v/>
      </c>
      <c r="D313" s="1185">
        <f>MIN(100,MAX(0,(D263-65%)/27%*100))</f>
        <v/>
      </c>
      <c r="E313" s="1185">
        <f>MIN(100,MAX(0,(E263-65%)/27%*100))</f>
        <v/>
      </c>
      <c r="F313" s="1185">
        <f>MIN(100,MAX(0,(F263-65%)/27%*100))</f>
        <v/>
      </c>
      <c r="G313" s="1185">
        <f>MIN(100,MAX(0,(G263-65%)/27%*100))</f>
        <v/>
      </c>
      <c r="H313" s="1185">
        <f>MIN(100,MAX(0,(H263-65%)/27%*100))</f>
        <v/>
      </c>
      <c r="I313" s="1185">
        <f>MIN(100,MAX(0,(I263-65%)/27%*100))</f>
        <v/>
      </c>
      <c r="J313" s="1185">
        <f>MIN(100,MAX(0,(J263-65%)/27%*100))</f>
        <v/>
      </c>
      <c r="K313" s="1169" t="n"/>
    </row>
    <row r="314" ht="14" customHeight="1" s="632">
      <c r="A314" s="1166" t="inlineStr">
        <is>
          <t>Cycle indicator 4 - spare capacity, scored inversely (0% to 30%)</t>
        </is>
      </c>
      <c r="B314" s="1167" t="inlineStr">
        <is>
          <t>score</t>
        </is>
      </c>
      <c r="C314" s="1185">
        <f>MIN(100,MAX(0,100-(C259-C254)/C259/30%*100))</f>
        <v/>
      </c>
      <c r="D314" s="1185">
        <f>MIN(100,MAX(0,100-(D259-D254)/D259/30%*100))</f>
        <v/>
      </c>
      <c r="E314" s="1185">
        <f>MIN(100,MAX(0,100-(E259-E254)/E259/30%*100))</f>
        <v/>
      </c>
      <c r="F314" s="1185">
        <f>MIN(100,MAX(0,100-(F259-F254)/F259/30%*100))</f>
        <v/>
      </c>
      <c r="G314" s="1185">
        <f>MIN(100,MAX(0,100-(G259-G254)/G259/30%*100))</f>
        <v/>
      </c>
      <c r="H314" s="1185">
        <f>MIN(100,MAX(0,100-(H259-H254)/H259/30%*100))</f>
        <v/>
      </c>
      <c r="I314" s="1185">
        <f>MIN(100,MAX(0,100-(I259-I254)/I259/30%*100))</f>
        <v/>
      </c>
      <c r="J314" s="1185">
        <f>MIN(100,MAX(0,100-(J259-J254)/J259/30%*100))</f>
        <v/>
      </c>
      <c r="K314" s="1169" t="n"/>
    </row>
    <row r="315" ht="14" customHeight="1" s="632">
      <c r="A315" s="1166" t="inlineStr">
        <is>
          <t>Cycle indicator 5 - blended realisation (Rs 50,000 to Rs 75,000/t)</t>
        </is>
      </c>
      <c r="B315" s="1167" t="inlineStr">
        <is>
          <t>score</t>
        </is>
      </c>
      <c r="C315" s="1185">
        <f>MIN(100,MAX(0,(C269-50000)/25000*100))</f>
        <v/>
      </c>
      <c r="D315" s="1185">
        <f>MIN(100,MAX(0,(D269-50000)/25000*100))</f>
        <v/>
      </c>
      <c r="E315" s="1185">
        <f>MIN(100,MAX(0,(E269-50000)/25000*100))</f>
        <v/>
      </c>
      <c r="F315" s="1185">
        <f>MIN(100,MAX(0,(F269-50000)/25000*100))</f>
        <v/>
      </c>
      <c r="G315" s="1185">
        <f>MIN(100,MAX(0,(G269-50000)/25000*100))</f>
        <v/>
      </c>
      <c r="H315" s="1185">
        <f>MIN(100,MAX(0,(H269-50000)/25000*100))</f>
        <v/>
      </c>
      <c r="I315" s="1185">
        <f>MIN(100,MAX(0,(I269-50000)/25000*100))</f>
        <v/>
      </c>
      <c r="J315" s="1185">
        <f>MIN(100,MAX(0,(J269-50000)/25000*100))</f>
        <v/>
      </c>
      <c r="K315" s="1169" t="n"/>
    </row>
    <row r="316" ht="14" customHeight="1" s="632">
      <c r="A316" s="1166" t="inlineStr">
        <is>
          <t>Cycle indicator 6 - EBITDA margin (-10% to +26%)</t>
        </is>
      </c>
      <c r="B316" s="1167" t="inlineStr">
        <is>
          <t>score</t>
        </is>
      </c>
      <c r="C316" s="1185">
        <f>MIN(100,MAX(0,(C284+10%)/36%*100))</f>
        <v/>
      </c>
      <c r="D316" s="1185">
        <f>MIN(100,MAX(0,(D284+10%)/36%*100))</f>
        <v/>
      </c>
      <c r="E316" s="1185">
        <f>MIN(100,MAX(0,(E284+10%)/36%*100))</f>
        <v/>
      </c>
      <c r="F316" s="1185">
        <f>MIN(100,MAX(0,(F284+10%)/36%*100))</f>
        <v/>
      </c>
      <c r="G316" s="1185">
        <f>MIN(100,MAX(0,(G284+10%)/36%*100))</f>
        <v/>
      </c>
      <c r="H316" s="1185">
        <f>MIN(100,MAX(0,(H284+10%)/36%*100))</f>
        <v/>
      </c>
      <c r="I316" s="1185">
        <f>MIN(100,MAX(0,(I284+10%)/36%*100))</f>
        <v/>
      </c>
      <c r="J316" s="1185">
        <f>MIN(100,MAX(0,(J284+10%)/36%*100))</f>
        <v/>
      </c>
      <c r="K316" s="1169" t="n"/>
    </row>
    <row r="317" ht="14" customHeight="1" s="632">
      <c r="A317" s="1166" t="inlineStr">
        <is>
          <t>Cycle indicator 7 - capacity additions (0 to 25 Mtpa)</t>
        </is>
      </c>
      <c r="B317" s="1167" t="inlineStr">
        <is>
          <t>score</t>
        </is>
      </c>
      <c r="C317" s="1185">
        <f>MIN(100,MAX(0,C258/25*100))</f>
        <v/>
      </c>
      <c r="D317" s="1185">
        <f>MIN(100,MAX(0,D258/25*100))</f>
        <v/>
      </c>
      <c r="E317" s="1185">
        <f>MIN(100,MAX(0,E258/25*100))</f>
        <v/>
      </c>
      <c r="F317" s="1185">
        <f>MIN(100,MAX(0,F258/25*100))</f>
        <v/>
      </c>
      <c r="G317" s="1185">
        <f>MIN(100,MAX(0,G258/25*100))</f>
        <v/>
      </c>
      <c r="H317" s="1185">
        <f>MIN(100,MAX(0,H258/25*100))</f>
        <v/>
      </c>
      <c r="I317" s="1185">
        <f>MIN(100,MAX(0,I258/25*100))</f>
        <v/>
      </c>
      <c r="J317" s="1185">
        <f>MIN(100,MAX(0,J258/25*100))</f>
        <v/>
      </c>
      <c r="K317" s="1169" t="n"/>
    </row>
    <row r="318" ht="14" customHeight="1" s="632">
      <c r="A318" s="1166" t="inlineStr">
        <is>
          <t>Cycle indicator 8 - variation in stock, centred on 50</t>
        </is>
      </c>
      <c r="B318" s="1167" t="inlineStr">
        <is>
          <t>score</t>
        </is>
      </c>
      <c r="C318" s="1185">
        <f>MIN(100,MAX(0,50-C251/C249*1000))</f>
        <v/>
      </c>
      <c r="D318" s="1185">
        <f>MIN(100,MAX(0,50-D251/D249*1000))</f>
        <v/>
      </c>
      <c r="E318" s="1185">
        <f>MIN(100,MAX(0,50-E251/E249*1000))</f>
        <v/>
      </c>
      <c r="F318" s="1185">
        <f>MIN(100,MAX(0,50-F251/F249*1000))</f>
        <v/>
      </c>
      <c r="G318" s="1185">
        <f>MIN(100,MAX(0,50-G251/G249*1000))</f>
        <v/>
      </c>
      <c r="H318" s="1185">
        <f>MIN(100,MAX(0,50-H251/H249*1000))</f>
        <v/>
      </c>
      <c r="I318" s="1185">
        <f>MIN(100,MAX(0,50-I251/I249*1000))</f>
        <v/>
      </c>
      <c r="J318" s="1185">
        <f>MIN(100,MAX(0,50-J251/J249*1000))</f>
        <v/>
      </c>
      <c r="K318" s="1169" t="n"/>
    </row>
    <row r="319" ht="14" customHeight="1" s="632">
      <c r="A319" s="1166" t="inlineStr">
        <is>
          <t>CYCLE SCORE - weighted</t>
        </is>
      </c>
      <c r="B319" s="1167" t="inlineStr">
        <is>
          <t>score 0-100</t>
        </is>
      </c>
      <c r="C319" s="1185">
        <f>SUMPRODUCT('Industry Cycle Model'!$B$19:$B$26,C311:C318)</f>
        <v/>
      </c>
      <c r="D319" s="1185">
        <f>SUMPRODUCT('Industry Cycle Model'!$B$19:$B$26,D311:D318)</f>
        <v/>
      </c>
      <c r="E319" s="1185">
        <f>SUMPRODUCT('Industry Cycle Model'!$B$19:$B$26,E311:E318)</f>
        <v/>
      </c>
      <c r="F319" s="1185">
        <f>SUMPRODUCT('Industry Cycle Model'!$B$19:$B$26,F311:F318)</f>
        <v/>
      </c>
      <c r="G319" s="1185">
        <f>SUMPRODUCT('Industry Cycle Model'!$B$19:$B$26,G311:G318)</f>
        <v/>
      </c>
      <c r="H319" s="1185">
        <f>SUMPRODUCT('Industry Cycle Model'!$B$19:$B$26,H311:H318)</f>
        <v/>
      </c>
      <c r="I319" s="1185">
        <f>SUMPRODUCT('Industry Cycle Model'!$B$19:$B$26,I311:I318)</f>
        <v/>
      </c>
      <c r="J319" s="1185">
        <f>SUMPRODUCT('Industry Cycle Model'!$B$19:$B$26,J311:J318)</f>
        <v/>
      </c>
      <c r="K319" s="1169" t="n"/>
    </row>
    <row r="320"/>
    <row r="321" ht="16" customHeight="1" s="632">
      <c r="A321" s="1164" t="inlineStr">
        <is>
          <t>STRESS CASE</t>
        </is>
      </c>
      <c r="B321" s="1165" t="n"/>
      <c r="C321" s="1165" t="n"/>
      <c r="D321" s="1165" t="n"/>
      <c r="E321" s="1165" t="n"/>
      <c r="F321" s="1165" t="n"/>
      <c r="G321" s="1165" t="n"/>
      <c r="H321" s="1165" t="n"/>
      <c r="I321" s="1165" t="n"/>
      <c r="J321" s="1165" t="n"/>
      <c r="K321" s="1165" t="n"/>
    </row>
    <row r="322" ht="14" customHeight="1" s="632">
      <c r="A322" s="1166" t="inlineStr">
        <is>
          <t>India real GDP growth</t>
        </is>
      </c>
      <c r="B322" s="1167" t="inlineStr">
        <is>
          <t>%</t>
        </is>
      </c>
      <c r="C322" s="1168">
        <f>'Macroeconomic Model'!$C$101</f>
        <v/>
      </c>
      <c r="D322" s="1168">
        <f>'Model Assumptions'!E$41</f>
        <v/>
      </c>
      <c r="E322" s="1168">
        <f>'Model Assumptions'!F$41</f>
        <v/>
      </c>
      <c r="F322" s="1168">
        <f>'Model Assumptions'!G$41</f>
        <v/>
      </c>
      <c r="G322" s="1168">
        <f>'Model Assumptions'!H$41</f>
        <v/>
      </c>
      <c r="H322" s="1168">
        <f>'Model Assumptions'!I$41</f>
        <v/>
      </c>
      <c r="I322" s="1168">
        <f>'Model Assumptions'!J$41</f>
        <v/>
      </c>
      <c r="J322" s="1168">
        <f>'Model Assumptions'!K$41</f>
        <v/>
      </c>
      <c r="K322" s="1169" t="n"/>
    </row>
    <row r="323" ht="14" customHeight="1" s="632">
      <c r="A323" s="1166" t="inlineStr">
        <is>
          <t>Steel demand elasticity to GDP</t>
        </is>
      </c>
      <c r="B323" s="1167" t="inlineStr">
        <is>
          <t>x</t>
        </is>
      </c>
      <c r="C323" s="1170">
        <f>'Steel Demand Model'!$C$114</f>
        <v/>
      </c>
      <c r="D323" s="1170">
        <f>'Model Assumptions'!E$45</f>
        <v/>
      </c>
      <c r="E323" s="1170">
        <f>'Model Assumptions'!F$45</f>
        <v/>
      </c>
      <c r="F323" s="1170">
        <f>'Model Assumptions'!G$45</f>
        <v/>
      </c>
      <c r="G323" s="1170">
        <f>'Model Assumptions'!H$45</f>
        <v/>
      </c>
      <c r="H323" s="1170">
        <f>'Model Assumptions'!I$45</f>
        <v/>
      </c>
      <c r="I323" s="1170">
        <f>'Model Assumptions'!J$45</f>
        <v/>
      </c>
      <c r="J323" s="1170">
        <f>'Model Assumptions'!K$45</f>
        <v/>
      </c>
      <c r="K323" s="1169" t="n"/>
    </row>
    <row r="324" ht="14" customHeight="1" s="632">
      <c r="A324" s="1166" t="inlineStr">
        <is>
          <t>Implied consumption growth</t>
        </is>
      </c>
      <c r="B324" s="1167" t="inlineStr">
        <is>
          <t>%</t>
        </is>
      </c>
      <c r="C324" s="1168">
        <f>'Steel Demand Model'!$C$115</f>
        <v/>
      </c>
      <c r="D324" s="1171">
        <f>D322*D323</f>
        <v/>
      </c>
      <c r="E324" s="1171">
        <f>E322*E323</f>
        <v/>
      </c>
      <c r="F324" s="1171">
        <f>F322*F323</f>
        <v/>
      </c>
      <c r="G324" s="1171">
        <f>G322*G323</f>
        <v/>
      </c>
      <c r="H324" s="1171">
        <f>H322*H323</f>
        <v/>
      </c>
      <c r="I324" s="1171">
        <f>I322*I323</f>
        <v/>
      </c>
      <c r="J324" s="1171">
        <f>J322*J323</f>
        <v/>
      </c>
      <c r="K324" s="1169" t="n"/>
    </row>
    <row r="325" ht="14" customHeight="1" s="632">
      <c r="A325" s="1166" t="inlineStr">
        <is>
          <t>Apparent finished steel consumption</t>
        </is>
      </c>
      <c r="B325" s="1167" t="inlineStr">
        <is>
          <t>Mt</t>
        </is>
      </c>
      <c r="C325" s="1172">
        <f>'Steel Demand Model'!$C$116</f>
        <v/>
      </c>
      <c r="D325" s="1173">
        <f>C325*(1+D324)</f>
        <v/>
      </c>
      <c r="E325" s="1173">
        <f>D325*(1+E324)</f>
        <v/>
      </c>
      <c r="F325" s="1173">
        <f>E325*(1+F324)</f>
        <v/>
      </c>
      <c r="G325" s="1173">
        <f>F325*(1+G324)</f>
        <v/>
      </c>
      <c r="H325" s="1173">
        <f>G325*(1+H324)</f>
        <v/>
      </c>
      <c r="I325" s="1173">
        <f>H325*(1+I324)</f>
        <v/>
      </c>
      <c r="J325" s="1173">
        <f>I325*(1+J324)</f>
        <v/>
      </c>
      <c r="K325" s="1171">
        <f>IFERROR(IF(AND(ISNUMBER(C325),ISNUMBER(J325),C325&gt;0),(J325/C325)^(1/7)-1,""),"")</f>
        <v/>
      </c>
    </row>
    <row r="326" ht="14" customHeight="1" s="632">
      <c r="A326" s="1166" t="inlineStr">
        <is>
          <t>Net finished steel exports</t>
        </is>
      </c>
      <c r="B326" s="1167" t="inlineStr">
        <is>
          <t>Mt</t>
        </is>
      </c>
      <c r="C326" s="1174">
        <f>'Steel Supply Model'!$C$90</f>
        <v/>
      </c>
      <c r="D326" s="1174">
        <f>'Model Assumptions'!E$65</f>
        <v/>
      </c>
      <c r="E326" s="1174">
        <f>'Model Assumptions'!F$65</f>
        <v/>
      </c>
      <c r="F326" s="1174">
        <f>'Model Assumptions'!G$65</f>
        <v/>
      </c>
      <c r="G326" s="1174">
        <f>'Model Assumptions'!H$65</f>
        <v/>
      </c>
      <c r="H326" s="1174">
        <f>'Model Assumptions'!I$65</f>
        <v/>
      </c>
      <c r="I326" s="1174">
        <f>'Model Assumptions'!J$65</f>
        <v/>
      </c>
      <c r="J326" s="1174">
        <f>'Model Assumptions'!K$65</f>
        <v/>
      </c>
      <c r="K326" s="1169" t="n"/>
    </row>
    <row r="327" ht="14" customHeight="1" s="632">
      <c r="A327" s="1166" t="inlineStr">
        <is>
          <t>Variation in stock</t>
        </is>
      </c>
      <c r="B327" s="1167" t="inlineStr">
        <is>
          <t>Mt</t>
        </is>
      </c>
      <c r="C327" s="1174">
        <f>'Steel Supply Model'!$C$91</f>
        <v/>
      </c>
      <c r="D327" s="1174">
        <f>'Model Assumptions'!E$69</f>
        <v/>
      </c>
      <c r="E327" s="1174">
        <f>'Model Assumptions'!F$69</f>
        <v/>
      </c>
      <c r="F327" s="1174">
        <f>'Model Assumptions'!G$69</f>
        <v/>
      </c>
      <c r="G327" s="1174">
        <f>'Model Assumptions'!H$69</f>
        <v/>
      </c>
      <c r="H327" s="1174">
        <f>'Model Assumptions'!I$69</f>
        <v/>
      </c>
      <c r="I327" s="1174">
        <f>'Model Assumptions'!J$69</f>
        <v/>
      </c>
      <c r="J327" s="1174">
        <f>'Model Assumptions'!K$69</f>
        <v/>
      </c>
      <c r="K327" s="1169" t="n"/>
    </row>
    <row r="328" ht="14" customHeight="1" s="632">
      <c r="A328" s="1166" t="inlineStr">
        <is>
          <t>Required finished steel production</t>
        </is>
      </c>
      <c r="B328" s="1167" t="inlineStr">
        <is>
          <t>Mt</t>
        </is>
      </c>
      <c r="C328" s="1173">
        <f>C325+C326+C327</f>
        <v/>
      </c>
      <c r="D328" s="1173">
        <f>D325+D326+D327</f>
        <v/>
      </c>
      <c r="E328" s="1173">
        <f>E325+E326+E327</f>
        <v/>
      </c>
      <c r="F328" s="1173">
        <f>F325+F326+F327</f>
        <v/>
      </c>
      <c r="G328" s="1173">
        <f>G325+G326+G327</f>
        <v/>
      </c>
      <c r="H328" s="1173">
        <f>H325+H326+H327</f>
        <v/>
      </c>
      <c r="I328" s="1173">
        <f>I325+I326+I327</f>
        <v/>
      </c>
      <c r="J328" s="1173">
        <f>J325+J326+J327</f>
        <v/>
      </c>
      <c r="K328" s="1171">
        <f>IFERROR(IF(AND(ISNUMBER(C328),ISNUMBER(J328),C328&gt;0),(J328/C328)^(1/7)-1,""),"")</f>
        <v/>
      </c>
    </row>
    <row r="329" ht="14" customHeight="1" s="632">
      <c r="A329" s="1166" t="inlineStr">
        <is>
          <t>Crude-to-finished steel ratio</t>
        </is>
      </c>
      <c r="B329" s="1167" t="inlineStr">
        <is>
          <t>x</t>
        </is>
      </c>
      <c r="C329" s="1175">
        <f>'Steel Supply Model'!$C$93</f>
        <v/>
      </c>
      <c r="D329" s="1175">
        <f>'Model Assumptions'!E$61</f>
        <v/>
      </c>
      <c r="E329" s="1175">
        <f>'Model Assumptions'!F$61</f>
        <v/>
      </c>
      <c r="F329" s="1175">
        <f>'Model Assumptions'!G$61</f>
        <v/>
      </c>
      <c r="G329" s="1175">
        <f>'Model Assumptions'!H$61</f>
        <v/>
      </c>
      <c r="H329" s="1175">
        <f>'Model Assumptions'!I$61</f>
        <v/>
      </c>
      <c r="I329" s="1175">
        <f>'Model Assumptions'!J$61</f>
        <v/>
      </c>
      <c r="J329" s="1175">
        <f>'Model Assumptions'!K$61</f>
        <v/>
      </c>
      <c r="K329" s="1169" t="n"/>
    </row>
    <row r="330" ht="14" customHeight="1" s="632">
      <c r="A330" s="1166" t="inlineStr">
        <is>
          <t>Unconstrained crude steel production</t>
        </is>
      </c>
      <c r="B330" s="1167" t="inlineStr">
        <is>
          <t>Mt</t>
        </is>
      </c>
      <c r="C330" s="1173">
        <f>C328*C329</f>
        <v/>
      </c>
      <c r="D330" s="1173">
        <f>D328*D329</f>
        <v/>
      </c>
      <c r="E330" s="1173">
        <f>E328*E329</f>
        <v/>
      </c>
      <c r="F330" s="1173">
        <f>F328*F329</f>
        <v/>
      </c>
      <c r="G330" s="1173">
        <f>G328*G329</f>
        <v/>
      </c>
      <c r="H330" s="1173">
        <f>H328*H329</f>
        <v/>
      </c>
      <c r="I330" s="1173">
        <f>I328*I329</f>
        <v/>
      </c>
      <c r="J330" s="1173">
        <f>J328*J329</f>
        <v/>
      </c>
      <c r="K330" s="1171">
        <f>IFERROR(IF(AND(ISNUMBER(C330),ISNUMBER(J330),C330&gt;0),(J330/C330)^(1/7)-1,""),"")</f>
        <v/>
      </c>
    </row>
    <row r="331" ht="14" customHeight="1" s="632">
      <c r="A331" s="1166" t="inlineStr">
        <is>
          <t>Gross announced capacity additions</t>
        </is>
      </c>
      <c r="B331" s="1167" t="inlineStr">
        <is>
          <t>Mtpa</t>
        </is>
      </c>
      <c r="C331" s="1176" t="n"/>
      <c r="D331" s="1173">
        <f>'Capacity Expansion Tracker'!E$99</f>
        <v/>
      </c>
      <c r="E331" s="1173">
        <f>'Capacity Expansion Tracker'!F$99</f>
        <v/>
      </c>
      <c r="F331" s="1173">
        <f>'Capacity Expansion Tracker'!G$99</f>
        <v/>
      </c>
      <c r="G331" s="1173">
        <f>'Capacity Expansion Tracker'!H$99</f>
        <v/>
      </c>
      <c r="H331" s="1173">
        <f>'Capacity Expansion Tracker'!I$99</f>
        <v/>
      </c>
      <c r="I331" s="1173">
        <f>'Capacity Expansion Tracker'!J$99</f>
        <v/>
      </c>
      <c r="J331" s="1173">
        <f>'Capacity Expansion Tracker'!K$99</f>
        <v/>
      </c>
      <c r="K331" s="1169" t="n"/>
    </row>
    <row r="332" ht="14" customHeight="1" s="632">
      <c r="A332" s="1166" t="inlineStr">
        <is>
          <t>Pipeline delivery factor</t>
        </is>
      </c>
      <c r="B332" s="1167" t="inlineStr">
        <is>
          <t>%</t>
        </is>
      </c>
      <c r="C332" s="1176" t="n"/>
      <c r="D332" s="1177">
        <f>'Model Assumptions'!E$57</f>
        <v/>
      </c>
      <c r="E332" s="1177">
        <f>'Model Assumptions'!F$57</f>
        <v/>
      </c>
      <c r="F332" s="1177">
        <f>'Model Assumptions'!G$57</f>
        <v/>
      </c>
      <c r="G332" s="1177">
        <f>'Model Assumptions'!H$57</f>
        <v/>
      </c>
      <c r="H332" s="1177">
        <f>'Model Assumptions'!I$57</f>
        <v/>
      </c>
      <c r="I332" s="1177">
        <f>'Model Assumptions'!J$57</f>
        <v/>
      </c>
      <c r="J332" s="1177">
        <f>'Model Assumptions'!K$57</f>
        <v/>
      </c>
      <c r="K332" s="1169" t="n"/>
    </row>
    <row r="333" ht="14" customHeight="1" s="632">
      <c r="A333" s="1166" t="inlineStr">
        <is>
          <t>Secondary and unattributed additions</t>
        </is>
      </c>
      <c r="B333" s="1167" t="inlineStr">
        <is>
          <t>Mtpa</t>
        </is>
      </c>
      <c r="C333" s="1172">
        <f>'Capacity Forecast'!$C$100</f>
        <v/>
      </c>
      <c r="D333" s="1172">
        <f>'Model Assumptions'!E$125</f>
        <v/>
      </c>
      <c r="E333" s="1172">
        <f>'Model Assumptions'!F$125</f>
        <v/>
      </c>
      <c r="F333" s="1172">
        <f>'Model Assumptions'!G$125</f>
        <v/>
      </c>
      <c r="G333" s="1172">
        <f>'Model Assumptions'!H$125</f>
        <v/>
      </c>
      <c r="H333" s="1172">
        <f>'Model Assumptions'!I$125</f>
        <v/>
      </c>
      <c r="I333" s="1172">
        <f>'Model Assumptions'!J$125</f>
        <v/>
      </c>
      <c r="J333" s="1172">
        <f>'Model Assumptions'!K$125</f>
        <v/>
      </c>
      <c r="K333" s="1171">
        <f>IFERROR(IF(AND(ISNUMBER(C333),ISNUMBER(J333),C333&gt;0),(J333/C333)^(1/7)-1,""),"")</f>
        <v/>
      </c>
    </row>
    <row r="334" ht="14" customHeight="1" s="632">
      <c r="A334" s="1166" t="inlineStr">
        <is>
          <t>Total capacity additions</t>
        </is>
      </c>
      <c r="B334" s="1167" t="inlineStr">
        <is>
          <t>Mtpa</t>
        </is>
      </c>
      <c r="C334" s="1172">
        <f>'Capacity Forecast'!$C$100</f>
        <v/>
      </c>
      <c r="D334" s="1173">
        <f>D331*D332+D333</f>
        <v/>
      </c>
      <c r="E334" s="1173">
        <f>E331*E332+E333</f>
        <v/>
      </c>
      <c r="F334" s="1173">
        <f>F331*F332+F333</f>
        <v/>
      </c>
      <c r="G334" s="1173">
        <f>G331*G332+G333</f>
        <v/>
      </c>
      <c r="H334" s="1173">
        <f>H331*H332+H333</f>
        <v/>
      </c>
      <c r="I334" s="1173">
        <f>I331*I332+I333</f>
        <v/>
      </c>
      <c r="J334" s="1173">
        <f>J331*J332+J333</f>
        <v/>
      </c>
      <c r="K334" s="1171">
        <f>IFERROR(IF(AND(ISNUMBER(C334),ISNUMBER(J334),C334&gt;0),(J334/C334)^(1/7)-1,""),"")</f>
        <v/>
      </c>
    </row>
    <row r="335" ht="14" customHeight="1" s="632">
      <c r="A335" s="1166" t="inlineStr">
        <is>
          <t>Closing crude steel capacity</t>
        </is>
      </c>
      <c r="B335" s="1167" t="inlineStr">
        <is>
          <t>Mtpa</t>
        </is>
      </c>
      <c r="C335" s="1172">
        <f>'Capacity Forecast'!$C$101</f>
        <v/>
      </c>
      <c r="D335" s="1173">
        <f>C335+D334</f>
        <v/>
      </c>
      <c r="E335" s="1173">
        <f>D335+E334</f>
        <v/>
      </c>
      <c r="F335" s="1173">
        <f>E335+F334</f>
        <v/>
      </c>
      <c r="G335" s="1173">
        <f>F335+G334</f>
        <v/>
      </c>
      <c r="H335" s="1173">
        <f>G335+H334</f>
        <v/>
      </c>
      <c r="I335" s="1173">
        <f>H335+I334</f>
        <v/>
      </c>
      <c r="J335" s="1173">
        <f>I335+J334</f>
        <v/>
      </c>
      <c r="K335" s="1171">
        <f>IFERROR(IF(AND(ISNUMBER(C335),ISNUMBER(J335),C335&gt;0),(J335/C335)^(1/7)-1,""),"")</f>
        <v/>
      </c>
    </row>
    <row r="336" ht="14" customHeight="1" s="632">
      <c r="A336" s="1166" t="inlineStr">
        <is>
          <t>Maximum practical utilisation</t>
        </is>
      </c>
      <c r="B336" s="1167" t="inlineStr">
        <is>
          <t>%</t>
        </is>
      </c>
      <c r="C336" s="1177">
        <f>'Model Assumptions'!$D$32</f>
        <v/>
      </c>
      <c r="D336" s="1177">
        <f>'Model Assumptions'!E$137</f>
        <v/>
      </c>
      <c r="E336" s="1177">
        <f>'Model Assumptions'!F$137</f>
        <v/>
      </c>
      <c r="F336" s="1177">
        <f>'Model Assumptions'!G$137</f>
        <v/>
      </c>
      <c r="G336" s="1177">
        <f>'Model Assumptions'!H$137</f>
        <v/>
      </c>
      <c r="H336" s="1177">
        <f>'Model Assumptions'!I$137</f>
        <v/>
      </c>
      <c r="I336" s="1177">
        <f>'Model Assumptions'!J$137</f>
        <v/>
      </c>
      <c r="J336" s="1177">
        <f>'Model Assumptions'!K$137</f>
        <v/>
      </c>
      <c r="K336" s="1169" t="n"/>
    </row>
    <row r="337" ht="14" customHeight="1" s="632">
      <c r="A337" s="1166" t="inlineStr">
        <is>
          <t>Maximum crude steel production</t>
        </is>
      </c>
      <c r="B337" s="1167" t="inlineStr">
        <is>
          <t>Mt</t>
        </is>
      </c>
      <c r="C337" s="1173">
        <f>C335*C336</f>
        <v/>
      </c>
      <c r="D337" s="1173">
        <f>D335*D336</f>
        <v/>
      </c>
      <c r="E337" s="1173">
        <f>E335*E336</f>
        <v/>
      </c>
      <c r="F337" s="1173">
        <f>F335*F336</f>
        <v/>
      </c>
      <c r="G337" s="1173">
        <f>G335*G336</f>
        <v/>
      </c>
      <c r="H337" s="1173">
        <f>H335*H336</f>
        <v/>
      </c>
      <c r="I337" s="1173">
        <f>I335*I336</f>
        <v/>
      </c>
      <c r="J337" s="1173">
        <f>J335*J336</f>
        <v/>
      </c>
      <c r="K337" s="1171">
        <f>IFERROR(IF(AND(ISNUMBER(C337),ISNUMBER(J337),C337&gt;0),(J337/C337)^(1/7)-1,""),"")</f>
        <v/>
      </c>
    </row>
    <row r="338" ht="14" customHeight="1" s="632">
      <c r="A338" s="1166" t="inlineStr">
        <is>
          <t>Crude steel production</t>
        </is>
      </c>
      <c r="B338" s="1167" t="inlineStr">
        <is>
          <t>Mt</t>
        </is>
      </c>
      <c r="C338" s="1172">
        <f>'Steel Supply Model'!$C$99</f>
        <v/>
      </c>
      <c r="D338" s="1173">
        <f>MIN(D330,D337)</f>
        <v/>
      </c>
      <c r="E338" s="1173">
        <f>MIN(E330,E337)</f>
        <v/>
      </c>
      <c r="F338" s="1173">
        <f>MIN(F330,F337)</f>
        <v/>
      </c>
      <c r="G338" s="1173">
        <f>MIN(G330,G337)</f>
        <v/>
      </c>
      <c r="H338" s="1173">
        <f>MIN(H330,H337)</f>
        <v/>
      </c>
      <c r="I338" s="1173">
        <f>MIN(I330,I337)</f>
        <v/>
      </c>
      <c r="J338" s="1173">
        <f>MIN(J330,J337)</f>
        <v/>
      </c>
      <c r="K338" s="1171">
        <f>IFERROR(IF(AND(ISNUMBER(C338),ISNUMBER(J338),C338&gt;0),(J338/C338)^(1/7)-1,""),"")</f>
        <v/>
      </c>
    </row>
    <row r="339" ht="14" customHeight="1" s="632">
      <c r="A339" s="1166" t="inlineStr">
        <is>
          <t>Capacity utilisation</t>
        </is>
      </c>
      <c r="B339" s="1167" t="inlineStr">
        <is>
          <t>%</t>
        </is>
      </c>
      <c r="C339" s="1171">
        <f>C338/C335</f>
        <v/>
      </c>
      <c r="D339" s="1171">
        <f>D338/D335</f>
        <v/>
      </c>
      <c r="E339" s="1171">
        <f>E338/E335</f>
        <v/>
      </c>
      <c r="F339" s="1171">
        <f>F338/F335</f>
        <v/>
      </c>
      <c r="G339" s="1171">
        <f>G338/G335</f>
        <v/>
      </c>
      <c r="H339" s="1171">
        <f>H338/H335</f>
        <v/>
      </c>
      <c r="I339" s="1171">
        <f>I338/I335</f>
        <v/>
      </c>
      <c r="J339" s="1171">
        <f>J338/J335</f>
        <v/>
      </c>
      <c r="K339" s="1169" t="n"/>
    </row>
    <row r="340" ht="14" customHeight="1" s="632">
      <c r="A340" s="1166" t="inlineStr">
        <is>
          <t>Finished steel production</t>
        </is>
      </c>
      <c r="B340" s="1167" t="inlineStr">
        <is>
          <t>Mt</t>
        </is>
      </c>
      <c r="C340" s="1172">
        <f>'Steel Supply Model'!$C$101</f>
        <v/>
      </c>
      <c r="D340" s="1173">
        <f>D338/D329</f>
        <v/>
      </c>
      <c r="E340" s="1173">
        <f>E338/E329</f>
        <v/>
      </c>
      <c r="F340" s="1173">
        <f>F338/F329</f>
        <v/>
      </c>
      <c r="G340" s="1173">
        <f>G338/G329</f>
        <v/>
      </c>
      <c r="H340" s="1173">
        <f>H338/H329</f>
        <v/>
      </c>
      <c r="I340" s="1173">
        <f>I338/I329</f>
        <v/>
      </c>
      <c r="J340" s="1173">
        <f>J338/J329</f>
        <v/>
      </c>
      <c r="K340" s="1171">
        <f>IFERROR(IF(AND(ISNUMBER(C340),ISNUMBER(J340),C340&gt;0),(J340/C340)^(1/7)-1,""),"")</f>
        <v/>
      </c>
    </row>
    <row r="341" ht="14" customHeight="1" s="632">
      <c r="A341" s="1166" t="inlineStr">
        <is>
          <t>Blended realisation - scenario driver</t>
        </is>
      </c>
      <c r="B341" s="1167" t="inlineStr">
        <is>
          <t>Rs/t</t>
        </is>
      </c>
      <c r="C341" s="1178">
        <f>'Steel Price Forecast'!$C$97</f>
        <v/>
      </c>
      <c r="D341" s="1178">
        <f>'Model Assumptions'!E$73</f>
        <v/>
      </c>
      <c r="E341" s="1178">
        <f>'Model Assumptions'!F$73</f>
        <v/>
      </c>
      <c r="F341" s="1178">
        <f>'Model Assumptions'!G$73</f>
        <v/>
      </c>
      <c r="G341" s="1178">
        <f>'Model Assumptions'!H$73</f>
        <v/>
      </c>
      <c r="H341" s="1178">
        <f>'Model Assumptions'!I$73</f>
        <v/>
      </c>
      <c r="I341" s="1178">
        <f>'Model Assumptions'!J$73</f>
        <v/>
      </c>
      <c r="J341" s="1178">
        <f>'Model Assumptions'!K$73</f>
        <v/>
      </c>
      <c r="K341" s="1171">
        <f>IFERROR(IF(AND(ISNUMBER(C341),ISNUMBER(J341),C341&gt;0),(J341/C341)^(1/7)-1,""),"")</f>
        <v/>
      </c>
    </row>
    <row r="342" ht="14" customHeight="1" s="632">
      <c r="A342" s="1166" t="inlineStr">
        <is>
          <t>Normal capacity utilisation</t>
        </is>
      </c>
      <c r="B342" s="1167" t="inlineStr">
        <is>
          <t>%</t>
        </is>
      </c>
      <c r="C342" s="1177">
        <f>'Model Assumptions'!$D$31</f>
        <v/>
      </c>
      <c r="D342" s="1177">
        <f>'Model Assumptions'!E$133</f>
        <v/>
      </c>
      <c r="E342" s="1177">
        <f>'Model Assumptions'!F$133</f>
        <v/>
      </c>
      <c r="F342" s="1177">
        <f>'Model Assumptions'!G$133</f>
        <v/>
      </c>
      <c r="G342" s="1177">
        <f>'Model Assumptions'!H$133</f>
        <v/>
      </c>
      <c r="H342" s="1177">
        <f>'Model Assumptions'!I$133</f>
        <v/>
      </c>
      <c r="I342" s="1177">
        <f>'Model Assumptions'!J$133</f>
        <v/>
      </c>
      <c r="J342" s="1177">
        <f>'Model Assumptions'!K$133</f>
        <v/>
      </c>
      <c r="K342" s="1169" t="n"/>
    </row>
    <row r="343" ht="14" customHeight="1" s="632">
      <c r="A343" s="1166" t="inlineStr">
        <is>
          <t>Price sensitivity to utilisation</t>
        </is>
      </c>
      <c r="B343" s="1167" t="inlineStr">
        <is>
          <t>x</t>
        </is>
      </c>
      <c r="C343" s="1170">
        <f>'Model Assumptions'!$D$30</f>
        <v/>
      </c>
      <c r="D343" s="1170">
        <f>'Model Assumptions'!E$129</f>
        <v/>
      </c>
      <c r="E343" s="1170">
        <f>'Model Assumptions'!F$129</f>
        <v/>
      </c>
      <c r="F343" s="1170">
        <f>'Model Assumptions'!G$129</f>
        <v/>
      </c>
      <c r="G343" s="1170">
        <f>'Model Assumptions'!H$129</f>
        <v/>
      </c>
      <c r="H343" s="1170">
        <f>'Model Assumptions'!I$129</f>
        <v/>
      </c>
      <c r="I343" s="1170">
        <f>'Model Assumptions'!J$129</f>
        <v/>
      </c>
      <c r="J343" s="1170">
        <f>'Model Assumptions'!K$129</f>
        <v/>
      </c>
      <c r="K343" s="1169" t="n"/>
    </row>
    <row r="344" ht="14" customHeight="1" s="632">
      <c r="A344" s="1166" t="inlineStr">
        <is>
          <t>Price adjustment factor (lagged one year)</t>
        </is>
      </c>
      <c r="B344" s="1167" t="inlineStr">
        <is>
          <t>x</t>
        </is>
      </c>
      <c r="C344" s="1179">
        <f>1</f>
        <v/>
      </c>
      <c r="D344" s="1180">
        <f>1+D343*(C339-D342)</f>
        <v/>
      </c>
      <c r="E344" s="1180">
        <f>1+E343*(D339-E342)</f>
        <v/>
      </c>
      <c r="F344" s="1180">
        <f>1+F343*(E339-F342)</f>
        <v/>
      </c>
      <c r="G344" s="1180">
        <f>1+G343*(F339-G342)</f>
        <v/>
      </c>
      <c r="H344" s="1180">
        <f>1+H343*(G339-H342)</f>
        <v/>
      </c>
      <c r="I344" s="1180">
        <f>1+I343*(H339-I342)</f>
        <v/>
      </c>
      <c r="J344" s="1180">
        <f>1+J343*(I339-J342)</f>
        <v/>
      </c>
      <c r="K344" s="1169" t="n"/>
    </row>
    <row r="345" ht="14" customHeight="1" s="632">
      <c r="A345" s="1166" t="inlineStr">
        <is>
          <t>Blended realisation - effective</t>
        </is>
      </c>
      <c r="B345" s="1167" t="inlineStr">
        <is>
          <t>Rs/t</t>
        </is>
      </c>
      <c r="C345" s="1178">
        <f>'Steel Price Forecast'!$C$103</f>
        <v/>
      </c>
      <c r="D345" s="1181">
        <f>D341*D344</f>
        <v/>
      </c>
      <c r="E345" s="1181">
        <f>E341*E344</f>
        <v/>
      </c>
      <c r="F345" s="1181">
        <f>F341*F344</f>
        <v/>
      </c>
      <c r="G345" s="1181">
        <f>G341*G344</f>
        <v/>
      </c>
      <c r="H345" s="1181">
        <f>H341*H344</f>
        <v/>
      </c>
      <c r="I345" s="1181">
        <f>I341*I344</f>
        <v/>
      </c>
      <c r="J345" s="1181">
        <f>J341*J344</f>
        <v/>
      </c>
      <c r="K345" s="1171">
        <f>IFERROR(IF(AND(ISNUMBER(C345),ISNUMBER(J345),C345&gt;0),(J345/C345)^(1/7)-1,""),"")</f>
        <v/>
      </c>
    </row>
    <row r="346" ht="14" customHeight="1" s="632">
      <c r="A346" s="1166" t="inlineStr">
        <is>
          <t>Iron ore 62% Fe CFR China</t>
        </is>
      </c>
      <c r="B346" s="1167" t="inlineStr">
        <is>
          <t>US$/dmt</t>
        </is>
      </c>
      <c r="C346" s="1172">
        <f>'Raw Material Forecast'!$C$85</f>
        <v/>
      </c>
      <c r="D346" s="1172">
        <f>'Model Assumptions'!E$77</f>
        <v/>
      </c>
      <c r="E346" s="1172">
        <f>'Model Assumptions'!F$77</f>
        <v/>
      </c>
      <c r="F346" s="1172">
        <f>'Model Assumptions'!G$77</f>
        <v/>
      </c>
      <c r="G346" s="1172">
        <f>'Model Assumptions'!H$77</f>
        <v/>
      </c>
      <c r="H346" s="1172">
        <f>'Model Assumptions'!I$77</f>
        <v/>
      </c>
      <c r="I346" s="1172">
        <f>'Model Assumptions'!J$77</f>
        <v/>
      </c>
      <c r="J346" s="1172">
        <f>'Model Assumptions'!K$77</f>
        <v/>
      </c>
      <c r="K346" s="1171">
        <f>IFERROR(IF(AND(ISNUMBER(C346),ISNUMBER(J346),C346&gt;0),(J346/C346)^(1/7)-1,""),"")</f>
        <v/>
      </c>
    </row>
    <row r="347" ht="14" customHeight="1" s="632">
      <c r="A347" s="1166" t="inlineStr">
        <is>
          <t>Premium HCC coking coal FOB Australia</t>
        </is>
      </c>
      <c r="B347" s="1167" t="inlineStr">
        <is>
          <t>US$/t</t>
        </is>
      </c>
      <c r="C347" s="1178">
        <f>'Raw Material Forecast'!$C$86</f>
        <v/>
      </c>
      <c r="D347" s="1178">
        <f>'Model Assumptions'!E$81</f>
        <v/>
      </c>
      <c r="E347" s="1178">
        <f>'Model Assumptions'!F$81</f>
        <v/>
      </c>
      <c r="F347" s="1178">
        <f>'Model Assumptions'!G$81</f>
        <v/>
      </c>
      <c r="G347" s="1178">
        <f>'Model Assumptions'!H$81</f>
        <v/>
      </c>
      <c r="H347" s="1178">
        <f>'Model Assumptions'!I$81</f>
        <v/>
      </c>
      <c r="I347" s="1178">
        <f>'Model Assumptions'!J$81</f>
        <v/>
      </c>
      <c r="J347" s="1178">
        <f>'Model Assumptions'!K$81</f>
        <v/>
      </c>
      <c r="K347" s="1171">
        <f>IFERROR(IF(AND(ISNUMBER(C347),ISNUMBER(J347),C347&gt;0),(J347/C347)^(1/7)-1,""),"")</f>
        <v/>
      </c>
    </row>
    <row r="348" ht="14" customHeight="1" s="632">
      <c r="A348" s="1166" t="inlineStr">
        <is>
          <t>USD/INR</t>
        </is>
      </c>
      <c r="B348" s="1167" t="inlineStr">
        <is>
          <t>Rs/US$</t>
        </is>
      </c>
      <c r="C348" s="1172">
        <f>'Raw Material Forecast'!$C$87</f>
        <v/>
      </c>
      <c r="D348" s="1172">
        <f>'Model Assumptions'!E$49</f>
        <v/>
      </c>
      <c r="E348" s="1172">
        <f>'Model Assumptions'!F$49</f>
        <v/>
      </c>
      <c r="F348" s="1172">
        <f>'Model Assumptions'!G$49</f>
        <v/>
      </c>
      <c r="G348" s="1172">
        <f>'Model Assumptions'!H$49</f>
        <v/>
      </c>
      <c r="H348" s="1172">
        <f>'Model Assumptions'!I$49</f>
        <v/>
      </c>
      <c r="I348" s="1172">
        <f>'Model Assumptions'!J$49</f>
        <v/>
      </c>
      <c r="J348" s="1172">
        <f>'Model Assumptions'!K$49</f>
        <v/>
      </c>
      <c r="K348" s="1171">
        <f>IFERROR(IF(AND(ISNUMBER(C348),ISNUMBER(J348),C348&gt;0),(J348/C348)^(1/7)-1,""),"")</f>
        <v/>
      </c>
    </row>
    <row r="349" ht="14" customHeight="1" s="632">
      <c r="A349" s="1166" t="inlineStr">
        <is>
          <t>Iron ore in rupees</t>
        </is>
      </c>
      <c r="B349" s="1167" t="inlineStr">
        <is>
          <t>Rs/dmt</t>
        </is>
      </c>
      <c r="C349" s="1178">
        <f>'Raw Material Forecast'!$C$89</f>
        <v/>
      </c>
      <c r="D349" s="1181">
        <f>D346*D348</f>
        <v/>
      </c>
      <c r="E349" s="1181">
        <f>E346*E348</f>
        <v/>
      </c>
      <c r="F349" s="1181">
        <f>F346*F348</f>
        <v/>
      </c>
      <c r="G349" s="1181">
        <f>G346*G348</f>
        <v/>
      </c>
      <c r="H349" s="1181">
        <f>H346*H348</f>
        <v/>
      </c>
      <c r="I349" s="1181">
        <f>I346*I348</f>
        <v/>
      </c>
      <c r="J349" s="1181">
        <f>J346*J348</f>
        <v/>
      </c>
      <c r="K349" s="1171">
        <f>IFERROR(IF(AND(ISNUMBER(C349),ISNUMBER(J349),C349&gt;0),(J349/C349)^(1/7)-1,""),"")</f>
        <v/>
      </c>
    </row>
    <row r="350" ht="14" customHeight="1" s="632">
      <c r="A350" s="1166" t="inlineStr">
        <is>
          <t>Coking coal in rupees</t>
        </is>
      </c>
      <c r="B350" s="1167" t="inlineStr">
        <is>
          <t>Rs/t</t>
        </is>
      </c>
      <c r="C350" s="1178">
        <f>'Raw Material Forecast'!$C$90</f>
        <v/>
      </c>
      <c r="D350" s="1181">
        <f>D347*D348</f>
        <v/>
      </c>
      <c r="E350" s="1181">
        <f>E347*E348</f>
        <v/>
      </c>
      <c r="F350" s="1181">
        <f>F347*F348</f>
        <v/>
      </c>
      <c r="G350" s="1181">
        <f>G347*G348</f>
        <v/>
      </c>
      <c r="H350" s="1181">
        <f>H347*H348</f>
        <v/>
      </c>
      <c r="I350" s="1181">
        <f>I347*I348</f>
        <v/>
      </c>
      <c r="J350" s="1181">
        <f>J347*J348</f>
        <v/>
      </c>
      <c r="K350" s="1171">
        <f>IFERROR(IF(AND(ISNUMBER(C350),ISNUMBER(J350),C350&gt;0),(J350/C350)^(1/7)-1,""),"")</f>
        <v/>
      </c>
    </row>
    <row r="351" ht="14" customHeight="1" s="632">
      <c r="A351" s="1166" t="inlineStr">
        <is>
          <t>Conversion cost inflation</t>
        </is>
      </c>
      <c r="B351" s="1167" t="inlineStr">
        <is>
          <t>%</t>
        </is>
      </c>
      <c r="C351" s="1176" t="n"/>
      <c r="D351" s="1168">
        <f>'Model Assumptions'!E$85</f>
        <v/>
      </c>
      <c r="E351" s="1168">
        <f>'Model Assumptions'!F$85</f>
        <v/>
      </c>
      <c r="F351" s="1168">
        <f>'Model Assumptions'!G$85</f>
        <v/>
      </c>
      <c r="G351" s="1168">
        <f>'Model Assumptions'!H$85</f>
        <v/>
      </c>
      <c r="H351" s="1168">
        <f>'Model Assumptions'!I$85</f>
        <v/>
      </c>
      <c r="I351" s="1168">
        <f>'Model Assumptions'!J$85</f>
        <v/>
      </c>
      <c r="J351" s="1168">
        <f>'Model Assumptions'!K$85</f>
        <v/>
      </c>
      <c r="K351" s="1169" t="n"/>
    </row>
    <row r="352" ht="14" customHeight="1" s="632">
      <c r="A352" s="1166" t="inlineStr">
        <is>
          <t>Conversion cost index</t>
        </is>
      </c>
      <c r="B352" s="1167" t="inlineStr">
        <is>
          <t>x</t>
        </is>
      </c>
      <c r="C352" s="1179">
        <f>1</f>
        <v/>
      </c>
      <c r="D352" s="1180">
        <f>C352*(1+D351)</f>
        <v/>
      </c>
      <c r="E352" s="1180">
        <f>D352*(1+E351)</f>
        <v/>
      </c>
      <c r="F352" s="1180">
        <f>E352*(1+F351)</f>
        <v/>
      </c>
      <c r="G352" s="1180">
        <f>F352*(1+G351)</f>
        <v/>
      </c>
      <c r="H352" s="1180">
        <f>G352*(1+H351)</f>
        <v/>
      </c>
      <c r="I352" s="1180">
        <f>H352*(1+I351)</f>
        <v/>
      </c>
      <c r="J352" s="1180">
        <f>I352*(1+J351)</f>
        <v/>
      </c>
      <c r="K352" s="1169" t="n"/>
    </row>
    <row r="353" ht="14" customHeight="1" s="632">
      <c r="A353" s="1166" t="inlineStr">
        <is>
          <t>Iron ore weight in the raw material basket</t>
        </is>
      </c>
      <c r="B353" s="1167" t="inlineStr">
        <is>
          <t>%</t>
        </is>
      </c>
      <c r="C353" s="1177">
        <f>'Model Assumptions'!$D$21</f>
        <v/>
      </c>
      <c r="D353" s="1177">
        <f>'Model Assumptions'!E$93</f>
        <v/>
      </c>
      <c r="E353" s="1177">
        <f>'Model Assumptions'!F$93</f>
        <v/>
      </c>
      <c r="F353" s="1177">
        <f>'Model Assumptions'!G$93</f>
        <v/>
      </c>
      <c r="G353" s="1177">
        <f>'Model Assumptions'!H$93</f>
        <v/>
      </c>
      <c r="H353" s="1177">
        <f>'Model Assumptions'!I$93</f>
        <v/>
      </c>
      <c r="I353" s="1177">
        <f>'Model Assumptions'!J$93</f>
        <v/>
      </c>
      <c r="J353" s="1177">
        <f>'Model Assumptions'!K$93</f>
        <v/>
      </c>
      <c r="K353" s="1169" t="n"/>
    </row>
    <row r="354" ht="14" customHeight="1" s="632">
      <c r="A354" s="1166" t="inlineStr">
        <is>
          <t>Raw material cost index</t>
        </is>
      </c>
      <c r="B354" s="1167" t="inlineStr">
        <is>
          <t>x</t>
        </is>
      </c>
      <c r="C354" s="1179">
        <f>1</f>
        <v/>
      </c>
      <c r="D354" s="1180">
        <f>D353*(D349/$C$349)+D353*(D350/$C$350)+(1-2*D353)*D352</f>
        <v/>
      </c>
      <c r="E354" s="1180">
        <f>E353*(E349/$C$349)+E353*(E350/$C$350)+(1-2*E353)*E352</f>
        <v/>
      </c>
      <c r="F354" s="1180">
        <f>F353*(F349/$C$349)+F353*(F350/$C$350)+(1-2*F353)*F352</f>
        <v/>
      </c>
      <c r="G354" s="1180">
        <f>G353*(G349/$C$349)+G353*(G350/$C$350)+(1-2*G353)*G352</f>
        <v/>
      </c>
      <c r="H354" s="1180">
        <f>H353*(H349/$C$349)+H353*(H350/$C$350)+(1-2*H353)*H352</f>
        <v/>
      </c>
      <c r="I354" s="1180">
        <f>I353*(I349/$C$349)+I353*(I350/$C$350)+(1-2*I353)*I352</f>
        <v/>
      </c>
      <c r="J354" s="1180">
        <f>J353*(J349/$C$349)+J353*(J350/$C$350)+(1-2*J353)*J352</f>
        <v/>
      </c>
      <c r="K354" s="1169" t="n"/>
    </row>
    <row r="355" ht="14" customHeight="1" s="632">
      <c r="A355" s="1166" t="inlineStr">
        <is>
          <t>Raw material share of cash cost</t>
        </is>
      </c>
      <c r="B355" s="1167" t="inlineStr">
        <is>
          <t>%</t>
        </is>
      </c>
      <c r="C355" s="1177">
        <f>'Model Assumptions'!$D$20</f>
        <v/>
      </c>
      <c r="D355" s="1177">
        <f>'Model Assumptions'!E$89</f>
        <v/>
      </c>
      <c r="E355" s="1177">
        <f>'Model Assumptions'!F$89</f>
        <v/>
      </c>
      <c r="F355" s="1177">
        <f>'Model Assumptions'!G$89</f>
        <v/>
      </c>
      <c r="G355" s="1177">
        <f>'Model Assumptions'!H$89</f>
        <v/>
      </c>
      <c r="H355" s="1177">
        <f>'Model Assumptions'!I$89</f>
        <v/>
      </c>
      <c r="I355" s="1177">
        <f>'Model Assumptions'!J$89</f>
        <v/>
      </c>
      <c r="J355" s="1177">
        <f>'Model Assumptions'!K$89</f>
        <v/>
      </c>
      <c r="K355" s="1169" t="n"/>
    </row>
    <row r="356" ht="14" customHeight="1" s="632">
      <c r="A356" s="1166" t="inlineStr">
        <is>
          <t>Industry cash cost per tonne</t>
        </is>
      </c>
      <c r="B356" s="1167" t="inlineStr">
        <is>
          <t>Rs/t</t>
        </is>
      </c>
      <c r="C356" s="1178">
        <f>'Cost Curve'!$C$80</f>
        <v/>
      </c>
      <c r="D356" s="1181">
        <f>$C$356*(D355*D354+(1-D355)*D352)</f>
        <v/>
      </c>
      <c r="E356" s="1181">
        <f>$C$356*(E355*E354+(1-E355)*E352)</f>
        <v/>
      </c>
      <c r="F356" s="1181">
        <f>$C$356*(F355*F354+(1-F355)*F352)</f>
        <v/>
      </c>
      <c r="G356" s="1181">
        <f>$C$356*(G355*G354+(1-G355)*G352)</f>
        <v/>
      </c>
      <c r="H356" s="1181">
        <f>$C$356*(H355*H354+(1-H355)*H352)</f>
        <v/>
      </c>
      <c r="I356" s="1181">
        <f>$C$356*(I355*I354+(1-I355)*I352)</f>
        <v/>
      </c>
      <c r="J356" s="1181">
        <f>$C$356*(J355*J354+(1-J355)*J352)</f>
        <v/>
      </c>
      <c r="K356" s="1171">
        <f>IFERROR(IF(AND(ISNUMBER(C356),ISNUMBER(J356),C356&gt;0),(J356/C356)^(1/7)-1,""),"")</f>
        <v/>
      </c>
    </row>
    <row r="357" ht="14" customHeight="1" s="632">
      <c r="A357" s="1166" t="inlineStr">
        <is>
          <t>Industry EBITDA per tonne</t>
        </is>
      </c>
      <c r="B357" s="1167" t="inlineStr">
        <is>
          <t>Rs/t</t>
        </is>
      </c>
      <c r="C357" s="1181">
        <f>C345-C356</f>
        <v/>
      </c>
      <c r="D357" s="1181">
        <f>D345-D356</f>
        <v/>
      </c>
      <c r="E357" s="1181">
        <f>E345-E356</f>
        <v/>
      </c>
      <c r="F357" s="1181">
        <f>F345-F356</f>
        <v/>
      </c>
      <c r="G357" s="1181">
        <f>G345-G356</f>
        <v/>
      </c>
      <c r="H357" s="1181">
        <f>H345-H356</f>
        <v/>
      </c>
      <c r="I357" s="1181">
        <f>I345-I356</f>
        <v/>
      </c>
      <c r="J357" s="1181">
        <f>J345-J356</f>
        <v/>
      </c>
      <c r="K357" s="1171">
        <f>IFERROR(IF(AND(ISNUMBER(C357),ISNUMBER(J357),C357&gt;0),(J357/C357)^(1/7)-1,""),"")</f>
        <v/>
      </c>
    </row>
    <row r="358" ht="14" customHeight="1" s="632">
      <c r="A358" s="1166" t="inlineStr">
        <is>
          <t>Industry revenue</t>
        </is>
      </c>
      <c r="B358" s="1167" t="inlineStr">
        <is>
          <t>Rs cr</t>
        </is>
      </c>
      <c r="C358" s="1178">
        <f>'Revenue Forecast'!$C$96</f>
        <v/>
      </c>
      <c r="D358" s="1181">
        <f>D340*D345/10</f>
        <v/>
      </c>
      <c r="E358" s="1181">
        <f>E340*E345/10</f>
        <v/>
      </c>
      <c r="F358" s="1181">
        <f>F340*F345/10</f>
        <v/>
      </c>
      <c r="G358" s="1181">
        <f>G340*G345/10</f>
        <v/>
      </c>
      <c r="H358" s="1181">
        <f>H340*H345/10</f>
        <v/>
      </c>
      <c r="I358" s="1181">
        <f>I340*I345/10</f>
        <v/>
      </c>
      <c r="J358" s="1181">
        <f>J340*J345/10</f>
        <v/>
      </c>
      <c r="K358" s="1171">
        <f>IFERROR(IF(AND(ISNUMBER(C358),ISNUMBER(J358),C358&gt;0),(J358/C358)^(1/7)-1,""),"")</f>
        <v/>
      </c>
    </row>
    <row r="359" ht="14" customHeight="1" s="632">
      <c r="A359" s="1166" t="inlineStr">
        <is>
          <t>Industry EBITDA</t>
        </is>
      </c>
      <c r="B359" s="1167" t="inlineStr">
        <is>
          <t>Rs cr</t>
        </is>
      </c>
      <c r="C359" s="1181">
        <f>C340*C357/10</f>
        <v/>
      </c>
      <c r="D359" s="1181">
        <f>D340*D357/10</f>
        <v/>
      </c>
      <c r="E359" s="1181">
        <f>E340*E357/10</f>
        <v/>
      </c>
      <c r="F359" s="1181">
        <f>F340*F357/10</f>
        <v/>
      </c>
      <c r="G359" s="1181">
        <f>G340*G357/10</f>
        <v/>
      </c>
      <c r="H359" s="1181">
        <f>H340*H357/10</f>
        <v/>
      </c>
      <c r="I359" s="1181">
        <f>I340*I357/10</f>
        <v/>
      </c>
      <c r="J359" s="1181">
        <f>J340*J357/10</f>
        <v/>
      </c>
      <c r="K359" s="1171">
        <f>IFERROR(IF(AND(ISNUMBER(C359),ISNUMBER(J359),C359&gt;0),(J359/C359)^(1/7)-1,""),"")</f>
        <v/>
      </c>
    </row>
    <row r="360" ht="14" customHeight="1" s="632">
      <c r="A360" s="1166" t="inlineStr">
        <is>
          <t>Industry EBITDA margin</t>
        </is>
      </c>
      <c r="B360" s="1167" t="inlineStr">
        <is>
          <t>%</t>
        </is>
      </c>
      <c r="C360" s="1171">
        <f>C357/C345</f>
        <v/>
      </c>
      <c r="D360" s="1171">
        <f>D357/D345</f>
        <v/>
      </c>
      <c r="E360" s="1171">
        <f>E357/E345</f>
        <v/>
      </c>
      <c r="F360" s="1171">
        <f>F357/F345</f>
        <v/>
      </c>
      <c r="G360" s="1171">
        <f>G357/G345</f>
        <v/>
      </c>
      <c r="H360" s="1171">
        <f>H357/H345</f>
        <v/>
      </c>
      <c r="I360" s="1171">
        <f>I357/I345</f>
        <v/>
      </c>
      <c r="J360" s="1171">
        <f>J357/J345</f>
        <v/>
      </c>
      <c r="K360" s="1169" t="n"/>
    </row>
    <row r="361" ht="14" customHeight="1" s="632">
      <c r="A361" s="1166" t="inlineStr">
        <is>
          <t>Depreciation and amortisation</t>
        </is>
      </c>
      <c r="B361" s="1167" t="inlineStr">
        <is>
          <t>% of revenue</t>
        </is>
      </c>
      <c r="C361" s="1182">
        <f>'Cash Flow Model'!$C$98</f>
        <v/>
      </c>
      <c r="D361" s="1182">
        <f>'Model Assumptions'!E$141</f>
        <v/>
      </c>
      <c r="E361" s="1182">
        <f>'Model Assumptions'!F$141</f>
        <v/>
      </c>
      <c r="F361" s="1182">
        <f>'Model Assumptions'!G$141</f>
        <v/>
      </c>
      <c r="G361" s="1182">
        <f>'Model Assumptions'!H$141</f>
        <v/>
      </c>
      <c r="H361" s="1182">
        <f>'Model Assumptions'!I$141</f>
        <v/>
      </c>
      <c r="I361" s="1182">
        <f>'Model Assumptions'!J$141</f>
        <v/>
      </c>
      <c r="J361" s="1182">
        <f>'Model Assumptions'!K$141</f>
        <v/>
      </c>
      <c r="K361" s="1169" t="n"/>
    </row>
    <row r="362" ht="14" customHeight="1" s="632">
      <c r="A362" s="1166" t="inlineStr">
        <is>
          <t>Depreciation and amortisation</t>
        </is>
      </c>
      <c r="B362" s="1167" t="inlineStr">
        <is>
          <t>Rs cr</t>
        </is>
      </c>
      <c r="C362" s="1181">
        <f>C358*C361</f>
        <v/>
      </c>
      <c r="D362" s="1181">
        <f>D358*D361</f>
        <v/>
      </c>
      <c r="E362" s="1181">
        <f>E358*E361</f>
        <v/>
      </c>
      <c r="F362" s="1181">
        <f>F358*F361</f>
        <v/>
      </c>
      <c r="G362" s="1181">
        <f>G358*G361</f>
        <v/>
      </c>
      <c r="H362" s="1181">
        <f>H358*H361</f>
        <v/>
      </c>
      <c r="I362" s="1181">
        <f>I358*I361</f>
        <v/>
      </c>
      <c r="J362" s="1181">
        <f>J358*J361</f>
        <v/>
      </c>
      <c r="K362" s="1171">
        <f>IFERROR(IF(AND(ISNUMBER(C362),ISNUMBER(J362),C362&gt;0),(J362/C362)^(1/7)-1,""),"")</f>
        <v/>
      </c>
    </row>
    <row r="363" ht="14" customHeight="1" s="632">
      <c r="A363" s="1166" t="inlineStr">
        <is>
          <t>EBIT</t>
        </is>
      </c>
      <c r="B363" s="1167" t="inlineStr">
        <is>
          <t>Rs cr</t>
        </is>
      </c>
      <c r="C363" s="1183">
        <f>C359-C362</f>
        <v/>
      </c>
      <c r="D363" s="1183">
        <f>D359-D362</f>
        <v/>
      </c>
      <c r="E363" s="1183">
        <f>E359-E362</f>
        <v/>
      </c>
      <c r="F363" s="1183">
        <f>F359-F362</f>
        <v/>
      </c>
      <c r="G363" s="1183">
        <f>G359-G362</f>
        <v/>
      </c>
      <c r="H363" s="1183">
        <f>H359-H362</f>
        <v/>
      </c>
      <c r="I363" s="1183">
        <f>I359-I362</f>
        <v/>
      </c>
      <c r="J363" s="1183">
        <f>J359-J362</f>
        <v/>
      </c>
      <c r="K363" s="1171">
        <f>IFERROR(IF(AND(ISNUMBER(C363),ISNUMBER(J363),C363&gt;0),(J363/C363)^(1/7)-1,""),"")</f>
        <v/>
      </c>
    </row>
    <row r="364" ht="14" customHeight="1" s="632">
      <c r="A364" s="1166" t="inlineStr">
        <is>
          <t>Effective tax rate</t>
        </is>
      </c>
      <c r="B364" s="1167" t="inlineStr">
        <is>
          <t>%</t>
        </is>
      </c>
      <c r="C364" s="1182">
        <f>'Cash Flow Model'!$C$101</f>
        <v/>
      </c>
      <c r="D364" s="1182">
        <f>'Model Assumptions'!E$97</f>
        <v/>
      </c>
      <c r="E364" s="1182">
        <f>'Model Assumptions'!F$97</f>
        <v/>
      </c>
      <c r="F364" s="1182">
        <f>'Model Assumptions'!G$97</f>
        <v/>
      </c>
      <c r="G364" s="1182">
        <f>'Model Assumptions'!H$97</f>
        <v/>
      </c>
      <c r="H364" s="1182">
        <f>'Model Assumptions'!I$97</f>
        <v/>
      </c>
      <c r="I364" s="1182">
        <f>'Model Assumptions'!J$97</f>
        <v/>
      </c>
      <c r="J364" s="1182">
        <f>'Model Assumptions'!K$97</f>
        <v/>
      </c>
      <c r="K364" s="1169" t="n"/>
    </row>
    <row r="365" ht="14" customHeight="1" s="632">
      <c r="A365" s="1166" t="inlineStr">
        <is>
          <t>Cash tax</t>
        </is>
      </c>
      <c r="B365" s="1167" t="inlineStr">
        <is>
          <t>Rs cr</t>
        </is>
      </c>
      <c r="C365" s="1181">
        <f>MAX(0,C363)*C364</f>
        <v/>
      </c>
      <c r="D365" s="1181">
        <f>MAX(0,D363)*D364</f>
        <v/>
      </c>
      <c r="E365" s="1181">
        <f>MAX(0,E363)*E364</f>
        <v/>
      </c>
      <c r="F365" s="1181">
        <f>MAX(0,F363)*F364</f>
        <v/>
      </c>
      <c r="G365" s="1181">
        <f>MAX(0,G363)*G364</f>
        <v/>
      </c>
      <c r="H365" s="1181">
        <f>MAX(0,H363)*H364</f>
        <v/>
      </c>
      <c r="I365" s="1181">
        <f>MAX(0,I363)*I364</f>
        <v/>
      </c>
      <c r="J365" s="1181">
        <f>MAX(0,J363)*J364</f>
        <v/>
      </c>
      <c r="K365" s="1171">
        <f>IFERROR(IF(AND(ISNUMBER(C365),ISNUMBER(J365),C365&gt;0),(J365/C365)^(1/7)-1,""),"")</f>
        <v/>
      </c>
    </row>
    <row r="366" ht="14" customHeight="1" s="632">
      <c r="A366" s="1166" t="inlineStr">
        <is>
          <t>Capex intensity</t>
        </is>
      </c>
      <c r="B366" s="1167" t="inlineStr">
        <is>
          <t>Rs/t of capacity</t>
        </is>
      </c>
      <c r="C366" s="1178">
        <f>'Model Assumptions'!$D$23</f>
        <v/>
      </c>
      <c r="D366" s="1178">
        <f>'Model Assumptions'!E$101</f>
        <v/>
      </c>
      <c r="E366" s="1178">
        <f>'Model Assumptions'!F$101</f>
        <v/>
      </c>
      <c r="F366" s="1178">
        <f>'Model Assumptions'!G$101</f>
        <v/>
      </c>
      <c r="G366" s="1178">
        <f>'Model Assumptions'!H$101</f>
        <v/>
      </c>
      <c r="H366" s="1178">
        <f>'Model Assumptions'!I$101</f>
        <v/>
      </c>
      <c r="I366" s="1178">
        <f>'Model Assumptions'!J$101</f>
        <v/>
      </c>
      <c r="J366" s="1178">
        <f>'Model Assumptions'!K$101</f>
        <v/>
      </c>
      <c r="K366" s="1171">
        <f>IFERROR(IF(AND(ISNUMBER(C366),ISNUMBER(J366),C366&gt;0),(J366/C366)^(1/7)-1,""),"")</f>
        <v/>
      </c>
    </row>
    <row r="367" ht="14" customHeight="1" s="632">
      <c r="A367" s="1166" t="inlineStr">
        <is>
          <t>Growth capex</t>
        </is>
      </c>
      <c r="B367" s="1167" t="inlineStr">
        <is>
          <t>Rs cr</t>
        </is>
      </c>
      <c r="C367" s="1176" t="n"/>
      <c r="D367" s="1181">
        <f>D334*D366/10</f>
        <v/>
      </c>
      <c r="E367" s="1181">
        <f>E334*E366/10</f>
        <v/>
      </c>
      <c r="F367" s="1181">
        <f>F334*F366/10</f>
        <v/>
      </c>
      <c r="G367" s="1181">
        <f>G334*G366/10</f>
        <v/>
      </c>
      <c r="H367" s="1181">
        <f>H334*H366/10</f>
        <v/>
      </c>
      <c r="I367" s="1181">
        <f>I334*I366/10</f>
        <v/>
      </c>
      <c r="J367" s="1181">
        <f>J334*J366/10</f>
        <v/>
      </c>
      <c r="K367" s="1169" t="n"/>
    </row>
    <row r="368" ht="14" customHeight="1" s="632">
      <c r="A368" s="1166" t="inlineStr">
        <is>
          <t>Maintenance capex</t>
        </is>
      </c>
      <c r="B368" s="1167" t="inlineStr">
        <is>
          <t>% of revenue</t>
        </is>
      </c>
      <c r="C368" s="1168">
        <f>'Model Assumptions'!$D$24</f>
        <v/>
      </c>
      <c r="D368" s="1168">
        <f>'Model Assumptions'!E$105</f>
        <v/>
      </c>
      <c r="E368" s="1168">
        <f>'Model Assumptions'!F$105</f>
        <v/>
      </c>
      <c r="F368" s="1168">
        <f>'Model Assumptions'!G$105</f>
        <v/>
      </c>
      <c r="G368" s="1168">
        <f>'Model Assumptions'!H$105</f>
        <v/>
      </c>
      <c r="H368" s="1168">
        <f>'Model Assumptions'!I$105</f>
        <v/>
      </c>
      <c r="I368" s="1168">
        <f>'Model Assumptions'!J$105</f>
        <v/>
      </c>
      <c r="J368" s="1168">
        <f>'Model Assumptions'!K$105</f>
        <v/>
      </c>
      <c r="K368" s="1169" t="n"/>
    </row>
    <row r="369" ht="14" customHeight="1" s="632">
      <c r="A369" s="1166" t="inlineStr">
        <is>
          <t>Maintenance capex</t>
        </is>
      </c>
      <c r="B369" s="1167" t="inlineStr">
        <is>
          <t>Rs cr</t>
        </is>
      </c>
      <c r="C369" s="1176" t="n"/>
      <c r="D369" s="1181">
        <f>D358*D368</f>
        <v/>
      </c>
      <c r="E369" s="1181">
        <f>E358*E368</f>
        <v/>
      </c>
      <c r="F369" s="1181">
        <f>F358*F368</f>
        <v/>
      </c>
      <c r="G369" s="1181">
        <f>G358*G368</f>
        <v/>
      </c>
      <c r="H369" s="1181">
        <f>H358*H368</f>
        <v/>
      </c>
      <c r="I369" s="1181">
        <f>I358*I368</f>
        <v/>
      </c>
      <c r="J369" s="1181">
        <f>J358*J368</f>
        <v/>
      </c>
      <c r="K369" s="1169" t="n"/>
    </row>
    <row r="370" ht="14" customHeight="1" s="632">
      <c r="A370" s="1166" t="inlineStr">
        <is>
          <t>Total capex</t>
        </is>
      </c>
      <c r="B370" s="1167" t="inlineStr">
        <is>
          <t>Rs cr</t>
        </is>
      </c>
      <c r="C370" s="1176" t="n"/>
      <c r="D370" s="1181">
        <f>D367+D369</f>
        <v/>
      </c>
      <c r="E370" s="1181">
        <f>E367+E369</f>
        <v/>
      </c>
      <c r="F370" s="1181">
        <f>F367+F369</f>
        <v/>
      </c>
      <c r="G370" s="1181">
        <f>G367+G369</f>
        <v/>
      </c>
      <c r="H370" s="1181">
        <f>H367+H369</f>
        <v/>
      </c>
      <c r="I370" s="1181">
        <f>I367+I369</f>
        <v/>
      </c>
      <c r="J370" s="1181">
        <f>J367+J369</f>
        <v/>
      </c>
      <c r="K370" s="1169" t="n"/>
    </row>
    <row r="371" ht="14" customHeight="1" s="632">
      <c r="A371" s="1166" t="inlineStr">
        <is>
          <t>Net working capital</t>
        </is>
      </c>
      <c r="B371" s="1167" t="inlineStr">
        <is>
          <t>days of revenue</t>
        </is>
      </c>
      <c r="C371" s="1178">
        <f>'Working Capital Model'!$C$71</f>
        <v/>
      </c>
      <c r="D371" s="1178">
        <f>'Model Assumptions'!E$109</f>
        <v/>
      </c>
      <c r="E371" s="1178">
        <f>'Model Assumptions'!F$109</f>
        <v/>
      </c>
      <c r="F371" s="1178">
        <f>'Model Assumptions'!G$109</f>
        <v/>
      </c>
      <c r="G371" s="1178">
        <f>'Model Assumptions'!H$109</f>
        <v/>
      </c>
      <c r="H371" s="1178">
        <f>'Model Assumptions'!I$109</f>
        <v/>
      </c>
      <c r="I371" s="1178">
        <f>'Model Assumptions'!J$109</f>
        <v/>
      </c>
      <c r="J371" s="1178">
        <f>'Model Assumptions'!K$109</f>
        <v/>
      </c>
      <c r="K371" s="1171">
        <f>IFERROR(IF(AND(ISNUMBER(C371),ISNUMBER(J371),C371&gt;0),(J371/C371)^(1/7)-1,""),"")</f>
        <v/>
      </c>
    </row>
    <row r="372" ht="14" customHeight="1" s="632">
      <c r="A372" s="1166" t="inlineStr">
        <is>
          <t>Net working capital</t>
        </is>
      </c>
      <c r="B372" s="1167" t="inlineStr">
        <is>
          <t>Rs cr</t>
        </is>
      </c>
      <c r="C372" s="1178">
        <f>'Working Capital Model'!$C$72</f>
        <v/>
      </c>
      <c r="D372" s="1181">
        <f>D358*D371/365</f>
        <v/>
      </c>
      <c r="E372" s="1181">
        <f>E358*E371/365</f>
        <v/>
      </c>
      <c r="F372" s="1181">
        <f>F358*F371/365</f>
        <v/>
      </c>
      <c r="G372" s="1181">
        <f>G358*G371/365</f>
        <v/>
      </c>
      <c r="H372" s="1181">
        <f>H358*H371/365</f>
        <v/>
      </c>
      <c r="I372" s="1181">
        <f>I358*I371/365</f>
        <v/>
      </c>
      <c r="J372" s="1181">
        <f>J358*J371/365</f>
        <v/>
      </c>
      <c r="K372" s="1171">
        <f>IFERROR(IF(AND(ISNUMBER(C372),ISNUMBER(J372),C372&gt;0),(J372/C372)^(1/7)-1,""),"")</f>
        <v/>
      </c>
    </row>
    <row r="373" ht="14" customHeight="1" s="632">
      <c r="A373" s="1166" t="inlineStr">
        <is>
          <t>Change in net working capital</t>
        </is>
      </c>
      <c r="B373" s="1167" t="inlineStr">
        <is>
          <t>Rs cr</t>
        </is>
      </c>
      <c r="C373" s="1176" t="n"/>
      <c r="D373" s="1183">
        <f>D372-C372</f>
        <v/>
      </c>
      <c r="E373" s="1183">
        <f>E372-D372</f>
        <v/>
      </c>
      <c r="F373" s="1183">
        <f>F372-E372</f>
        <v/>
      </c>
      <c r="G373" s="1183">
        <f>G372-F372</f>
        <v/>
      </c>
      <c r="H373" s="1183">
        <f>H372-G372</f>
        <v/>
      </c>
      <c r="I373" s="1183">
        <f>I372-H372</f>
        <v/>
      </c>
      <c r="J373" s="1183">
        <f>J372-I372</f>
        <v/>
      </c>
      <c r="K373" s="1169" t="n"/>
    </row>
    <row r="374" ht="14" customHeight="1" s="632">
      <c r="A374" s="1166" t="inlineStr">
        <is>
          <t>Unlevered free cash flow</t>
        </is>
      </c>
      <c r="B374" s="1167" t="inlineStr">
        <is>
          <t>Rs cr</t>
        </is>
      </c>
      <c r="C374" s="1176" t="n"/>
      <c r="D374" s="1183">
        <f>D359-D365-D370-D373</f>
        <v/>
      </c>
      <c r="E374" s="1183">
        <f>E359-E365-E370-E373</f>
        <v/>
      </c>
      <c r="F374" s="1183">
        <f>F359-F365-F370-F373</f>
        <v/>
      </c>
      <c r="G374" s="1183">
        <f>G359-G365-G370-G373</f>
        <v/>
      </c>
      <c r="H374" s="1183">
        <f>H359-H365-H370-H373</f>
        <v/>
      </c>
      <c r="I374" s="1183">
        <f>I359-I365-I370-I373</f>
        <v/>
      </c>
      <c r="J374" s="1183">
        <f>J359-J365-J370-J373</f>
        <v/>
      </c>
      <c r="K374" s="1169" t="n"/>
    </row>
    <row r="375" ht="14" customHeight="1" s="632">
      <c r="A375" s="1166" t="inlineStr">
        <is>
          <t>Exit EV/EBITDA multiple</t>
        </is>
      </c>
      <c r="B375" s="1167" t="inlineStr">
        <is>
          <t>x</t>
        </is>
      </c>
      <c r="C375" s="1176" t="n"/>
      <c r="D375" s="1184">
        <f>'Model Assumptions'!E$113</f>
        <v/>
      </c>
      <c r="E375" s="1184">
        <f>'Model Assumptions'!F$113</f>
        <v/>
      </c>
      <c r="F375" s="1184">
        <f>'Model Assumptions'!G$113</f>
        <v/>
      </c>
      <c r="G375" s="1184">
        <f>'Model Assumptions'!H$113</f>
        <v/>
      </c>
      <c r="H375" s="1184">
        <f>'Model Assumptions'!I$113</f>
        <v/>
      </c>
      <c r="I375" s="1184">
        <f>'Model Assumptions'!J$113</f>
        <v/>
      </c>
      <c r="J375" s="1184">
        <f>'Model Assumptions'!K$113</f>
        <v/>
      </c>
      <c r="K375" s="1169" t="n"/>
    </row>
    <row r="376" ht="14" customHeight="1" s="632">
      <c r="A376" s="1166" t="inlineStr">
        <is>
          <t>WACC (nominal, INR)</t>
        </is>
      </c>
      <c r="B376" s="1167" t="inlineStr">
        <is>
          <t>%</t>
        </is>
      </c>
      <c r="C376" s="1176" t="n"/>
      <c r="D376" s="1168">
        <f>'Model Assumptions'!E$117</f>
        <v/>
      </c>
      <c r="E376" s="1168">
        <f>'Model Assumptions'!F$117</f>
        <v/>
      </c>
      <c r="F376" s="1168">
        <f>'Model Assumptions'!G$117</f>
        <v/>
      </c>
      <c r="G376" s="1168">
        <f>'Model Assumptions'!H$117</f>
        <v/>
      </c>
      <c r="H376" s="1168">
        <f>'Model Assumptions'!I$117</f>
        <v/>
      </c>
      <c r="I376" s="1168">
        <f>'Model Assumptions'!J$117</f>
        <v/>
      </c>
      <c r="J376" s="1168">
        <f>'Model Assumptions'!K$117</f>
        <v/>
      </c>
      <c r="K376" s="1169" t="n"/>
    </row>
    <row r="377" ht="14" customHeight="1" s="632">
      <c r="A377" s="1166" t="inlineStr">
        <is>
          <t>Finished steel imports - driver</t>
        </is>
      </c>
      <c r="B377" s="1167" t="inlineStr">
        <is>
          <t>Mt</t>
        </is>
      </c>
      <c r="C377" s="1172">
        <f>'Trade Model'!$C$74</f>
        <v/>
      </c>
      <c r="D377" s="1172">
        <f>'Model Assumptions'!E$121</f>
        <v/>
      </c>
      <c r="E377" s="1172">
        <f>'Model Assumptions'!F$121</f>
        <v/>
      </c>
      <c r="F377" s="1172">
        <f>'Model Assumptions'!G$121</f>
        <v/>
      </c>
      <c r="G377" s="1172">
        <f>'Model Assumptions'!H$121</f>
        <v/>
      </c>
      <c r="H377" s="1172">
        <f>'Model Assumptions'!I$121</f>
        <v/>
      </c>
      <c r="I377" s="1172">
        <f>'Model Assumptions'!J$121</f>
        <v/>
      </c>
      <c r="J377" s="1172">
        <f>'Model Assumptions'!K$121</f>
        <v/>
      </c>
      <c r="K377" s="1171">
        <f>IFERROR(IF(AND(ISNUMBER(C377),ISNUMBER(J377),C377&gt;0),(J377/C377)^(1/7)-1,""),"")</f>
        <v/>
      </c>
    </row>
    <row r="378" ht="14" customHeight="1" s="632">
      <c r="A378" s="1166" t="inlineStr">
        <is>
          <t>Shortfall routed from the capacity ceiling</t>
        </is>
      </c>
      <c r="B378" s="1167" t="inlineStr">
        <is>
          <t>Mt</t>
        </is>
      </c>
      <c r="C378" s="1172">
        <f>0</f>
        <v/>
      </c>
      <c r="D378" s="1173">
        <f>MAX(0,D328-D340)</f>
        <v/>
      </c>
      <c r="E378" s="1173">
        <f>MAX(0,E328-E340)</f>
        <v/>
      </c>
      <c r="F378" s="1173">
        <f>MAX(0,F328-F340)</f>
        <v/>
      </c>
      <c r="G378" s="1173">
        <f>MAX(0,G328-G340)</f>
        <v/>
      </c>
      <c r="H378" s="1173">
        <f>MAX(0,H328-H340)</f>
        <v/>
      </c>
      <c r="I378" s="1173">
        <f>MAX(0,I328-I340)</f>
        <v/>
      </c>
      <c r="J378" s="1173">
        <f>MAX(0,J328-J340)</f>
        <v/>
      </c>
      <c r="K378" s="1171">
        <f>IFERROR(IF(AND(ISNUMBER(C378),ISNUMBER(J378),C378&gt;0),(J378/C378)^(1/7)-1,""),"")</f>
        <v/>
      </c>
    </row>
    <row r="379" ht="14" customHeight="1" s="632">
      <c r="A379" s="1166" t="inlineStr">
        <is>
          <t>Total finished steel imports</t>
        </is>
      </c>
      <c r="B379" s="1167" t="inlineStr">
        <is>
          <t>Mt</t>
        </is>
      </c>
      <c r="C379" s="1173">
        <f>C377+C378</f>
        <v/>
      </c>
      <c r="D379" s="1173">
        <f>D377+D378</f>
        <v/>
      </c>
      <c r="E379" s="1173">
        <f>E377+E378</f>
        <v/>
      </c>
      <c r="F379" s="1173">
        <f>F377+F378</f>
        <v/>
      </c>
      <c r="G379" s="1173">
        <f>G377+G378</f>
        <v/>
      </c>
      <c r="H379" s="1173">
        <f>H377+H378</f>
        <v/>
      </c>
      <c r="I379" s="1173">
        <f>I377+I378</f>
        <v/>
      </c>
      <c r="J379" s="1173">
        <f>J377+J378</f>
        <v/>
      </c>
      <c r="K379" s="1171">
        <f>IFERROR(IF(AND(ISNUMBER(C379),ISNUMBER(J379),C379&gt;0),(J379/C379)^(1/7)-1,""),"")</f>
        <v/>
      </c>
    </row>
    <row r="380" ht="14" customHeight="1" s="632">
      <c r="A380" s="1166" t="inlineStr">
        <is>
          <t>Finished steel exports</t>
        </is>
      </c>
      <c r="B380" s="1167" t="inlineStr">
        <is>
          <t>Mt</t>
        </is>
      </c>
      <c r="C380" s="1172">
        <f>'Trade Model'!$C$78</f>
        <v/>
      </c>
      <c r="D380" s="1173">
        <f>D377+D326</f>
        <v/>
      </c>
      <c r="E380" s="1173">
        <f>E377+E326</f>
        <v/>
      </c>
      <c r="F380" s="1173">
        <f>F377+F326</f>
        <v/>
      </c>
      <c r="G380" s="1173">
        <f>G377+G326</f>
        <v/>
      </c>
      <c r="H380" s="1173">
        <f>H377+H326</f>
        <v/>
      </c>
      <c r="I380" s="1173">
        <f>I377+I326</f>
        <v/>
      </c>
      <c r="J380" s="1173">
        <f>J377+J326</f>
        <v/>
      </c>
      <c r="K380" s="1171">
        <f>IFERROR(IF(AND(ISNUMBER(C380),ISNUMBER(J380),C380&gt;0),(J380/C380)^(1/7)-1,""),"")</f>
        <v/>
      </c>
    </row>
    <row r="381" ht="14" customHeight="1" s="632">
      <c r="A381" s="1166" t="inlineStr">
        <is>
          <t>Import penetration</t>
        </is>
      </c>
      <c r="B381" s="1167" t="inlineStr">
        <is>
          <t>% of consumption</t>
        </is>
      </c>
      <c r="C381" s="1171">
        <f>C379/C325</f>
        <v/>
      </c>
      <c r="D381" s="1171">
        <f>D379/D325</f>
        <v/>
      </c>
      <c r="E381" s="1171">
        <f>E379/E325</f>
        <v/>
      </c>
      <c r="F381" s="1171">
        <f>F379/F325</f>
        <v/>
      </c>
      <c r="G381" s="1171">
        <f>G379/G325</f>
        <v/>
      </c>
      <c r="H381" s="1171">
        <f>H379/H325</f>
        <v/>
      </c>
      <c r="I381" s="1171">
        <f>I379/I325</f>
        <v/>
      </c>
      <c r="J381" s="1171">
        <f>J379/J325</f>
        <v/>
      </c>
      <c r="K381" s="1169" t="n"/>
    </row>
    <row r="382" ht="14" customHeight="1" s="632">
      <c r="A382" s="1166" t="inlineStr">
        <is>
          <t>Per capita finished steel consumption</t>
        </is>
      </c>
      <c r="B382" s="1167" t="inlineStr">
        <is>
          <t>kg</t>
        </is>
      </c>
      <c r="C382" s="1172">
        <f>'Steel Demand Model'!$C$121</f>
        <v/>
      </c>
      <c r="D382" s="1173">
        <f>D325/'Steel Demand Model'!D$119</f>
        <v/>
      </c>
      <c r="E382" s="1173">
        <f>E325/'Steel Demand Model'!E$119</f>
        <v/>
      </c>
      <c r="F382" s="1173">
        <f>F325/'Steel Demand Model'!F$119</f>
        <v/>
      </c>
      <c r="G382" s="1173">
        <f>G325/'Steel Demand Model'!G$119</f>
        <v/>
      </c>
      <c r="H382" s="1173">
        <f>H325/'Steel Demand Model'!H$119</f>
        <v/>
      </c>
      <c r="I382" s="1173">
        <f>I325/'Steel Demand Model'!I$119</f>
        <v/>
      </c>
      <c r="J382" s="1173">
        <f>J325/'Steel Demand Model'!J$119</f>
        <v/>
      </c>
      <c r="K382" s="1171">
        <f>IFERROR(IF(AND(ISNUMBER(C382),ISNUMBER(J382),C382&gt;0),(J382/C382)^(1/7)-1,""),"")</f>
        <v/>
      </c>
    </row>
    <row r="383" ht="14" customHeight="1" s="632">
      <c r="A383" s="1166" t="inlineStr">
        <is>
          <t>Enterprise value at the exit multiple (terminal-year proxy)</t>
        </is>
      </c>
      <c r="B383" s="1167" t="inlineStr">
        <is>
          <t>Rs cr</t>
        </is>
      </c>
      <c r="C383" s="1176" t="n"/>
      <c r="D383" s="1181">
        <f>D359*D375</f>
        <v/>
      </c>
      <c r="E383" s="1181">
        <f>E359*E375</f>
        <v/>
      </c>
      <c r="F383" s="1181">
        <f>F359*F375</f>
        <v/>
      </c>
      <c r="G383" s="1181">
        <f>G359*G375</f>
        <v/>
      </c>
      <c r="H383" s="1181">
        <f>H359*H375</f>
        <v/>
      </c>
      <c r="I383" s="1181">
        <f>I359*I375</f>
        <v/>
      </c>
      <c r="J383" s="1181">
        <f>J359*J375</f>
        <v/>
      </c>
      <c r="K383" s="1169" t="n"/>
    </row>
    <row r="384" ht="14" customHeight="1" s="632">
      <c r="A384" s="1166" t="inlineStr">
        <is>
          <t>NOPAT</t>
        </is>
      </c>
      <c r="B384" s="1167" t="inlineStr">
        <is>
          <t>Rs cr</t>
        </is>
      </c>
      <c r="C384" s="1176" t="n"/>
      <c r="D384" s="1183">
        <f>D363*(1-D364)</f>
        <v/>
      </c>
      <c r="E384" s="1183">
        <f>E363*(1-E364)</f>
        <v/>
      </c>
      <c r="F384" s="1183">
        <f>F363*(1-F364)</f>
        <v/>
      </c>
      <c r="G384" s="1183">
        <f>G363*(1-G364)</f>
        <v/>
      </c>
      <c r="H384" s="1183">
        <f>H363*(1-H364)</f>
        <v/>
      </c>
      <c r="I384" s="1183">
        <f>I363*(1-I364)</f>
        <v/>
      </c>
      <c r="J384" s="1183">
        <f>J363*(1-J364)</f>
        <v/>
      </c>
      <c r="K384" s="1169" t="n"/>
    </row>
    <row r="385" ht="14" customHeight="1" s="632">
      <c r="A385" s="1166" t="inlineStr">
        <is>
          <t>Invested capital (proxy)</t>
        </is>
      </c>
      <c r="B385" s="1167" t="inlineStr">
        <is>
          <t>Rs cr</t>
        </is>
      </c>
      <c r="C385" s="1176" t="n"/>
      <c r="D385" s="1181">
        <f>220.4*D366/10+D372</f>
        <v/>
      </c>
      <c r="E385" s="1181">
        <f>220.4*E366/10+E372</f>
        <v/>
      </c>
      <c r="F385" s="1181">
        <f>220.4*F366/10+F372</f>
        <v/>
      </c>
      <c r="G385" s="1181">
        <f>220.4*G366/10+G372</f>
        <v/>
      </c>
      <c r="H385" s="1181">
        <f>220.4*H366/10+H372</f>
        <v/>
      </c>
      <c r="I385" s="1181">
        <f>220.4*I366/10+I372</f>
        <v/>
      </c>
      <c r="J385" s="1181">
        <f>220.4*J366/10+J372</f>
        <v/>
      </c>
      <c r="K385" s="1169" t="n"/>
    </row>
    <row r="386" ht="14" customHeight="1" s="632">
      <c r="A386" s="1166" t="inlineStr">
        <is>
          <t>ROIC (indicative)</t>
        </is>
      </c>
      <c r="B386" s="1167" t="inlineStr">
        <is>
          <t>%</t>
        </is>
      </c>
      <c r="C386" s="1176" t="n"/>
      <c r="D386" s="1171">
        <f>IFERROR(D384/D385,"")</f>
        <v/>
      </c>
      <c r="E386" s="1171">
        <f>IFERROR(E384/E385,"")</f>
        <v/>
      </c>
      <c r="F386" s="1171">
        <f>IFERROR(F384/F385,"")</f>
        <v/>
      </c>
      <c r="G386" s="1171">
        <f>IFERROR(G384/G385,"")</f>
        <v/>
      </c>
      <c r="H386" s="1171">
        <f>IFERROR(H384/H385,"")</f>
        <v/>
      </c>
      <c r="I386" s="1171">
        <f>IFERROR(I384/I385,"")</f>
        <v/>
      </c>
      <c r="J386" s="1171">
        <f>IFERROR(J384/J385,"")</f>
        <v/>
      </c>
      <c r="K386" s="1169" t="n"/>
    </row>
    <row r="387" ht="14" customHeight="1" s="632">
      <c r="A387" s="1166" t="inlineStr">
        <is>
          <t>Cycle indicator 1 - real GDP growth (4% to 9%)</t>
        </is>
      </c>
      <c r="B387" s="1167" t="inlineStr">
        <is>
          <t>score</t>
        </is>
      </c>
      <c r="C387" s="1185">
        <f>MIN(100,MAX(0,(C322-4%)/5%*100))</f>
        <v/>
      </c>
      <c r="D387" s="1185">
        <f>MIN(100,MAX(0,(D322-4%)/5%*100))</f>
        <v/>
      </c>
      <c r="E387" s="1185">
        <f>MIN(100,MAX(0,(E322-4%)/5%*100))</f>
        <v/>
      </c>
      <c r="F387" s="1185">
        <f>MIN(100,MAX(0,(F322-4%)/5%*100))</f>
        <v/>
      </c>
      <c r="G387" s="1185">
        <f>MIN(100,MAX(0,(G322-4%)/5%*100))</f>
        <v/>
      </c>
      <c r="H387" s="1185">
        <f>MIN(100,MAX(0,(H322-4%)/5%*100))</f>
        <v/>
      </c>
      <c r="I387" s="1185">
        <f>MIN(100,MAX(0,(I322-4%)/5%*100))</f>
        <v/>
      </c>
      <c r="J387" s="1185">
        <f>MIN(100,MAX(0,(J322-4%)/5%*100))</f>
        <v/>
      </c>
      <c r="K387" s="1169" t="n"/>
    </row>
    <row r="388" ht="14" customHeight="1" s="632">
      <c r="A388" s="1166" t="inlineStr">
        <is>
          <t>Cycle indicator 2 - consumption growth (2% to 12%)</t>
        </is>
      </c>
      <c r="B388" s="1167" t="inlineStr">
        <is>
          <t>score</t>
        </is>
      </c>
      <c r="C388" s="1185">
        <f>MIN(100,MAX(0,(C324-2%)/10%*100))</f>
        <v/>
      </c>
      <c r="D388" s="1185">
        <f>MIN(100,MAX(0,(D324-2%)/10%*100))</f>
        <v/>
      </c>
      <c r="E388" s="1185">
        <f>MIN(100,MAX(0,(E324-2%)/10%*100))</f>
        <v/>
      </c>
      <c r="F388" s="1185">
        <f>MIN(100,MAX(0,(F324-2%)/10%*100))</f>
        <v/>
      </c>
      <c r="G388" s="1185">
        <f>MIN(100,MAX(0,(G324-2%)/10%*100))</f>
        <v/>
      </c>
      <c r="H388" s="1185">
        <f>MIN(100,MAX(0,(H324-2%)/10%*100))</f>
        <v/>
      </c>
      <c r="I388" s="1185">
        <f>MIN(100,MAX(0,(I324-2%)/10%*100))</f>
        <v/>
      </c>
      <c r="J388" s="1185">
        <f>MIN(100,MAX(0,(J324-2%)/10%*100))</f>
        <v/>
      </c>
      <c r="K388" s="1169" t="n"/>
    </row>
    <row r="389" ht="14" customHeight="1" s="632">
      <c r="A389" s="1166" t="inlineStr">
        <is>
          <t>Cycle indicator 3 - capacity utilisation (65% to 92%)</t>
        </is>
      </c>
      <c r="B389" s="1167" t="inlineStr">
        <is>
          <t>score</t>
        </is>
      </c>
      <c r="C389" s="1185">
        <f>MIN(100,MAX(0,(C339-65%)/27%*100))</f>
        <v/>
      </c>
      <c r="D389" s="1185">
        <f>MIN(100,MAX(0,(D339-65%)/27%*100))</f>
        <v/>
      </c>
      <c r="E389" s="1185">
        <f>MIN(100,MAX(0,(E339-65%)/27%*100))</f>
        <v/>
      </c>
      <c r="F389" s="1185">
        <f>MIN(100,MAX(0,(F339-65%)/27%*100))</f>
        <v/>
      </c>
      <c r="G389" s="1185">
        <f>MIN(100,MAX(0,(G339-65%)/27%*100))</f>
        <v/>
      </c>
      <c r="H389" s="1185">
        <f>MIN(100,MAX(0,(H339-65%)/27%*100))</f>
        <v/>
      </c>
      <c r="I389" s="1185">
        <f>MIN(100,MAX(0,(I339-65%)/27%*100))</f>
        <v/>
      </c>
      <c r="J389" s="1185">
        <f>MIN(100,MAX(0,(J339-65%)/27%*100))</f>
        <v/>
      </c>
      <c r="K389" s="1169" t="n"/>
    </row>
    <row r="390" ht="14" customHeight="1" s="632">
      <c r="A390" s="1166" t="inlineStr">
        <is>
          <t>Cycle indicator 4 - spare capacity, scored inversely (0% to 30%)</t>
        </is>
      </c>
      <c r="B390" s="1167" t="inlineStr">
        <is>
          <t>score</t>
        </is>
      </c>
      <c r="C390" s="1185">
        <f>MIN(100,MAX(0,100-(C335-C330)/C335/30%*100))</f>
        <v/>
      </c>
      <c r="D390" s="1185">
        <f>MIN(100,MAX(0,100-(D335-D330)/D335/30%*100))</f>
        <v/>
      </c>
      <c r="E390" s="1185">
        <f>MIN(100,MAX(0,100-(E335-E330)/E335/30%*100))</f>
        <v/>
      </c>
      <c r="F390" s="1185">
        <f>MIN(100,MAX(0,100-(F335-F330)/F335/30%*100))</f>
        <v/>
      </c>
      <c r="G390" s="1185">
        <f>MIN(100,MAX(0,100-(G335-G330)/G335/30%*100))</f>
        <v/>
      </c>
      <c r="H390" s="1185">
        <f>MIN(100,MAX(0,100-(H335-H330)/H335/30%*100))</f>
        <v/>
      </c>
      <c r="I390" s="1185">
        <f>MIN(100,MAX(0,100-(I335-I330)/I335/30%*100))</f>
        <v/>
      </c>
      <c r="J390" s="1185">
        <f>MIN(100,MAX(0,100-(J335-J330)/J335/30%*100))</f>
        <v/>
      </c>
      <c r="K390" s="1169" t="n"/>
    </row>
    <row r="391" ht="14" customHeight="1" s="632">
      <c r="A391" s="1166" t="inlineStr">
        <is>
          <t>Cycle indicator 5 - blended realisation (Rs 50,000 to Rs 75,000/t)</t>
        </is>
      </c>
      <c r="B391" s="1167" t="inlineStr">
        <is>
          <t>score</t>
        </is>
      </c>
      <c r="C391" s="1185">
        <f>MIN(100,MAX(0,(C345-50000)/25000*100))</f>
        <v/>
      </c>
      <c r="D391" s="1185">
        <f>MIN(100,MAX(0,(D345-50000)/25000*100))</f>
        <v/>
      </c>
      <c r="E391" s="1185">
        <f>MIN(100,MAX(0,(E345-50000)/25000*100))</f>
        <v/>
      </c>
      <c r="F391" s="1185">
        <f>MIN(100,MAX(0,(F345-50000)/25000*100))</f>
        <v/>
      </c>
      <c r="G391" s="1185">
        <f>MIN(100,MAX(0,(G345-50000)/25000*100))</f>
        <v/>
      </c>
      <c r="H391" s="1185">
        <f>MIN(100,MAX(0,(H345-50000)/25000*100))</f>
        <v/>
      </c>
      <c r="I391" s="1185">
        <f>MIN(100,MAX(0,(I345-50000)/25000*100))</f>
        <v/>
      </c>
      <c r="J391" s="1185">
        <f>MIN(100,MAX(0,(J345-50000)/25000*100))</f>
        <v/>
      </c>
      <c r="K391" s="1169" t="n"/>
    </row>
    <row r="392" ht="14" customHeight="1" s="632">
      <c r="A392" s="1166" t="inlineStr">
        <is>
          <t>Cycle indicator 6 - EBITDA margin (-10% to +26%)</t>
        </is>
      </c>
      <c r="B392" s="1167" t="inlineStr">
        <is>
          <t>score</t>
        </is>
      </c>
      <c r="C392" s="1185">
        <f>MIN(100,MAX(0,(C360+10%)/36%*100))</f>
        <v/>
      </c>
      <c r="D392" s="1185">
        <f>MIN(100,MAX(0,(D360+10%)/36%*100))</f>
        <v/>
      </c>
      <c r="E392" s="1185">
        <f>MIN(100,MAX(0,(E360+10%)/36%*100))</f>
        <v/>
      </c>
      <c r="F392" s="1185">
        <f>MIN(100,MAX(0,(F360+10%)/36%*100))</f>
        <v/>
      </c>
      <c r="G392" s="1185">
        <f>MIN(100,MAX(0,(G360+10%)/36%*100))</f>
        <v/>
      </c>
      <c r="H392" s="1185">
        <f>MIN(100,MAX(0,(H360+10%)/36%*100))</f>
        <v/>
      </c>
      <c r="I392" s="1185">
        <f>MIN(100,MAX(0,(I360+10%)/36%*100))</f>
        <v/>
      </c>
      <c r="J392" s="1185">
        <f>MIN(100,MAX(0,(J360+10%)/36%*100))</f>
        <v/>
      </c>
      <c r="K392" s="1169" t="n"/>
    </row>
    <row r="393" ht="14" customHeight="1" s="632">
      <c r="A393" s="1166" t="inlineStr">
        <is>
          <t>Cycle indicator 7 - capacity additions (0 to 25 Mtpa)</t>
        </is>
      </c>
      <c r="B393" s="1167" t="inlineStr">
        <is>
          <t>score</t>
        </is>
      </c>
      <c r="C393" s="1185">
        <f>MIN(100,MAX(0,C334/25*100))</f>
        <v/>
      </c>
      <c r="D393" s="1185">
        <f>MIN(100,MAX(0,D334/25*100))</f>
        <v/>
      </c>
      <c r="E393" s="1185">
        <f>MIN(100,MAX(0,E334/25*100))</f>
        <v/>
      </c>
      <c r="F393" s="1185">
        <f>MIN(100,MAX(0,F334/25*100))</f>
        <v/>
      </c>
      <c r="G393" s="1185">
        <f>MIN(100,MAX(0,G334/25*100))</f>
        <v/>
      </c>
      <c r="H393" s="1185">
        <f>MIN(100,MAX(0,H334/25*100))</f>
        <v/>
      </c>
      <c r="I393" s="1185">
        <f>MIN(100,MAX(0,I334/25*100))</f>
        <v/>
      </c>
      <c r="J393" s="1185">
        <f>MIN(100,MAX(0,J334/25*100))</f>
        <v/>
      </c>
      <c r="K393" s="1169" t="n"/>
    </row>
    <row r="394" ht="14" customHeight="1" s="632">
      <c r="A394" s="1166" t="inlineStr">
        <is>
          <t>Cycle indicator 8 - variation in stock, centred on 50</t>
        </is>
      </c>
      <c r="B394" s="1167" t="inlineStr">
        <is>
          <t>score</t>
        </is>
      </c>
      <c r="C394" s="1185">
        <f>MIN(100,MAX(0,50-C327/C325*1000))</f>
        <v/>
      </c>
      <c r="D394" s="1185">
        <f>MIN(100,MAX(0,50-D327/D325*1000))</f>
        <v/>
      </c>
      <c r="E394" s="1185">
        <f>MIN(100,MAX(0,50-E327/E325*1000))</f>
        <v/>
      </c>
      <c r="F394" s="1185">
        <f>MIN(100,MAX(0,50-F327/F325*1000))</f>
        <v/>
      </c>
      <c r="G394" s="1185">
        <f>MIN(100,MAX(0,50-G327/G325*1000))</f>
        <v/>
      </c>
      <c r="H394" s="1185">
        <f>MIN(100,MAX(0,50-H327/H325*1000))</f>
        <v/>
      </c>
      <c r="I394" s="1185">
        <f>MIN(100,MAX(0,50-I327/I325*1000))</f>
        <v/>
      </c>
      <c r="J394" s="1185">
        <f>MIN(100,MAX(0,50-J327/J325*1000))</f>
        <v/>
      </c>
      <c r="K394" s="1169" t="n"/>
    </row>
    <row r="395" ht="14" customHeight="1" s="632">
      <c r="A395" s="1166" t="inlineStr">
        <is>
          <t>CYCLE SCORE - weighted</t>
        </is>
      </c>
      <c r="B395" s="1167" t="inlineStr">
        <is>
          <t>score 0-100</t>
        </is>
      </c>
      <c r="C395" s="1185">
        <f>SUMPRODUCT('Industry Cycle Model'!$B$19:$B$26,C387:C394)</f>
        <v/>
      </c>
      <c r="D395" s="1185">
        <f>SUMPRODUCT('Industry Cycle Model'!$B$19:$B$26,D387:D394)</f>
        <v/>
      </c>
      <c r="E395" s="1185">
        <f>SUMPRODUCT('Industry Cycle Model'!$B$19:$B$26,E387:E394)</f>
        <v/>
      </c>
      <c r="F395" s="1185">
        <f>SUMPRODUCT('Industry Cycle Model'!$B$19:$B$26,F387:F394)</f>
        <v/>
      </c>
      <c r="G395" s="1185">
        <f>SUMPRODUCT('Industry Cycle Model'!$B$19:$B$26,G387:G394)</f>
        <v/>
      </c>
      <c r="H395" s="1185">
        <f>SUMPRODUCT('Industry Cycle Model'!$B$19:$B$26,H387:H394)</f>
        <v/>
      </c>
      <c r="I395" s="1185">
        <f>SUMPRODUCT('Industry Cycle Model'!$B$19:$B$26,I387:I394)</f>
        <v/>
      </c>
      <c r="J395" s="1185">
        <f>SUMPRODUCT('Industry Cycle Model'!$B$19:$B$26,J387:J394)</f>
        <v/>
      </c>
      <c r="K395" s="1169" t="n"/>
    </row>
  </sheetData>
  <mergeCells count="12">
    <mergeCell ref="A7:I7"/>
    <mergeCell ref="A91:K91"/>
    <mergeCell ref="B83:I83"/>
    <mergeCell ref="A49:I49"/>
    <mergeCell ref="B86:I86"/>
    <mergeCell ref="A5:I5"/>
    <mergeCell ref="B84:I84"/>
    <mergeCell ref="A2:G2"/>
    <mergeCell ref="A1:H1"/>
    <mergeCell ref="B85:I85"/>
    <mergeCell ref="A26:I26"/>
    <mergeCell ref="A38:I38"/>
  </mergeCells>
  <hyperlinks>
    <hyperlink ref="H9" location="'Audit Checks'!A664" tooltip="Open the reference register on 25 Audit Checks"/>
    <hyperlink ref="H15" location="'Audit Checks'!A664" tooltip="Open the reference register on 25 Audit Checks"/>
    <hyperlink ref="H16" location="'Audit Checks'!A664" tooltip="Open the reference register on 25 Audit Checks"/>
    <hyperlink ref="G29" location="'Audit Checks'!A664" tooltip="Open the reference register on 25 Audit Checks"/>
    <hyperlink ref="G51" location="'Audit Checks'!A664" tooltip="Open the reference register on 25 Audit Checks"/>
    <hyperlink ref="K68" location="'Audit Checks'!A664" tooltip="Open the reference register on 25 Audit Checks"/>
    <hyperlink ref="K69" location="'Audit Checks'!A664" tooltip="Open the reference register on 25 Audit Checks"/>
    <hyperlink ref="K70" location="'Audit Checks'!A664" tooltip="Open the reference register on 25 Audit Checks"/>
    <hyperlink ref="K71" location="'Audit Checks'!A664" tooltip="Open the reference register on 25 Audit Checks"/>
    <hyperlink ref="K72" location="'Audit Checks'!A664" tooltip="Open the reference register on 25 Audit Checks"/>
    <hyperlink ref="K73" location="'Audit Checks'!A664" tooltip="Open the reference register on 25 Audit Checks"/>
    <hyperlink ref="K74" location="'Audit Checks'!A664" tooltip="Open the reference register on 25 Audit Checks"/>
    <hyperlink ref="K75" location="'Audit Checks'!A664" tooltip="Open the reference register on 25 Audit Checks"/>
    <hyperlink ref="K76" location="'Audit Checks'!A664" tooltip="Open the reference register on 25 Audit Checks"/>
    <hyperlink ref="K77" location="'Audit Checks'!A664" tooltip="Open the reference register on 25 Audit Checks"/>
    <hyperlink ref="K78" location="'Audit Checks'!A664" tooltip="Open the reference register on 25 Audit Checks"/>
    <hyperlink ref="K79" location="'Audit Checks'!A664" tooltip="Open the reference register on 25 Audit Checks"/>
    <hyperlink ref="K80" location="'Audit Checks'!A664" tooltip="Open the reference register on 25 Audit Checks"/>
    <hyperlink ref="K83" location="'Audit Checks'!A664" tooltip="Open the reference register on 25 Audit Checks"/>
    <hyperlink ref="K84" location="'Audit Checks'!A664" tooltip="Open the reference register on 25 Audit Checks"/>
    <hyperlink ref="K85" location="'Audit Checks'!A664" tooltip="Open the reference register on 25 Audit Checks"/>
    <hyperlink ref="K86" location="'Audit Checks'!A664" tooltip="Open the reference register on 25 Audit Checks"/>
  </hyperlink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27.xml><?xml version="1.0" encoding="utf-8"?>
<worksheet xmlns="http://schemas.openxmlformats.org/spreadsheetml/2006/main">
  <sheetPr codeName="Sheet27">
    <tabColor rgb="FF002060"/>
    <outlinePr summaryBelow="1" summaryRight="1"/>
    <pageSetUpPr/>
  </sheetPr>
  <dimension ref="A1:P160"/>
  <sheetViews>
    <sheetView showGridLines="0" workbookViewId="0">
      <selection activeCell="A7" sqref="A7:I14"/>
    </sheetView>
  </sheetViews>
  <sheetFormatPr baseColWidth="8" defaultRowHeight="14.4"/>
  <cols>
    <col width="30.5546875" customWidth="1" style="690" min="1" max="1"/>
    <col width="15.88671875" customWidth="1" style="690" min="2" max="5"/>
    <col width="7" customWidth="1" style="632" min="5" max="5"/>
    <col width="12.33203125" customWidth="1" style="690" min="6" max="6"/>
    <col width="13.88671875" customWidth="1" style="690" min="7" max="7"/>
    <col width="13.77734375" customWidth="1" style="690" min="8" max="8"/>
    <col width="13" customWidth="1" style="690" min="9" max="11"/>
    <col width="7" customWidth="1" style="632" min="10" max="10"/>
    <col width="7" customWidth="1" style="632" min="11" max="11"/>
    <col width="12" customWidth="1" style="690" min="12" max="12"/>
    <col width="22" customWidth="1" style="690" min="13" max="13"/>
    <col width="22.5546875" customWidth="1" style="690" min="14" max="14"/>
    <col width="100" customWidth="1" style="690" min="15" max="15"/>
    <col width="8.88671875" customWidth="1" style="690" min="16" max="16384"/>
  </cols>
  <sheetData>
    <row r="1" ht="25.8" customHeight="1" s="632">
      <c r="A1" s="365" t="inlineStr">
        <is>
          <t>SENSITIVITY ANALYSIS</t>
        </is>
      </c>
    </row>
    <row r="2">
      <c r="A2" s="494" t="inlineStr">
        <is>
          <t>Industry Financial Model  |  Indian Steel Industry  |  Horizon FY2027E-FY2033E  |  Base year FY2026A</t>
        </is>
      </c>
    </row>
    <row r="3">
      <c r="B3" s="415" t="n"/>
    </row>
    <row r="4">
      <c r="A4" s="411" t="inlineStr">
        <is>
          <t>OBJECTIVE</t>
        </is>
      </c>
      <c r="D4" s="142" t="n"/>
      <c r="E4" s="142" t="n"/>
      <c r="F4" s="142" t="n"/>
      <c r="G4" s="142" t="n"/>
      <c r="H4" s="142" t="n"/>
      <c r="I4" s="142" t="n"/>
      <c r="J4" s="142" t="n"/>
      <c r="K4" s="142" t="n"/>
    </row>
    <row r="5">
      <c r="A5" s="394" t="inlineStr">
        <is>
          <t>Measure the impact of changes in key assumptions on Revenue, EBITDA, Free Cash Flow, and Enterprise Value.</t>
        </is>
      </c>
    </row>
    <row r="6">
      <c r="A6" s="394" t="n"/>
      <c r="B6" s="394" t="n"/>
      <c r="C6" s="394" t="n"/>
      <c r="D6" s="394" t="n"/>
      <c r="E6" s="394" t="n"/>
      <c r="F6" s="394" t="n"/>
      <c r="G6" s="394" t="n"/>
      <c r="H6" s="394" t="n"/>
      <c r="I6" s="394" t="n"/>
      <c r="J6" s="394" t="n"/>
      <c r="K6" s="394" t="n"/>
    </row>
    <row r="7" ht="15.6" customHeight="1" s="632">
      <c r="A7" s="612" t="inlineStr">
        <is>
          <t>Executive Summary</t>
        </is>
      </c>
      <c r="J7" s="394" t="n"/>
      <c r="K7" s="394" t="n"/>
    </row>
    <row r="8" ht="28.8" customHeight="1" s="632">
      <c r="A8" s="544" t="inlineStr">
        <is>
          <t>KPI</t>
        </is>
      </c>
      <c r="B8" s="544" t="inlineStr">
        <is>
          <t>Base</t>
        </is>
      </c>
      <c r="C8" s="544" t="inlineStr">
        <is>
          <t>Best Case</t>
        </is>
      </c>
      <c r="D8" s="544" t="inlineStr">
        <is>
          <t>Worst Case</t>
        </is>
      </c>
      <c r="E8" s="544" t="inlineStr">
        <is>
          <t>Most Sensitive Variable</t>
        </is>
      </c>
      <c r="F8" s="682" t="n"/>
      <c r="G8" s="682" t="n"/>
      <c r="H8" s="682" t="n"/>
      <c r="I8" s="682" t="n"/>
      <c r="J8" s="394" t="n"/>
      <c r="K8" s="394" t="n"/>
    </row>
    <row r="9">
      <c r="A9" s="670" t="inlineStr">
        <is>
          <t>Revenue</t>
        </is>
      </c>
      <c r="B9" s="1073">
        <f>'Revenue Forecast'!$J$96</f>
        <v/>
      </c>
      <c r="C9" s="1079">
        <f>MAX('Revenue Forecast'!B89:E89)</f>
        <v/>
      </c>
      <c r="D9" s="1079">
        <f>MIN('Revenue Forecast'!B89:E89)</f>
        <v/>
      </c>
      <c r="E9" s="1186">
        <f>$A$97</f>
        <v/>
      </c>
      <c r="F9" s="683" t="n"/>
      <c r="G9" s="683" t="n"/>
      <c r="H9" s="683" t="n"/>
      <c r="I9" s="683" t="n"/>
      <c r="J9" s="394" t="n"/>
      <c r="K9" s="394" t="n"/>
    </row>
    <row r="10">
      <c r="A10" s="670" t="inlineStr">
        <is>
          <t>EBITDA</t>
        </is>
      </c>
      <c r="B10" s="1073">
        <f>'EBITDA Model'!$J$103</f>
        <v/>
      </c>
      <c r="C10" s="1079">
        <f>MAX('EBITDA Model'!B95:E95)</f>
        <v/>
      </c>
      <c r="D10" s="1079">
        <f>MIN('EBITDA Model'!B95:E95)</f>
        <v/>
      </c>
      <c r="E10" s="1186">
        <f>$A$97</f>
        <v/>
      </c>
      <c r="F10" s="683" t="n"/>
      <c r="G10" s="683" t="n"/>
      <c r="H10" s="683" t="n"/>
      <c r="I10" s="683" t="n"/>
      <c r="J10" s="394" t="n"/>
      <c r="K10" s="394" t="n"/>
    </row>
    <row r="11">
      <c r="A11" s="670" t="inlineStr">
        <is>
          <t>Free Cash Flow</t>
        </is>
      </c>
      <c r="B11" s="1073">
        <f>'Cash Flow Model'!$J$114</f>
        <v/>
      </c>
      <c r="C11" s="1079">
        <f>MAX('Cash Flow Model'!B85:E85)</f>
        <v/>
      </c>
      <c r="D11" s="1079">
        <f>MIN('Cash Flow Model'!B85:E85)</f>
        <v/>
      </c>
      <c r="E11" s="1186">
        <f>$A$97</f>
        <v/>
      </c>
      <c r="F11" s="683" t="n"/>
      <c r="G11" s="683" t="n"/>
      <c r="H11" s="683" t="n"/>
      <c r="I11" s="683" t="n"/>
      <c r="J11" s="394" t="n"/>
      <c r="K11" s="394" t="n"/>
    </row>
    <row r="12">
      <c r="A12" s="670" t="inlineStr">
        <is>
          <t>Enterprise Value</t>
        </is>
      </c>
      <c r="B12" s="1073">
        <f>'Comparable Valuation'!$D$138</f>
        <v/>
      </c>
      <c r="C12" s="1079">
        <f>MAX('Scenario Manager'!B35:E35)</f>
        <v/>
      </c>
      <c r="D12" s="1079">
        <f>MIN('Scenario Manager'!B35:E35)</f>
        <v/>
      </c>
      <c r="E12" s="1186">
        <f>$A$97</f>
        <v/>
      </c>
      <c r="F12" s="683" t="n"/>
      <c r="G12" s="683" t="n"/>
      <c r="H12" s="683" t="n"/>
      <c r="I12" s="683" t="n"/>
      <c r="J12" s="394" t="n"/>
      <c r="K12" s="394" t="n"/>
    </row>
    <row r="13">
      <c r="A13" s="670" t="inlineStr">
        <is>
          <t>EV/EBITDA</t>
        </is>
      </c>
      <c r="B13" s="1123">
        <f>'Model Assumptions'!$K$26</f>
        <v/>
      </c>
      <c r="C13" s="1187">
        <f>MAX('Model Assumptions'!$K$110:$K$113)</f>
        <v/>
      </c>
      <c r="D13" s="1187">
        <f>MIN('Model Assumptions'!$K$110:$K$113)</f>
        <v/>
      </c>
      <c r="E13" s="1186">
        <f>$A$97</f>
        <v/>
      </c>
      <c r="F13" s="683" t="n"/>
      <c r="G13" s="683" t="n"/>
      <c r="H13" s="683" t="n"/>
      <c r="I13" s="683" t="n"/>
      <c r="J13" s="394" t="n"/>
      <c r="K13" s="394" t="n"/>
    </row>
    <row r="14">
      <c r="A14" s="670" t="inlineStr">
        <is>
          <t>EBITDA Margin</t>
        </is>
      </c>
      <c r="B14" s="875">
        <f>'Margin Analysis'!$J$91</f>
        <v/>
      </c>
      <c r="C14" s="954">
        <f>MAX('Margin Analysis'!B82:E82)</f>
        <v/>
      </c>
      <c r="D14" s="954">
        <f>MIN('Margin Analysis'!B82:E82)</f>
        <v/>
      </c>
      <c r="E14" s="1186">
        <f>$A$97</f>
        <v/>
      </c>
      <c r="J14" s="394" t="n"/>
      <c r="K14" s="394" t="n"/>
    </row>
    <row r="15">
      <c r="A15" s="394" t="n"/>
      <c r="B15" s="394" t="n"/>
      <c r="C15" s="394" t="n"/>
      <c r="D15" s="394" t="n"/>
      <c r="E15" s="394" t="n"/>
      <c r="F15" s="394" t="n"/>
      <c r="G15" s="394" t="n"/>
      <c r="H15" s="394" t="n"/>
      <c r="I15" s="394" t="n"/>
      <c r="J15" s="394" t="n"/>
      <c r="K15" s="394" t="n"/>
    </row>
    <row r="16">
      <c r="A16" s="394" t="n"/>
      <c r="B16" s="394" t="n"/>
      <c r="C16" s="394" t="n"/>
      <c r="D16" s="394" t="n"/>
      <c r="E16" s="394" t="n"/>
      <c r="F16" s="394" t="n"/>
      <c r="G16" s="394" t="n"/>
      <c r="H16" s="394" t="n"/>
      <c r="I16" s="394" t="n"/>
      <c r="J16" s="394" t="n"/>
      <c r="K16" s="394" t="n"/>
    </row>
    <row r="17" ht="15.6" customHeight="1" s="632">
      <c r="A17" s="612" t="inlineStr">
        <is>
          <t>One-Way Sensitivity Analysis</t>
        </is>
      </c>
      <c r="J17" s="394" t="n"/>
      <c r="K17" s="394" t="n"/>
    </row>
    <row r="18">
      <c r="A18" s="544" t="inlineStr">
        <is>
          <t>Variable</t>
        </is>
      </c>
      <c r="B18" s="544" t="inlineStr">
        <is>
          <t>Change</t>
        </is>
      </c>
      <c r="C18" s="544" t="inlineStr">
        <is>
          <t>Revenue</t>
        </is>
      </c>
      <c r="D18" s="544" t="inlineStr">
        <is>
          <t>EBITDA</t>
        </is>
      </c>
      <c r="E18" s="544" t="inlineStr">
        <is>
          <t>FCF</t>
        </is>
      </c>
      <c r="F18" s="544" t="inlineStr">
        <is>
          <t>EV</t>
        </is>
      </c>
      <c r="G18" s="394" t="n"/>
      <c r="H18" s="707" t="inlineStr">
        <is>
          <t>Ref</t>
        </is>
      </c>
      <c r="I18" s="394" t="n"/>
      <c r="J18" s="394" t="n"/>
      <c r="K18" s="394" t="n"/>
    </row>
    <row r="19">
      <c r="A19" s="670" t="inlineStr">
        <is>
          <t>Steel Price</t>
        </is>
      </c>
      <c r="B19" s="540" t="n">
        <v>-0.2</v>
      </c>
      <c r="C19" s="1079">
        <f>'Revenue Forecast'!$J$96*(1+B19)</f>
        <v/>
      </c>
      <c r="D19" s="1079">
        <f>'EBITDA Model'!$J$103+'Steel Price Forecast'!$J$103*B19*'Steel Supply Model'!$J$101/10</f>
        <v/>
      </c>
      <c r="E19" s="1079">
        <f>'Cash Flow Model'!$J$114+(D19-'EBITDA Model'!$J$103)*(1-'Model Assumptions'!$K$22)</f>
        <v/>
      </c>
      <c r="F19" s="1079">
        <f>D19*'Model Assumptions'!$K$26</f>
        <v/>
      </c>
      <c r="G19" s="394" t="n"/>
      <c r="H19" s="394" t="n"/>
      <c r="I19" s="394" t="n"/>
      <c r="J19" s="394" t="n"/>
      <c r="K19" s="394" t="n"/>
    </row>
    <row r="20">
      <c r="A20" s="670" t="inlineStr">
        <is>
          <t>Steel Price</t>
        </is>
      </c>
      <c r="B20" s="540" t="n">
        <v>-0.1</v>
      </c>
      <c r="C20" s="1079">
        <f>'Revenue Forecast'!$J$96*(1+B20)</f>
        <v/>
      </c>
      <c r="D20" s="1079">
        <f>'EBITDA Model'!$J$103+'Steel Price Forecast'!$J$103*B20*'Steel Supply Model'!$J$101/10</f>
        <v/>
      </c>
      <c r="E20" s="1079">
        <f>'Cash Flow Model'!$J$114+(D20-'EBITDA Model'!$J$103)*(1-'Model Assumptions'!$K$22)</f>
        <v/>
      </c>
      <c r="F20" s="1079">
        <f>D20*'Model Assumptions'!$K$26</f>
        <v/>
      </c>
      <c r="G20" s="394" t="n"/>
      <c r="H20" s="394" t="n"/>
      <c r="I20" s="394" t="n"/>
      <c r="J20" s="394" t="n"/>
      <c r="K20" s="394" t="n"/>
    </row>
    <row r="21">
      <c r="A21" s="670" t="inlineStr">
        <is>
          <t>Steel Price</t>
        </is>
      </c>
      <c r="B21" s="540" t="n">
        <v>-0.05</v>
      </c>
      <c r="C21" s="1079">
        <f>'Revenue Forecast'!$J$96*(1+B21)</f>
        <v/>
      </c>
      <c r="D21" s="1079">
        <f>'EBITDA Model'!$J$103+'Steel Price Forecast'!$J$103*B21*'Steel Supply Model'!$J$101/10</f>
        <v/>
      </c>
      <c r="E21" s="1079">
        <f>'Cash Flow Model'!$J$114+(D21-'EBITDA Model'!$J$103)*(1-'Model Assumptions'!$K$22)</f>
        <v/>
      </c>
      <c r="F21" s="1079">
        <f>D21*'Model Assumptions'!$K$26</f>
        <v/>
      </c>
      <c r="G21" s="394" t="n"/>
      <c r="H21" s="394" t="n"/>
      <c r="I21" s="394" t="n"/>
      <c r="J21" s="394" t="n"/>
      <c r="K21" s="394" t="n"/>
    </row>
    <row r="22">
      <c r="A22" s="670" t="inlineStr">
        <is>
          <t>Steel Price</t>
        </is>
      </c>
      <c r="B22" s="488" t="inlineStr">
        <is>
          <t>Base</t>
        </is>
      </c>
      <c r="C22" s="1079">
        <f>'Revenue Forecast'!$J$96</f>
        <v/>
      </c>
      <c r="D22" s="1079">
        <f>'EBITDA Model'!$J$103</f>
        <v/>
      </c>
      <c r="E22" s="1079">
        <f>'Cash Flow Model'!$J$114+(D22-'EBITDA Model'!$J$103)*(1-'Model Assumptions'!$K$22)</f>
        <v/>
      </c>
      <c r="F22" s="1079">
        <f>D22*'Model Assumptions'!$K$26</f>
        <v/>
      </c>
      <c r="G22" s="394" t="n"/>
      <c r="H22" s="394" t="n"/>
      <c r="I22" s="394" t="n"/>
      <c r="J22" s="394" t="n"/>
      <c r="K22" s="394" t="n"/>
    </row>
    <row r="23">
      <c r="A23" s="670" t="inlineStr">
        <is>
          <t>Steel Price</t>
        </is>
      </c>
      <c r="B23" s="540" t="n">
        <v>0.05</v>
      </c>
      <c r="C23" s="1079">
        <f>'Revenue Forecast'!$J$96*(1+B23)</f>
        <v/>
      </c>
      <c r="D23" s="1079">
        <f>'EBITDA Model'!$J$103+'Steel Price Forecast'!$J$103*B23*'Steel Supply Model'!$J$101/10</f>
        <v/>
      </c>
      <c r="E23" s="1079">
        <f>'Cash Flow Model'!$J$114+(D23-'EBITDA Model'!$J$103)*(1-'Model Assumptions'!$K$22)</f>
        <v/>
      </c>
      <c r="F23" s="1079">
        <f>D23*'Model Assumptions'!$K$26</f>
        <v/>
      </c>
      <c r="G23" s="394" t="n"/>
      <c r="H23" s="394" t="n"/>
      <c r="I23" s="394" t="n"/>
      <c r="J23" s="394" t="n"/>
      <c r="K23" s="394" t="n"/>
    </row>
    <row r="24">
      <c r="A24" s="670" t="inlineStr">
        <is>
          <t>Steel Price</t>
        </is>
      </c>
      <c r="B24" s="540" t="n">
        <v>0.1</v>
      </c>
      <c r="C24" s="1079">
        <f>'Revenue Forecast'!$J$96*(1+B24)</f>
        <v/>
      </c>
      <c r="D24" s="1079">
        <f>'EBITDA Model'!$J$103+'Steel Price Forecast'!$J$103*B24*'Steel Supply Model'!$J$101/10</f>
        <v/>
      </c>
      <c r="E24" s="1079">
        <f>'Cash Flow Model'!$J$114+(D24-'EBITDA Model'!$J$103)*(1-'Model Assumptions'!$K$22)</f>
        <v/>
      </c>
      <c r="F24" s="1079">
        <f>D24*'Model Assumptions'!$K$26</f>
        <v/>
      </c>
      <c r="G24" s="394" t="n"/>
      <c r="H24" s="708" t="inlineStr">
        <is>
          <t>SA01</t>
        </is>
      </c>
      <c r="I24" s="394" t="n"/>
      <c r="J24" s="394" t="n"/>
      <c r="K24" s="394" t="n"/>
    </row>
    <row r="25">
      <c r="A25" s="670" t="inlineStr">
        <is>
          <t>Steel Price</t>
        </is>
      </c>
      <c r="B25" s="540" t="n">
        <v>0.2</v>
      </c>
      <c r="C25" s="1079">
        <f>'Revenue Forecast'!$J$96*(1+B25)</f>
        <v/>
      </c>
      <c r="D25" s="1079">
        <f>'EBITDA Model'!$J$103+'Steel Price Forecast'!$J$103*B25*'Steel Supply Model'!$J$101/10</f>
        <v/>
      </c>
      <c r="E25" s="1079">
        <f>'Cash Flow Model'!$J$114+(D25-'EBITDA Model'!$J$103)*(1-'Model Assumptions'!$K$22)</f>
        <v/>
      </c>
      <c r="F25" s="1079">
        <f>D25*'Model Assumptions'!$K$26</f>
        <v/>
      </c>
      <c r="G25" s="394" t="n"/>
      <c r="H25" s="394" t="n"/>
      <c r="I25" s="394" t="n"/>
      <c r="J25" s="394" t="n"/>
      <c r="K25" s="394" t="n"/>
    </row>
    <row r="26">
      <c r="A26" s="670" t="inlineStr">
        <is>
          <t>Iron Ore Price</t>
        </is>
      </c>
      <c r="B26" s="540" t="n">
        <v>-0.2</v>
      </c>
      <c r="C26" s="1079">
        <f>'Revenue Forecast'!$J$96</f>
        <v/>
      </c>
      <c r="D26" s="1079">
        <f>'EBITDA Model'!$J$103-'Cost Curve'!$J$80*'Model Assumptions'!$K$20*'Model Assumptions'!$K$21*B26*'Steel Supply Model'!$J$101/10</f>
        <v/>
      </c>
      <c r="E26" s="1079">
        <f>'Cash Flow Model'!$J$114+(D26-'EBITDA Model'!$J$103)*(1-'Model Assumptions'!$K$22)</f>
        <v/>
      </c>
      <c r="F26" s="1079">
        <f>D26*'Model Assumptions'!$K$26</f>
        <v/>
      </c>
      <c r="G26" s="394" t="n"/>
      <c r="H26" s="394" t="n"/>
      <c r="I26" s="394" t="n"/>
      <c r="J26" s="394" t="n"/>
      <c r="K26" s="394" t="n"/>
    </row>
    <row r="27">
      <c r="A27" s="670" t="inlineStr">
        <is>
          <t>Iron Ore Price</t>
        </is>
      </c>
      <c r="B27" s="874" t="n">
        <v>0.2</v>
      </c>
      <c r="C27" s="1079">
        <f>'Revenue Forecast'!$J$96</f>
        <v/>
      </c>
      <c r="D27" s="1079">
        <f>'EBITDA Model'!$J$103-'Cost Curve'!$J$80*'Model Assumptions'!$K$20*'Model Assumptions'!$K$21*B27*'Steel Supply Model'!$J$101/10</f>
        <v/>
      </c>
      <c r="E27" s="1079">
        <f>'Cash Flow Model'!$J$114+(D27-'EBITDA Model'!$J$103)*(1-'Model Assumptions'!$K$22)</f>
        <v/>
      </c>
      <c r="F27" s="1079">
        <f>D27*'Model Assumptions'!$K$26</f>
        <v/>
      </c>
      <c r="G27" s="394" t="n"/>
      <c r="H27" s="394" t="n"/>
      <c r="I27" s="394" t="n"/>
      <c r="J27" s="394" t="n"/>
      <c r="K27" s="394" t="n"/>
    </row>
    <row r="28">
      <c r="A28" s="670" t="inlineStr">
        <is>
          <t>HCC Coal Price</t>
        </is>
      </c>
      <c r="B28" s="874" t="n">
        <v>0.2</v>
      </c>
      <c r="C28" s="1079">
        <f>'Revenue Forecast'!$J$96</f>
        <v/>
      </c>
      <c r="D28" s="1079">
        <f>'EBITDA Model'!$J$103-'Cost Curve'!$J$80*'Model Assumptions'!$K$20*'Model Assumptions'!$K$21*B28*'Steel Supply Model'!$J$101/10</f>
        <v/>
      </c>
      <c r="E28" s="1079">
        <f>'Cash Flow Model'!$J$114+(D28-'EBITDA Model'!$J$103)*(1-'Model Assumptions'!$K$22)</f>
        <v/>
      </c>
      <c r="F28" s="1079">
        <f>D28*'Model Assumptions'!$K$26</f>
        <v/>
      </c>
      <c r="G28" s="394" t="n"/>
      <c r="H28" s="394" t="n"/>
      <c r="I28" s="394" t="n"/>
      <c r="J28" s="394" t="n"/>
      <c r="K28" s="394" t="n"/>
    </row>
    <row r="29">
      <c r="A29" s="670" t="inlineStr">
        <is>
          <t>Steel Demand</t>
        </is>
      </c>
      <c r="B29" s="874" t="n">
        <v>0.05</v>
      </c>
      <c r="C29" s="1079">
        <f>'Revenue Forecast'!$J$96*(1+B29)</f>
        <v/>
      </c>
      <c r="D29" s="1079">
        <f>'EBITDA Model'!$J$103*(1+B29)</f>
        <v/>
      </c>
      <c r="E29" s="1079">
        <f>'Cash Flow Model'!$J$114+(D29-'EBITDA Model'!$J$103)*(1-'Model Assumptions'!$K$22)</f>
        <v/>
      </c>
      <c r="F29" s="1079">
        <f>D29*'Model Assumptions'!$K$26</f>
        <v/>
      </c>
      <c r="G29" s="394" t="n"/>
      <c r="H29" s="394" t="n"/>
      <c r="I29" s="394" t="n"/>
      <c r="J29" s="394" t="n"/>
      <c r="K29" s="394" t="n"/>
    </row>
    <row r="30">
      <c r="A30" s="670" t="inlineStr">
        <is>
          <t>Capacity Utilisation</t>
        </is>
      </c>
      <c r="B30" s="874" t="n">
        <v>0.02</v>
      </c>
      <c r="C30" s="1079">
        <f>'Revenue Forecast'!$J$96+'Steel Supply Model'!$J$101*'Steel Price Forecast'!$J$97*'Model Assumptions'!$K$30*B30/10</f>
        <v/>
      </c>
      <c r="D30" s="1079">
        <f>'EBITDA Model'!$J$103+'Steel Price Forecast'!$J$97*'Model Assumptions'!$K$30*B30*'Steel Supply Model'!$J$101/10</f>
        <v/>
      </c>
      <c r="E30" s="1079">
        <f>'Cash Flow Model'!$J$114+(D30-'EBITDA Model'!$J$103)*(1-'Model Assumptions'!$K$22)</f>
        <v/>
      </c>
      <c r="F30" s="1079">
        <f>D30*'Model Assumptions'!$K$26</f>
        <v/>
      </c>
      <c r="G30" s="394" t="n"/>
      <c r="H30" s="394" t="n"/>
      <c r="I30" s="394" t="n"/>
      <c r="J30" s="394" t="n"/>
      <c r="K30" s="394" t="n"/>
    </row>
    <row r="31">
      <c r="A31" s="670" t="inlineStr">
        <is>
          <t>USD/INR</t>
        </is>
      </c>
      <c r="B31" s="874" t="n">
        <v>0.05</v>
      </c>
      <c r="C31" s="1079">
        <f>'Revenue Forecast'!$J$96</f>
        <v/>
      </c>
      <c r="D31" s="1079">
        <f>'EBITDA Model'!$J$103-'Cost Curve'!$J$80*'Model Assumptions'!$K$20*2*'Model Assumptions'!$K$21*B31*'Steel Supply Model'!$J$101/10</f>
        <v/>
      </c>
      <c r="E31" s="1079">
        <f>'Cash Flow Model'!$J$114+(D31-'EBITDA Model'!$J$103)*(1-'Model Assumptions'!$K$22)</f>
        <v/>
      </c>
      <c r="F31" s="1079">
        <f>D31*'Model Assumptions'!$K$26</f>
        <v/>
      </c>
      <c r="G31" s="394" t="n"/>
      <c r="H31" s="394" t="n"/>
      <c r="I31" s="394" t="n"/>
      <c r="J31" s="394" t="n"/>
      <c r="K31" s="394" t="n"/>
    </row>
    <row r="32">
      <c r="A32" s="670" t="inlineStr">
        <is>
          <t>WACC</t>
        </is>
      </c>
      <c r="B32" s="874" t="n">
        <v>0.01</v>
      </c>
      <c r="C32" s="1079">
        <f>'Revenue Forecast'!$J$96</f>
        <v/>
      </c>
      <c r="D32" s="1079">
        <f>'EBITDA Model'!$J$103</f>
        <v/>
      </c>
      <c r="E32" s="1079">
        <f>'Cash Flow Model'!$J$114+(D32-'EBITDA Model'!$J$103)*(1-'Model Assumptions'!$K$22)</f>
        <v/>
      </c>
      <c r="F32" s="1079">
        <f>SUMPRODUCT('Comparable Valuation'!$D$127:$J$127,1/(1+'Model Assumptions'!$K$27+B32)^'Comparable Valuation'!$D$129:$J$129)+'Comparable Valuation'!$D$136/(1+'Model Assumptions'!$K$27+B32)^6.5</f>
        <v/>
      </c>
      <c r="G32" s="394" t="n"/>
      <c r="H32" s="394" t="n"/>
      <c r="I32" s="394" t="n"/>
      <c r="J32" s="394" t="n"/>
      <c r="K32" s="394" t="n"/>
    </row>
    <row r="33">
      <c r="A33" s="670" t="inlineStr">
        <is>
          <t>Terminal Growth</t>
        </is>
      </c>
      <c r="B33" s="874" t="n">
        <v>0.005</v>
      </c>
      <c r="C33" s="955" t="n"/>
      <c r="D33" s="955" t="n"/>
      <c r="E33" s="955" t="n"/>
      <c r="F33" s="955" t="n"/>
      <c r="G33" s="394" t="n"/>
      <c r="H33" s="708" t="inlineStr">
        <is>
          <t>SA43</t>
        </is>
      </c>
      <c r="I33" s="394" t="n"/>
      <c r="J33" s="394" t="n"/>
      <c r="K33" s="394" t="n"/>
    </row>
    <row r="34">
      <c r="A34" s="394" t="n"/>
      <c r="B34" s="394" t="n"/>
      <c r="C34" s="394" t="n"/>
      <c r="D34" s="394" t="n"/>
      <c r="E34" s="394" t="n"/>
      <c r="F34" s="394" t="n"/>
      <c r="G34" s="394" t="n"/>
      <c r="H34" s="394" t="n"/>
      <c r="I34" s="394" t="n"/>
      <c r="J34" s="394" t="n"/>
      <c r="K34" s="394" t="n"/>
    </row>
    <row r="35">
      <c r="A35" s="394" t="n"/>
      <c r="B35" s="394" t="n"/>
      <c r="C35" s="394" t="n"/>
      <c r="D35" s="394" t="n"/>
      <c r="E35" s="394" t="n"/>
      <c r="F35" s="394" t="n"/>
      <c r="G35" s="394" t="n"/>
      <c r="H35" s="394" t="n"/>
      <c r="I35" s="394" t="n"/>
      <c r="J35" s="394" t="n"/>
      <c r="K35" s="394" t="n"/>
    </row>
    <row r="36" ht="15.6" customHeight="1" s="632">
      <c r="A36" s="612" t="inlineStr">
        <is>
          <t>Two-Way Sensitivity</t>
        </is>
      </c>
      <c r="J36" s="394" t="n"/>
      <c r="K36" s="394" t="n"/>
    </row>
    <row r="37">
      <c r="A37" s="687" t="inlineStr">
        <is>
          <t>EV vs WACC &amp; Terminal Growth</t>
        </is>
      </c>
      <c r="B37" s="699" t="n"/>
      <c r="C37" s="699" t="n"/>
      <c r="D37" s="699" t="n"/>
      <c r="E37" s="699" t="n"/>
      <c r="F37" s="699" t="n"/>
      <c r="G37" s="686" t="n"/>
      <c r="H37" s="686" t="n"/>
      <c r="I37" s="686" t="n"/>
      <c r="J37" s="394" t="n"/>
      <c r="K37" s="394" t="n"/>
    </row>
    <row r="38">
      <c r="A38" s="544" t="inlineStr">
        <is>
          <t>Terminal Growth ↓ / WACC →</t>
        </is>
      </c>
      <c r="B38" s="685" t="n">
        <v>0.08</v>
      </c>
      <c r="C38" s="685" t="n">
        <v>0.08500000000000001</v>
      </c>
      <c r="D38" s="685" t="n">
        <v>0.09</v>
      </c>
      <c r="E38" s="685" t="n">
        <v>0.095</v>
      </c>
      <c r="F38" s="685" t="n">
        <v>0.1</v>
      </c>
      <c r="G38" s="394" t="n"/>
      <c r="H38" s="707" t="inlineStr">
        <is>
          <t>Ref</t>
        </is>
      </c>
      <c r="I38" s="394" t="n"/>
      <c r="J38" s="394" t="n"/>
      <c r="K38" s="394" t="n"/>
    </row>
    <row r="39">
      <c r="A39" s="684" t="n">
        <v>0.02</v>
      </c>
      <c r="B39" s="1079">
        <f>IFERROR(SUMPRODUCT('Comparable Valuation'!$D$127:$J$127,1/(1+B$38)^'Comparable Valuation'!$D$129:$J$129)+'Comparable Valuation'!$J$127*(1+$A39)/(B$38-$A39)/(1+B$38)^6.5,"")</f>
        <v/>
      </c>
      <c r="C39" s="1079">
        <f>IFERROR(SUMPRODUCT('Comparable Valuation'!$D$127:$J$127,1/(1+C$38)^'Comparable Valuation'!$D$129:$J$129)+'Comparable Valuation'!$J$127*(1+$A39)/(C$38-$A39)/(1+C$38)^6.5,"")</f>
        <v/>
      </c>
      <c r="D39" s="1079">
        <f>IFERROR(SUMPRODUCT('Comparable Valuation'!$D$127:$J$127,1/(1+D$38)^'Comparable Valuation'!$D$129:$J$129)+'Comparable Valuation'!$J$127*(1+$A39)/(D$38-$A39)/(1+D$38)^6.5,"")</f>
        <v/>
      </c>
      <c r="E39" s="1079">
        <f>IFERROR(SUMPRODUCT('Comparable Valuation'!$D$127:$J$127,1/(1+E$38)^'Comparable Valuation'!$D$129:$J$129)+'Comparable Valuation'!$J$127*(1+$A39)/(E$38-$A39)/(1+E$38)^6.5,"")</f>
        <v/>
      </c>
      <c r="F39" s="1079">
        <f>IFERROR(SUMPRODUCT('Comparable Valuation'!$D$127:$J$127,1/(1+F$38)^'Comparable Valuation'!$D$129:$J$129)+'Comparable Valuation'!$J$127*(1+$A39)/(F$38-$A39)/(1+F$38)^6.5,"")</f>
        <v/>
      </c>
      <c r="G39" s="394" t="n"/>
      <c r="H39" s="394" t="n"/>
      <c r="I39" s="394" t="n"/>
      <c r="J39" s="394" t="n"/>
      <c r="K39" s="394" t="n"/>
    </row>
    <row r="40">
      <c r="A40" s="684" t="n">
        <v>0.025</v>
      </c>
      <c r="B40" s="1079">
        <f>IFERROR(SUMPRODUCT('Comparable Valuation'!$D$127:$J$127,1/(1+B$38)^'Comparable Valuation'!$D$129:$J$129)+'Comparable Valuation'!$J$127*(1+$A40)/(B$38-$A40)/(1+B$38)^6.5,"")</f>
        <v/>
      </c>
      <c r="C40" s="1079">
        <f>IFERROR(SUMPRODUCT('Comparable Valuation'!$D$127:$J$127,1/(1+C$38)^'Comparable Valuation'!$D$129:$J$129)+'Comparable Valuation'!$J$127*(1+$A40)/(C$38-$A40)/(1+C$38)^6.5,"")</f>
        <v/>
      </c>
      <c r="D40" s="1079">
        <f>IFERROR(SUMPRODUCT('Comparable Valuation'!$D$127:$J$127,1/(1+D$38)^'Comparable Valuation'!$D$129:$J$129)+'Comparable Valuation'!$J$127*(1+$A40)/(D$38-$A40)/(1+D$38)^6.5,"")</f>
        <v/>
      </c>
      <c r="E40" s="1079">
        <f>IFERROR(SUMPRODUCT('Comparable Valuation'!$D$127:$J$127,1/(1+E$38)^'Comparable Valuation'!$D$129:$J$129)+'Comparable Valuation'!$J$127*(1+$A40)/(E$38-$A40)/(1+E$38)^6.5,"")</f>
        <v/>
      </c>
      <c r="F40" s="1079">
        <f>IFERROR(SUMPRODUCT('Comparable Valuation'!$D$127:$J$127,1/(1+F$38)^'Comparable Valuation'!$D$129:$J$129)+'Comparable Valuation'!$J$127*(1+$A40)/(F$38-$A40)/(1+F$38)^6.5,"")</f>
        <v/>
      </c>
      <c r="G40" s="394" t="n"/>
      <c r="H40" s="394" t="n"/>
      <c r="I40" s="394" t="n"/>
      <c r="J40" s="394" t="n"/>
      <c r="K40" s="394" t="n"/>
    </row>
    <row r="41">
      <c r="A41" s="684" t="n">
        <v>0.03</v>
      </c>
      <c r="B41" s="1079">
        <f>IFERROR(SUMPRODUCT('Comparable Valuation'!$D$127:$J$127,1/(1+B$38)^'Comparable Valuation'!$D$129:$J$129)+'Comparable Valuation'!$J$127*(1+$A41)/(B$38-$A41)/(1+B$38)^6.5,"")</f>
        <v/>
      </c>
      <c r="C41" s="1079">
        <f>IFERROR(SUMPRODUCT('Comparable Valuation'!$D$127:$J$127,1/(1+C$38)^'Comparable Valuation'!$D$129:$J$129)+'Comparable Valuation'!$J$127*(1+$A41)/(C$38-$A41)/(1+C$38)^6.5,"")</f>
        <v/>
      </c>
      <c r="D41" s="1079">
        <f>IFERROR(SUMPRODUCT('Comparable Valuation'!$D$127:$J$127,1/(1+D$38)^'Comparable Valuation'!$D$129:$J$129)+'Comparable Valuation'!$J$127*(1+$A41)/(D$38-$A41)/(1+D$38)^6.5,"")</f>
        <v/>
      </c>
      <c r="E41" s="1079">
        <f>IFERROR(SUMPRODUCT('Comparable Valuation'!$D$127:$J$127,1/(1+E$38)^'Comparable Valuation'!$D$129:$J$129)+'Comparable Valuation'!$J$127*(1+$A41)/(E$38-$A41)/(1+E$38)^6.5,"")</f>
        <v/>
      </c>
      <c r="F41" s="1079">
        <f>IFERROR(SUMPRODUCT('Comparable Valuation'!$D$127:$J$127,1/(1+F$38)^'Comparable Valuation'!$D$129:$J$129)+'Comparable Valuation'!$J$127*(1+$A41)/(F$38-$A41)/(1+F$38)^6.5,"")</f>
        <v/>
      </c>
      <c r="G41" s="394" t="n"/>
      <c r="H41" s="708" t="inlineStr">
        <is>
          <t>SA02</t>
        </is>
      </c>
      <c r="I41" s="394" t="n"/>
      <c r="J41" s="394" t="n"/>
      <c r="K41" s="394" t="n"/>
    </row>
    <row r="42">
      <c r="A42" s="684" t="n">
        <v>0.035</v>
      </c>
      <c r="B42" s="1079">
        <f>IFERROR(SUMPRODUCT('Comparable Valuation'!$D$127:$J$127,1/(1+B$38)^'Comparable Valuation'!$D$129:$J$129)+'Comparable Valuation'!$J$127*(1+$A42)/(B$38-$A42)/(1+B$38)^6.5,"")</f>
        <v/>
      </c>
      <c r="C42" s="1079">
        <f>IFERROR(SUMPRODUCT('Comparable Valuation'!$D$127:$J$127,1/(1+C$38)^'Comparable Valuation'!$D$129:$J$129)+'Comparable Valuation'!$J$127*(1+$A42)/(C$38-$A42)/(1+C$38)^6.5,"")</f>
        <v/>
      </c>
      <c r="D42" s="1079">
        <f>IFERROR(SUMPRODUCT('Comparable Valuation'!$D$127:$J$127,1/(1+D$38)^'Comparable Valuation'!$D$129:$J$129)+'Comparable Valuation'!$J$127*(1+$A42)/(D$38-$A42)/(1+D$38)^6.5,"")</f>
        <v/>
      </c>
      <c r="E42" s="1079">
        <f>IFERROR(SUMPRODUCT('Comparable Valuation'!$D$127:$J$127,1/(1+E$38)^'Comparable Valuation'!$D$129:$J$129)+'Comparable Valuation'!$J$127*(1+$A42)/(E$38-$A42)/(1+E$38)^6.5,"")</f>
        <v/>
      </c>
      <c r="F42" s="1079">
        <f>IFERROR(SUMPRODUCT('Comparable Valuation'!$D$127:$J$127,1/(1+F$38)^'Comparable Valuation'!$D$129:$J$129)+'Comparable Valuation'!$J$127*(1+$A42)/(F$38-$A42)/(1+F$38)^6.5,"")</f>
        <v/>
      </c>
      <c r="G42" s="394" t="n"/>
      <c r="H42" s="394" t="n"/>
      <c r="I42" s="394" t="n"/>
      <c r="J42" s="394" t="n"/>
      <c r="K42" s="394" t="n"/>
    </row>
    <row r="43">
      <c r="A43" s="684" t="n">
        <v>0.04</v>
      </c>
      <c r="B43" s="1079">
        <f>IFERROR(SUMPRODUCT('Comparable Valuation'!$D$127:$J$127,1/(1+B$38)^'Comparable Valuation'!$D$129:$J$129)+'Comparable Valuation'!$J$127*(1+$A43)/(B$38-$A43)/(1+B$38)^6.5,"")</f>
        <v/>
      </c>
      <c r="C43" s="1079">
        <f>IFERROR(SUMPRODUCT('Comparable Valuation'!$D$127:$J$127,1/(1+C$38)^'Comparable Valuation'!$D$129:$J$129)+'Comparable Valuation'!$J$127*(1+$A43)/(C$38-$A43)/(1+C$38)^6.5,"")</f>
        <v/>
      </c>
      <c r="D43" s="1079">
        <f>IFERROR(SUMPRODUCT('Comparable Valuation'!$D$127:$J$127,1/(1+D$38)^'Comparable Valuation'!$D$129:$J$129)+'Comparable Valuation'!$J$127*(1+$A43)/(D$38-$A43)/(1+D$38)^6.5,"")</f>
        <v/>
      </c>
      <c r="E43" s="1079">
        <f>IFERROR(SUMPRODUCT('Comparable Valuation'!$D$127:$J$127,1/(1+E$38)^'Comparable Valuation'!$D$129:$J$129)+'Comparable Valuation'!$J$127*(1+$A43)/(E$38-$A43)/(1+E$38)^6.5,"")</f>
        <v/>
      </c>
      <c r="F43" s="1079">
        <f>IFERROR(SUMPRODUCT('Comparable Valuation'!$D$127:$J$127,1/(1+F$38)^'Comparable Valuation'!$D$129:$J$129)+'Comparable Valuation'!$J$127*(1+$A43)/(F$38-$A43)/(1+F$38)^6.5,"")</f>
        <v/>
      </c>
      <c r="G43" s="394" t="n"/>
      <c r="H43" s="394" t="n"/>
      <c r="I43" s="394" t="n"/>
      <c r="J43" s="394" t="n"/>
      <c r="K43" s="394" t="n"/>
    </row>
    <row r="44">
      <c r="A44" s="394" t="n"/>
      <c r="B44" s="394" t="n"/>
      <c r="C44" s="394" t="n"/>
      <c r="D44" s="394" t="n"/>
      <c r="E44" s="394" t="n"/>
      <c r="F44" s="394" t="n"/>
      <c r="G44" s="394" t="n"/>
      <c r="H44" s="394" t="n"/>
      <c r="I44" s="394" t="n"/>
      <c r="J44" s="394" t="n"/>
      <c r="K44" s="394" t="n"/>
    </row>
    <row r="45">
      <c r="A45" s="687" t="inlineStr">
        <is>
          <t>EV vs WACC &amp; Terminal Growth</t>
        </is>
      </c>
      <c r="B45" s="699" t="n"/>
      <c r="C45" s="699" t="n"/>
      <c r="D45" s="699" t="n"/>
      <c r="E45" s="699" t="n"/>
      <c r="F45" s="699" t="n"/>
      <c r="G45" s="686" t="n"/>
      <c r="H45" s="686" t="n"/>
      <c r="I45" s="686" t="n"/>
      <c r="J45" s="394" t="n"/>
      <c r="K45" s="394" t="n"/>
    </row>
    <row r="46">
      <c r="A46" s="544" t="inlineStr">
        <is>
          <t>Iron Ore ↓ / Steel Price →</t>
        </is>
      </c>
      <c r="B46" s="544" t="n">
        <v>-0.1</v>
      </c>
      <c r="C46" s="544" t="n">
        <v>-0.05</v>
      </c>
      <c r="D46" s="1188" t="n">
        <v>0</v>
      </c>
      <c r="E46" s="544" t="n">
        <v>0.05</v>
      </c>
      <c r="F46" s="544" t="n">
        <v>0.1</v>
      </c>
      <c r="G46" s="394" t="n"/>
      <c r="H46" s="707" t="inlineStr">
        <is>
          <t>Ref</t>
        </is>
      </c>
      <c r="I46" s="394" t="n"/>
      <c r="J46" s="394" t="n"/>
      <c r="K46" s="394" t="n"/>
    </row>
    <row r="47">
      <c r="A47" s="542" t="n">
        <v>-0.1</v>
      </c>
      <c r="B47" s="1079">
        <f>('EBITDA Model'!$J$103+'Steel Price Forecast'!$J$103*B$46*'Steel Supply Model'!$J$101/10-'Cost Curve'!$J$80*'Model Assumptions'!$K$20*'Model Assumptions'!$K$21*$A47*'Steel Supply Model'!$J$101/10)*'Model Assumptions'!$K$26</f>
        <v/>
      </c>
      <c r="C47" s="1079">
        <f>('EBITDA Model'!$J$103+'Steel Price Forecast'!$J$103*C$46*'Steel Supply Model'!$J$101/10-'Cost Curve'!$J$80*'Model Assumptions'!$K$20*'Model Assumptions'!$K$21*$A47*'Steel Supply Model'!$J$101/10)*'Model Assumptions'!$K$26</f>
        <v/>
      </c>
      <c r="D47" s="1079">
        <f>('EBITDA Model'!$J$103+'Steel Price Forecast'!$J$103*D$46*'Steel Supply Model'!$J$101/10-'Cost Curve'!$J$80*'Model Assumptions'!$K$20*'Model Assumptions'!$K$21*$A47*'Steel Supply Model'!$J$101/10)*'Model Assumptions'!$K$26</f>
        <v/>
      </c>
      <c r="E47" s="1079">
        <f>('EBITDA Model'!$J$103+'Steel Price Forecast'!$J$103*E$46*'Steel Supply Model'!$J$101/10-'Cost Curve'!$J$80*'Model Assumptions'!$K$20*'Model Assumptions'!$K$21*$A47*'Steel Supply Model'!$J$101/10)*'Model Assumptions'!$K$26</f>
        <v/>
      </c>
      <c r="F47" s="1079">
        <f>('EBITDA Model'!$J$103+'Steel Price Forecast'!$J$103*F$46*'Steel Supply Model'!$J$101/10-'Cost Curve'!$J$80*'Model Assumptions'!$K$20*'Model Assumptions'!$K$21*$A47*'Steel Supply Model'!$J$101/10)*'Model Assumptions'!$K$26</f>
        <v/>
      </c>
      <c r="G47" s="394" t="n"/>
      <c r="H47" s="394" t="n"/>
      <c r="I47" s="394" t="n"/>
      <c r="J47" s="394" t="n"/>
      <c r="K47" s="394" t="n"/>
    </row>
    <row r="48">
      <c r="A48" s="542" t="n">
        <v>-0.05</v>
      </c>
      <c r="B48" s="1079">
        <f>('EBITDA Model'!$J$103+'Steel Price Forecast'!$J$103*B$46*'Steel Supply Model'!$J$101/10-'Cost Curve'!$J$80*'Model Assumptions'!$K$20*'Model Assumptions'!$K$21*$A48*'Steel Supply Model'!$J$101/10)*'Model Assumptions'!$K$26</f>
        <v/>
      </c>
      <c r="C48" s="1079">
        <f>('EBITDA Model'!$J$103+'Steel Price Forecast'!$J$103*C$46*'Steel Supply Model'!$J$101/10-'Cost Curve'!$J$80*'Model Assumptions'!$K$20*'Model Assumptions'!$K$21*$A48*'Steel Supply Model'!$J$101/10)*'Model Assumptions'!$K$26</f>
        <v/>
      </c>
      <c r="D48" s="1079">
        <f>('EBITDA Model'!$J$103+'Steel Price Forecast'!$J$103*D$46*'Steel Supply Model'!$J$101/10-'Cost Curve'!$J$80*'Model Assumptions'!$K$20*'Model Assumptions'!$K$21*$A48*'Steel Supply Model'!$J$101/10)*'Model Assumptions'!$K$26</f>
        <v/>
      </c>
      <c r="E48" s="1079">
        <f>('EBITDA Model'!$J$103+'Steel Price Forecast'!$J$103*E$46*'Steel Supply Model'!$J$101/10-'Cost Curve'!$J$80*'Model Assumptions'!$K$20*'Model Assumptions'!$K$21*$A48*'Steel Supply Model'!$J$101/10)*'Model Assumptions'!$K$26</f>
        <v/>
      </c>
      <c r="F48" s="1079">
        <f>('EBITDA Model'!$J$103+'Steel Price Forecast'!$J$103*F$46*'Steel Supply Model'!$J$101/10-'Cost Curve'!$J$80*'Model Assumptions'!$K$20*'Model Assumptions'!$K$21*$A48*'Steel Supply Model'!$J$101/10)*'Model Assumptions'!$K$26</f>
        <v/>
      </c>
      <c r="G48" s="394" t="n"/>
      <c r="H48" s="394" t="n"/>
      <c r="I48" s="394" t="n"/>
      <c r="J48" s="394" t="n"/>
      <c r="K48" s="394" t="n"/>
    </row>
    <row r="49">
      <c r="A49" s="1189" t="n">
        <v>0</v>
      </c>
      <c r="B49" s="1079">
        <f>('EBITDA Model'!$J$103+'Steel Price Forecast'!$J$103*B$46*'Steel Supply Model'!$J$101/10-'Cost Curve'!$J$80*'Model Assumptions'!$K$20*'Model Assumptions'!$K$21*$A49*'Steel Supply Model'!$J$101/10)*'Model Assumptions'!$K$26</f>
        <v/>
      </c>
      <c r="C49" s="1079">
        <f>('EBITDA Model'!$J$103+'Steel Price Forecast'!$J$103*C$46*'Steel Supply Model'!$J$101/10-'Cost Curve'!$J$80*'Model Assumptions'!$K$20*'Model Assumptions'!$K$21*$A49*'Steel Supply Model'!$J$101/10)*'Model Assumptions'!$K$26</f>
        <v/>
      </c>
      <c r="D49" s="1079">
        <f>('EBITDA Model'!$J$103+'Steel Price Forecast'!$J$103*D$46*'Steel Supply Model'!$J$101/10-'Cost Curve'!$J$80*'Model Assumptions'!$K$20*'Model Assumptions'!$K$21*$A49*'Steel Supply Model'!$J$101/10)*'Model Assumptions'!$K$26</f>
        <v/>
      </c>
      <c r="E49" s="1079">
        <f>('EBITDA Model'!$J$103+'Steel Price Forecast'!$J$103*E$46*'Steel Supply Model'!$J$101/10-'Cost Curve'!$J$80*'Model Assumptions'!$K$20*'Model Assumptions'!$K$21*$A49*'Steel Supply Model'!$J$101/10)*'Model Assumptions'!$K$26</f>
        <v/>
      </c>
      <c r="F49" s="1079">
        <f>('EBITDA Model'!$J$103+'Steel Price Forecast'!$J$103*F$46*'Steel Supply Model'!$J$101/10-'Cost Curve'!$J$80*'Model Assumptions'!$K$20*'Model Assumptions'!$K$21*$A49*'Steel Supply Model'!$J$101/10)*'Model Assumptions'!$K$26</f>
        <v/>
      </c>
      <c r="G49" s="394" t="n"/>
      <c r="H49" s="708" t="inlineStr">
        <is>
          <t>SA03</t>
        </is>
      </c>
      <c r="I49" s="394" t="n"/>
      <c r="J49" s="394" t="n"/>
      <c r="K49" s="394" t="n"/>
    </row>
    <row r="50">
      <c r="A50" s="542" t="n">
        <v>0.05</v>
      </c>
      <c r="B50" s="1079">
        <f>('EBITDA Model'!$J$103+'Steel Price Forecast'!$J$103*B$46*'Steel Supply Model'!$J$101/10-'Cost Curve'!$J$80*'Model Assumptions'!$K$20*'Model Assumptions'!$K$21*$A50*'Steel Supply Model'!$J$101/10)*'Model Assumptions'!$K$26</f>
        <v/>
      </c>
      <c r="C50" s="1079">
        <f>('EBITDA Model'!$J$103+'Steel Price Forecast'!$J$103*C$46*'Steel Supply Model'!$J$101/10-'Cost Curve'!$J$80*'Model Assumptions'!$K$20*'Model Assumptions'!$K$21*$A50*'Steel Supply Model'!$J$101/10)*'Model Assumptions'!$K$26</f>
        <v/>
      </c>
      <c r="D50" s="1079">
        <f>('EBITDA Model'!$J$103+'Steel Price Forecast'!$J$103*D$46*'Steel Supply Model'!$J$101/10-'Cost Curve'!$J$80*'Model Assumptions'!$K$20*'Model Assumptions'!$K$21*$A50*'Steel Supply Model'!$J$101/10)*'Model Assumptions'!$K$26</f>
        <v/>
      </c>
      <c r="E50" s="1079">
        <f>('EBITDA Model'!$J$103+'Steel Price Forecast'!$J$103*E$46*'Steel Supply Model'!$J$101/10-'Cost Curve'!$J$80*'Model Assumptions'!$K$20*'Model Assumptions'!$K$21*$A50*'Steel Supply Model'!$J$101/10)*'Model Assumptions'!$K$26</f>
        <v/>
      </c>
      <c r="F50" s="1079">
        <f>('EBITDA Model'!$J$103+'Steel Price Forecast'!$J$103*F$46*'Steel Supply Model'!$J$101/10-'Cost Curve'!$J$80*'Model Assumptions'!$K$20*'Model Assumptions'!$K$21*$A50*'Steel Supply Model'!$J$101/10)*'Model Assumptions'!$K$26</f>
        <v/>
      </c>
      <c r="G50" s="394" t="n"/>
      <c r="H50" s="394" t="n"/>
      <c r="I50" s="394" t="n"/>
      <c r="J50" s="394" t="n"/>
      <c r="K50" s="394" t="n"/>
    </row>
    <row r="51">
      <c r="A51" s="542" t="n">
        <v>0.1</v>
      </c>
      <c r="B51" s="1079">
        <f>('EBITDA Model'!$J$103+'Steel Price Forecast'!$J$103*B$46*'Steel Supply Model'!$J$101/10-'Cost Curve'!$J$80*'Model Assumptions'!$K$20*'Model Assumptions'!$K$21*$A51*'Steel Supply Model'!$J$101/10)*'Model Assumptions'!$K$26</f>
        <v/>
      </c>
      <c r="C51" s="1079">
        <f>('EBITDA Model'!$J$103+'Steel Price Forecast'!$J$103*C$46*'Steel Supply Model'!$J$101/10-'Cost Curve'!$J$80*'Model Assumptions'!$K$20*'Model Assumptions'!$K$21*$A51*'Steel Supply Model'!$J$101/10)*'Model Assumptions'!$K$26</f>
        <v/>
      </c>
      <c r="D51" s="1079">
        <f>('EBITDA Model'!$J$103+'Steel Price Forecast'!$J$103*D$46*'Steel Supply Model'!$J$101/10-'Cost Curve'!$J$80*'Model Assumptions'!$K$20*'Model Assumptions'!$K$21*$A51*'Steel Supply Model'!$J$101/10)*'Model Assumptions'!$K$26</f>
        <v/>
      </c>
      <c r="E51" s="1079">
        <f>('EBITDA Model'!$J$103+'Steel Price Forecast'!$J$103*E$46*'Steel Supply Model'!$J$101/10-'Cost Curve'!$J$80*'Model Assumptions'!$K$20*'Model Assumptions'!$K$21*$A51*'Steel Supply Model'!$J$101/10)*'Model Assumptions'!$K$26</f>
        <v/>
      </c>
      <c r="F51" s="1079">
        <f>('EBITDA Model'!$J$103+'Steel Price Forecast'!$J$103*F$46*'Steel Supply Model'!$J$101/10-'Cost Curve'!$J$80*'Model Assumptions'!$K$20*'Model Assumptions'!$K$21*$A51*'Steel Supply Model'!$J$101/10)*'Model Assumptions'!$K$26</f>
        <v/>
      </c>
      <c r="G51" s="394" t="n"/>
      <c r="H51" s="394" t="n"/>
      <c r="I51" s="394" t="n"/>
      <c r="J51" s="394" t="n"/>
      <c r="K51" s="394" t="n"/>
    </row>
    <row r="52">
      <c r="A52" s="394" t="n"/>
      <c r="B52" s="394" t="n"/>
      <c r="C52" s="394" t="n"/>
      <c r="D52" s="394" t="n"/>
      <c r="E52" s="394" t="n"/>
      <c r="F52" s="394" t="n"/>
      <c r="G52" s="394" t="n"/>
      <c r="H52" s="394" t="n"/>
      <c r="I52" s="394" t="n"/>
      <c r="J52" s="394" t="n"/>
      <c r="K52" s="394" t="n"/>
    </row>
    <row r="53">
      <c r="A53" s="394" t="n"/>
      <c r="B53" s="394" t="n"/>
      <c r="C53" s="394" t="n"/>
      <c r="D53" s="394" t="n"/>
      <c r="E53" s="394" t="n"/>
      <c r="F53" s="394" t="n"/>
      <c r="G53" s="394" t="n"/>
      <c r="H53" s="394" t="n"/>
      <c r="I53" s="394" t="n"/>
      <c r="J53" s="394" t="n"/>
      <c r="K53" s="394" t="n"/>
    </row>
    <row r="54" ht="15.6" customHeight="1" s="632">
      <c r="A54" s="608" t="inlineStr">
        <is>
          <t>Two-Way Sensitivity</t>
        </is>
      </c>
      <c r="B54" s="699" t="n"/>
      <c r="C54" s="699" t="n"/>
      <c r="D54" s="612" t="n"/>
      <c r="E54" s="612" t="n"/>
      <c r="F54" s="612" t="n"/>
      <c r="G54" s="612" t="n"/>
      <c r="H54" s="612" t="n"/>
      <c r="I54" s="612" t="n"/>
      <c r="J54" s="394" t="n"/>
      <c r="K54" s="394" t="n"/>
    </row>
    <row r="55">
      <c r="A55" s="544" t="inlineStr">
        <is>
          <t>Variable</t>
        </is>
      </c>
      <c r="B55" s="544" t="inlineStr">
        <is>
          <t>Downside Impact</t>
        </is>
      </c>
      <c r="C55" s="544" t="inlineStr">
        <is>
          <t>Upside Impact</t>
        </is>
      </c>
      <c r="D55" s="394" t="n"/>
      <c r="E55" s="707" t="inlineStr">
        <is>
          <t>Ref</t>
        </is>
      </c>
      <c r="F55" s="394" t="n"/>
      <c r="G55" s="394" t="n"/>
      <c r="H55" s="394" t="n"/>
      <c r="I55" s="394" t="n"/>
      <c r="J55" s="394" t="n"/>
      <c r="K55" s="394" t="n"/>
    </row>
    <row r="56">
      <c r="A56" s="670" t="inlineStr">
        <is>
          <t>Steel Price</t>
        </is>
      </c>
      <c r="B56" s="1079">
        <f>D20-'EBITDA Model'!$J$103</f>
        <v/>
      </c>
      <c r="C56" s="1079">
        <f>D24-'EBITDA Model'!$J$103</f>
        <v/>
      </c>
      <c r="D56" s="394" t="n"/>
      <c r="E56" s="708" t="inlineStr">
        <is>
          <t>SA04</t>
        </is>
      </c>
      <c r="F56" s="394" t="n"/>
      <c r="G56" s="394" t="n"/>
      <c r="H56" s="394" t="n"/>
      <c r="I56" s="394" t="n"/>
      <c r="J56" s="394" t="n"/>
      <c r="K56" s="394" t="n"/>
    </row>
    <row r="57">
      <c r="A57" s="670" t="inlineStr">
        <is>
          <t>Iron Ore</t>
        </is>
      </c>
      <c r="B57" s="1079">
        <f>D27-'EBITDA Model'!$J$103</f>
        <v/>
      </c>
      <c r="C57" s="1079">
        <f>D26-'EBITDA Model'!$J$103</f>
        <v/>
      </c>
      <c r="D57" s="394" t="n"/>
      <c r="E57" s="394" t="n"/>
      <c r="F57" s="394" t="n"/>
      <c r="G57" s="394" t="n"/>
      <c r="H57" s="394" t="n"/>
      <c r="I57" s="394" t="n"/>
      <c r="J57" s="394" t="n"/>
      <c r="K57" s="394" t="n"/>
    </row>
    <row r="58">
      <c r="A58" s="670" t="inlineStr">
        <is>
          <t>HCC Coal</t>
        </is>
      </c>
      <c r="B58" s="1079">
        <f>D28-'EBITDA Model'!$J$103</f>
        <v/>
      </c>
      <c r="C58" s="1079">
        <f>-(D28-'EBITDA Model'!$J$103)</f>
        <v/>
      </c>
      <c r="D58" s="394" t="n"/>
      <c r="E58" s="394" t="n"/>
      <c r="F58" s="394" t="n"/>
      <c r="G58" s="394" t="n"/>
      <c r="H58" s="394" t="n"/>
      <c r="I58" s="394" t="n"/>
      <c r="J58" s="394" t="n"/>
      <c r="K58" s="394" t="n"/>
    </row>
    <row r="59">
      <c r="A59" s="670" t="inlineStr">
        <is>
          <t>Demand</t>
        </is>
      </c>
      <c r="B59" s="1079">
        <f>D29-'EBITDA Model'!$J$103</f>
        <v/>
      </c>
      <c r="C59" s="1079">
        <f>-(D29-'EBITDA Model'!$J$103)</f>
        <v/>
      </c>
      <c r="D59" s="394" t="n"/>
      <c r="E59" s="394" t="n"/>
      <c r="F59" s="394" t="n"/>
      <c r="G59" s="394" t="n"/>
      <c r="H59" s="394" t="n"/>
      <c r="I59" s="394" t="n"/>
      <c r="J59" s="394" t="n"/>
      <c r="K59" s="394" t="n"/>
    </row>
    <row r="60">
      <c r="A60" s="670" t="inlineStr">
        <is>
          <t>Capacity Utilisation</t>
        </is>
      </c>
      <c r="B60" s="1079">
        <f>D30-'EBITDA Model'!$J$103</f>
        <v/>
      </c>
      <c r="C60" s="1079">
        <f>-(D30-'EBITDA Model'!$J$103)</f>
        <v/>
      </c>
      <c r="D60" s="394" t="n"/>
      <c r="E60" s="394" t="n"/>
      <c r="F60" s="394" t="n"/>
      <c r="G60" s="394" t="n"/>
      <c r="H60" s="394" t="n"/>
      <c r="I60" s="394" t="n"/>
      <c r="J60" s="394" t="n"/>
      <c r="K60" s="394" t="n"/>
    </row>
    <row r="61">
      <c r="A61" s="670" t="inlineStr">
        <is>
          <t>WACC</t>
        </is>
      </c>
      <c r="B61" s="1079">
        <f>F32-'Comparable Valuation'!$D$138</f>
        <v/>
      </c>
      <c r="C61" s="1079">
        <f>-(F32-'Comparable Valuation'!$D$138)</f>
        <v/>
      </c>
      <c r="D61" s="394" t="n"/>
      <c r="E61" s="394" t="n"/>
      <c r="F61" s="394" t="n"/>
      <c r="G61" s="394" t="n"/>
      <c r="H61" s="394" t="n"/>
      <c r="I61" s="394" t="n"/>
      <c r="J61" s="394" t="n"/>
      <c r="K61" s="394" t="n"/>
    </row>
    <row r="62">
      <c r="A62" s="670" t="inlineStr">
        <is>
          <t>Terminal Growth</t>
        </is>
      </c>
      <c r="B62" s="955" t="n"/>
      <c r="C62" s="955" t="n"/>
      <c r="D62" s="394" t="n"/>
      <c r="E62" s="394" t="n"/>
      <c r="F62" s="394" t="n"/>
      <c r="G62" s="394" t="n"/>
      <c r="H62" s="394" t="n"/>
      <c r="I62" s="394" t="n"/>
      <c r="J62" s="394" t="n"/>
      <c r="K62" s="394" t="n"/>
    </row>
    <row r="63">
      <c r="A63" s="670" t="inlineStr">
        <is>
          <t>USD/INR</t>
        </is>
      </c>
      <c r="B63" s="1079">
        <f>D31-'EBITDA Model'!$J$103</f>
        <v/>
      </c>
      <c r="C63" s="1079">
        <f>-(D31-'EBITDA Model'!$J$103)</f>
        <v/>
      </c>
      <c r="D63" s="394" t="n"/>
      <c r="E63" s="394" t="n"/>
      <c r="F63" s="394" t="n"/>
      <c r="G63" s="394" t="n"/>
      <c r="H63" s="394" t="n"/>
      <c r="I63" s="394" t="n"/>
      <c r="J63" s="394" t="n"/>
      <c r="K63" s="394" t="n"/>
    </row>
    <row r="64">
      <c r="A64" s="394" t="n"/>
      <c r="B64" s="394" t="n"/>
      <c r="C64" s="394" t="n"/>
      <c r="D64" s="394" t="n"/>
      <c r="E64" s="394" t="n"/>
      <c r="F64" s="394" t="n"/>
      <c r="G64" s="394" t="n"/>
      <c r="H64" s="394" t="n"/>
      <c r="I64" s="394" t="n"/>
      <c r="J64" s="394" t="n"/>
      <c r="K64" s="394" t="n"/>
    </row>
    <row r="65">
      <c r="A65" s="394" t="n"/>
      <c r="B65" s="394" t="n"/>
      <c r="C65" s="394" t="n"/>
      <c r="D65" s="394" t="n"/>
      <c r="E65" s="394" t="n"/>
      <c r="F65" s="394" t="n"/>
      <c r="G65" s="394" t="n"/>
      <c r="H65" s="394" t="n"/>
      <c r="I65" s="394" t="n"/>
      <c r="J65" s="394" t="n"/>
      <c r="K65" s="394" t="n"/>
    </row>
    <row r="66" ht="15.6" customHeight="1" s="632">
      <c r="A66" s="608" t="inlineStr">
        <is>
          <t>Break-even Analysis</t>
        </is>
      </c>
      <c r="B66" s="699" t="n"/>
      <c r="C66" s="699" t="n"/>
      <c r="D66" s="394" t="n"/>
      <c r="E66" s="394" t="n"/>
      <c r="F66" s="394" t="n"/>
      <c r="G66" s="394" t="n"/>
      <c r="H66" s="394" t="n"/>
      <c r="I66" s="394" t="n"/>
      <c r="J66" s="394" t="n"/>
      <c r="K66" s="394" t="n"/>
    </row>
    <row r="67">
      <c r="A67" s="544" t="inlineStr">
        <is>
          <t>Metric</t>
        </is>
      </c>
      <c r="B67" s="544" t="inlineStr">
        <is>
          <t>Value</t>
        </is>
      </c>
      <c r="C67" s="394" t="n"/>
      <c r="D67" s="394" t="n"/>
      <c r="E67" s="707" t="inlineStr">
        <is>
          <t>Ref</t>
        </is>
      </c>
      <c r="F67" s="394" t="n"/>
      <c r="G67" s="394" t="n"/>
      <c r="H67" s="394" t="n"/>
      <c r="I67" s="394" t="n"/>
      <c r="J67" s="394" t="n"/>
      <c r="K67" s="394" t="n"/>
    </row>
    <row r="68">
      <c r="A68" s="670" t="inlineStr">
        <is>
          <t>Break-even Steel Price</t>
        </is>
      </c>
      <c r="B68" s="1002">
        <f>'Cost Curve'!$J$80/'Steel Price Forecast'!$J$102</f>
        <v/>
      </c>
      <c r="C68" s="394" t="n"/>
      <c r="D68" s="394" t="n"/>
      <c r="E68" s="708" t="inlineStr">
        <is>
          <t>SA05</t>
        </is>
      </c>
      <c r="F68" s="394" t="n"/>
      <c r="G68" s="394" t="n"/>
      <c r="H68" s="394" t="n"/>
      <c r="I68" s="394" t="n"/>
      <c r="J68" s="394" t="n"/>
      <c r="K68" s="394" t="n"/>
    </row>
    <row r="69">
      <c r="A69" s="670" t="inlineStr">
        <is>
          <t>Break-even EBITDA Margin</t>
        </is>
      </c>
      <c r="B69" s="954">
        <f>IFERROR(('Cash Flow Model'!$J$110+'Cash Flow Model'!$J$113+'Cash Flow Model'!$J$102)/'Revenue Forecast'!$J$96,"")</f>
        <v/>
      </c>
      <c r="C69" s="394" t="n"/>
      <c r="D69" s="394" t="n"/>
      <c r="E69" s="394" t="n"/>
      <c r="F69" s="394" t="n"/>
      <c r="G69" s="394" t="n"/>
      <c r="H69" s="394" t="n"/>
      <c r="I69" s="394" t="n"/>
      <c r="J69" s="394" t="n"/>
      <c r="K69" s="394" t="n"/>
    </row>
    <row r="70">
      <c r="A70" s="670" t="inlineStr">
        <is>
          <t>Break-even Capacity Utilisation</t>
        </is>
      </c>
      <c r="B70" s="954">
        <f>IFERROR('Capacity Utilisation'!$J$67*('Cash Flow Model'!$J$110+'Cash Flow Model'!$J$113+'Cash Flow Model'!$J$102)/'EBITDA Model'!$J$103,"")</f>
        <v/>
      </c>
      <c r="C70" s="394" t="n"/>
      <c r="D70" s="394" t="n"/>
      <c r="E70" s="394" t="n"/>
      <c r="F70" s="394" t="n"/>
      <c r="G70" s="394" t="n"/>
      <c r="H70" s="394" t="n"/>
      <c r="I70" s="394" t="n"/>
      <c r="J70" s="394" t="n"/>
      <c r="K70" s="394" t="n"/>
    </row>
    <row r="71">
      <c r="A71" s="670" t="inlineStr">
        <is>
          <t>Break-even Demand Growth</t>
        </is>
      </c>
      <c r="B71" s="954">
        <f>IFERROR((1+'Steel Demand Model'!$J$115)*('Cash Flow Model'!$J$110+'Cash Flow Model'!$J$113+'Cash Flow Model'!$J$102)/'EBITDA Model'!$J$103-1,"")</f>
        <v/>
      </c>
      <c r="C71" s="394" t="n"/>
      <c r="D71" s="394" t="n"/>
      <c r="E71" s="394" t="n"/>
      <c r="F71" s="394" t="n"/>
      <c r="G71" s="394" t="n"/>
      <c r="H71" s="394" t="n"/>
      <c r="I71" s="394" t="n"/>
      <c r="J71" s="394" t="n"/>
      <c r="K71" s="394" t="n"/>
    </row>
    <row r="72">
      <c r="A72" s="670" t="inlineStr">
        <is>
          <t>Break-even Iron Ore Price</t>
        </is>
      </c>
      <c r="B72" s="895">
        <f>'Model Assumptions'!$K$17*(1+('Steel Price Forecast'!$J$103-'Cost Curve'!$J$80)/('Cost Curve'!$J$80*'Model Assumptions'!$K$20*'Model Assumptions'!$K$21))</f>
        <v/>
      </c>
      <c r="C72" s="394" t="n"/>
      <c r="D72" s="394" t="n"/>
      <c r="E72" s="394" t="n"/>
      <c r="F72" s="394" t="n"/>
      <c r="G72" s="394" t="n"/>
      <c r="H72" s="394" t="n"/>
      <c r="I72" s="394" t="n"/>
      <c r="J72" s="394" t="n"/>
      <c r="K72" s="394" t="n"/>
    </row>
    <row r="73">
      <c r="A73" s="394" t="n"/>
      <c r="B73" s="394" t="n"/>
      <c r="C73" s="394" t="n"/>
      <c r="D73" s="394" t="n"/>
      <c r="E73" s="394" t="n"/>
      <c r="F73" s="394" t="n"/>
      <c r="G73" s="394" t="n"/>
      <c r="H73" s="394" t="n"/>
      <c r="I73" s="394" t="n"/>
      <c r="J73" s="394" t="n"/>
      <c r="K73" s="394" t="n"/>
    </row>
    <row r="74">
      <c r="A74" s="394" t="n"/>
      <c r="B74" s="394" t="n"/>
      <c r="C74" s="394" t="n"/>
      <c r="D74" s="394" t="n"/>
      <c r="E74" s="394" t="n"/>
      <c r="F74" s="394" t="n"/>
      <c r="G74" s="394" t="n"/>
      <c r="H74" s="394" t="n"/>
      <c r="I74" s="394" t="n"/>
      <c r="J74" s="394" t="n"/>
      <c r="K74" s="394" t="n"/>
    </row>
    <row r="75" ht="15.6" customHeight="1" s="632">
      <c r="A75" s="608" t="inlineStr">
        <is>
          <t>Risk Ranking</t>
        </is>
      </c>
      <c r="B75" s="699" t="n"/>
      <c r="C75" s="699" t="n"/>
      <c r="D75" s="394" t="n"/>
      <c r="E75" s="394" t="n"/>
      <c r="F75" s="394" t="n"/>
      <c r="G75" s="394" t="n"/>
      <c r="H75" s="394" t="n"/>
      <c r="I75" s="394" t="n"/>
      <c r="J75" s="394" t="n"/>
      <c r="K75" s="394" t="n"/>
    </row>
    <row r="76">
      <c r="A76" s="544" t="inlineStr">
        <is>
          <t>Variable</t>
        </is>
      </c>
      <c r="B76" s="544" t="inlineStr">
        <is>
          <t>Impact</t>
        </is>
      </c>
      <c r="C76" s="544" t="inlineStr">
        <is>
          <t>Probability</t>
        </is>
      </c>
      <c r="D76" s="544" t="inlineStr">
        <is>
          <t>Risk Score</t>
        </is>
      </c>
      <c r="E76" s="394" t="n"/>
      <c r="F76" s="707" t="inlineStr">
        <is>
          <t>Ref</t>
        </is>
      </c>
      <c r="G76" s="394" t="n"/>
      <c r="H76" s="394" t="n"/>
      <c r="I76" s="394" t="n"/>
      <c r="J76" s="394" t="n"/>
      <c r="K76" s="394" t="n"/>
    </row>
    <row r="77">
      <c r="A77" s="670" t="inlineStr">
        <is>
          <t>Steel Price</t>
        </is>
      </c>
      <c r="B77" s="954">
        <f>ABS($F$97)</f>
        <v/>
      </c>
      <c r="C77" s="874" t="n">
        <v>0.3</v>
      </c>
      <c r="D77" s="988">
        <f>B77*C77</f>
        <v/>
      </c>
      <c r="E77" s="394" t="n"/>
      <c r="F77" s="708" t="inlineStr">
        <is>
          <t>SA06, SA07</t>
        </is>
      </c>
      <c r="G77" s="394" t="n"/>
      <c r="H77" s="394" t="n"/>
      <c r="I77" s="394" t="n"/>
      <c r="J77" s="394" t="n"/>
      <c r="K77" s="394" t="n"/>
    </row>
    <row r="78">
      <c r="A78" s="670" t="inlineStr">
        <is>
          <t>Iron Ore</t>
        </is>
      </c>
      <c r="B78" s="954">
        <f>ABS($F$101)</f>
        <v/>
      </c>
      <c r="C78" s="874" t="n">
        <v>0.3</v>
      </c>
      <c r="D78" s="988">
        <f>B78*C78</f>
        <v/>
      </c>
      <c r="E78" s="394" t="n"/>
      <c r="F78" s="708" t="inlineStr">
        <is>
          <t>SA06</t>
        </is>
      </c>
      <c r="G78" s="394" t="n"/>
      <c r="H78" s="394" t="n"/>
      <c r="I78" s="394" t="n"/>
      <c r="J78" s="394" t="n"/>
      <c r="K78" s="394" t="n"/>
    </row>
    <row r="79">
      <c r="A79" s="670" t="inlineStr">
        <is>
          <t>Coal</t>
        </is>
      </c>
      <c r="B79" s="954">
        <f>ABS($F$102)</f>
        <v/>
      </c>
      <c r="C79" s="874" t="n">
        <v>0.35</v>
      </c>
      <c r="D79" s="988">
        <f>B79*C79</f>
        <v/>
      </c>
      <c r="E79" s="394" t="n"/>
      <c r="F79" s="708" t="inlineStr">
        <is>
          <t>SA06</t>
        </is>
      </c>
      <c r="G79" s="394" t="n"/>
      <c r="H79" s="394" t="n"/>
      <c r="I79" s="394" t="n"/>
      <c r="J79" s="394" t="n"/>
      <c r="K79" s="394" t="n"/>
    </row>
    <row r="80">
      <c r="A80" s="670" t="inlineStr">
        <is>
          <t>Demand</t>
        </is>
      </c>
      <c r="B80" s="954">
        <f>ABS($F$99)</f>
        <v/>
      </c>
      <c r="C80" s="874" t="n">
        <v>0.2</v>
      </c>
      <c r="D80" s="988">
        <f>B80*C80</f>
        <v/>
      </c>
      <c r="E80" s="394" t="n"/>
      <c r="F80" s="708" t="inlineStr">
        <is>
          <t>SA06</t>
        </is>
      </c>
      <c r="G80" s="394" t="n"/>
      <c r="H80" s="394" t="n"/>
      <c r="I80" s="394" t="n"/>
      <c r="J80" s="394" t="n"/>
      <c r="K80" s="394" t="n"/>
    </row>
    <row r="81">
      <c r="A81" s="670" t="inlineStr">
        <is>
          <t>Trade Policy</t>
        </is>
      </c>
      <c r="B81" s="954">
        <f>IFERROR('Trade Model'!$J$83-'Trade Model'!$C$83,"")</f>
        <v/>
      </c>
      <c r="C81" s="874" t="n">
        <v>0.5</v>
      </c>
      <c r="D81" s="988">
        <f>B81*C81</f>
        <v/>
      </c>
      <c r="E81" s="394" t="n"/>
      <c r="F81" s="708" t="inlineStr">
        <is>
          <t>SA06</t>
        </is>
      </c>
      <c r="G81" s="394" t="n"/>
      <c r="H81" s="394" t="n"/>
      <c r="I81" s="394" t="n"/>
      <c r="J81" s="394" t="n"/>
      <c r="K81" s="394" t="n"/>
    </row>
    <row r="82">
      <c r="A82" s="670" t="inlineStr">
        <is>
          <t>Carbon Cost</t>
        </is>
      </c>
      <c r="B82" s="954">
        <f>IFERROR('ESG Model'!$J$112/'EBITDA Model'!$J$103,"")</f>
        <v/>
      </c>
      <c r="C82" s="874" t="n">
        <v>0.6</v>
      </c>
      <c r="D82" s="988">
        <f>B82*C82</f>
        <v/>
      </c>
      <c r="E82" s="394" t="n"/>
      <c r="F82" s="708" t="inlineStr">
        <is>
          <t>SA06</t>
        </is>
      </c>
      <c r="G82" s="394" t="n"/>
      <c r="H82" s="394" t="n"/>
      <c r="I82" s="394" t="n"/>
      <c r="J82" s="394" t="n"/>
      <c r="K82" s="394" t="n"/>
    </row>
    <row r="83">
      <c r="A83" s="670" t="inlineStr">
        <is>
          <t>WACC</t>
        </is>
      </c>
      <c r="B83" s="954">
        <f>IFERROR(ABS(F32-'Comparable Valuation'!$D$138)/'Comparable Valuation'!$D$138,"")</f>
        <v/>
      </c>
      <c r="C83" s="874" t="n">
        <v>0.25</v>
      </c>
      <c r="D83" s="988">
        <f>B83*C83</f>
        <v/>
      </c>
      <c r="E83" s="394" t="n"/>
      <c r="F83" s="708" t="inlineStr">
        <is>
          <t>SA06</t>
        </is>
      </c>
      <c r="G83" s="394" t="n"/>
      <c r="H83" s="394" t="n"/>
      <c r="I83" s="394" t="n"/>
      <c r="J83" s="394" t="n"/>
      <c r="K83" s="394" t="n"/>
    </row>
    <row r="84">
      <c r="A84" s="394" t="n"/>
      <c r="B84" s="394" t="n"/>
      <c r="C84" s="394" t="n"/>
      <c r="D84" s="394" t="n"/>
      <c r="E84" s="394" t="n"/>
      <c r="F84" s="394" t="n"/>
      <c r="G84" s="394" t="n"/>
      <c r="H84" s="394" t="n"/>
      <c r="I84" s="394" t="n"/>
      <c r="J84" s="394" t="n"/>
      <c r="K84" s="394" t="n"/>
    </row>
    <row r="85">
      <c r="A85" s="394" t="n"/>
      <c r="B85" s="394" t="n"/>
      <c r="C85" s="394" t="n"/>
      <c r="D85" s="394" t="n"/>
      <c r="E85" s="394" t="n"/>
      <c r="F85" s="394" t="n"/>
      <c r="G85" s="394" t="n"/>
      <c r="H85" s="394" t="n"/>
      <c r="I85" s="394" t="n"/>
      <c r="J85" s="394" t="n"/>
      <c r="K85" s="394" t="n"/>
    </row>
    <row r="86">
      <c r="A86" s="394" t="n"/>
      <c r="B86" s="394" t="n"/>
      <c r="C86" s="394" t="n"/>
      <c r="D86" s="394" t="n"/>
      <c r="E86" s="394" t="n"/>
      <c r="F86" s="394" t="n"/>
      <c r="G86" s="394" t="n"/>
      <c r="H86" s="394" t="n"/>
      <c r="I86" s="394" t="n"/>
      <c r="J86" s="394" t="n"/>
      <c r="K86" s="394" t="n"/>
    </row>
    <row r="87">
      <c r="A87" s="394" t="n"/>
      <c r="B87" s="394" t="n"/>
      <c r="C87" s="394" t="n"/>
      <c r="D87" s="394" t="n"/>
      <c r="E87" s="394" t="n"/>
      <c r="F87" s="394" t="n"/>
      <c r="G87" s="394" t="n"/>
      <c r="H87" s="394" t="n"/>
      <c r="I87" s="394" t="n"/>
      <c r="J87" s="394" t="n"/>
      <c r="K87" s="394" t="n"/>
    </row>
    <row r="88">
      <c r="A88" s="394" t="n"/>
      <c r="B88" s="394" t="n"/>
      <c r="C88" s="394" t="n"/>
      <c r="D88" s="394" t="n"/>
      <c r="E88" s="394" t="n"/>
      <c r="F88" s="394" t="n"/>
      <c r="G88" s="394" t="n"/>
      <c r="H88" s="394" t="n"/>
      <c r="I88" s="394" t="n"/>
      <c r="J88" s="394" t="n"/>
      <c r="K88" s="394" t="n"/>
    </row>
    <row r="89">
      <c r="A89" s="394" t="n"/>
      <c r="B89" s="394" t="n"/>
      <c r="C89" s="394" t="n"/>
      <c r="D89" s="394" t="n"/>
      <c r="E89" s="394" t="n"/>
      <c r="F89" s="394" t="n"/>
      <c r="G89" s="394" t="n"/>
      <c r="H89" s="394" t="n"/>
      <c r="I89" s="394" t="n"/>
      <c r="J89" s="394" t="n"/>
      <c r="K89" s="394" t="n"/>
    </row>
    <row r="90">
      <c r="A90" s="394" t="n"/>
      <c r="B90" s="394" t="n"/>
      <c r="C90" s="394" t="n"/>
      <c r="D90" s="394" t="n"/>
      <c r="E90" s="394" t="n"/>
      <c r="F90" s="394" t="n"/>
      <c r="G90" s="394" t="n"/>
      <c r="H90" s="394" t="n"/>
      <c r="I90" s="394" t="n"/>
      <c r="J90" s="394" t="n"/>
      <c r="K90" s="394" t="n"/>
    </row>
    <row r="91">
      <c r="A91" s="394" t="n"/>
      <c r="B91" s="394" t="n"/>
      <c r="C91" s="394" t="n"/>
      <c r="D91" s="394" t="n"/>
      <c r="E91" s="394" t="n"/>
      <c r="F91" s="394" t="n"/>
      <c r="G91" s="394" t="n"/>
      <c r="H91" s="394" t="n"/>
      <c r="I91" s="394" t="n"/>
      <c r="J91" s="394" t="n"/>
      <c r="K91" s="394" t="n"/>
    </row>
    <row r="92">
      <c r="A92" s="394" t="n"/>
      <c r="B92" s="394" t="n"/>
      <c r="C92" s="394" t="n"/>
      <c r="D92" s="394" t="n"/>
      <c r="E92" s="394" t="n"/>
      <c r="F92" s="394" t="n"/>
      <c r="G92" s="394" t="n"/>
      <c r="H92" s="394" t="n"/>
      <c r="I92" s="394" t="n"/>
      <c r="J92" s="394" t="n"/>
      <c r="K92" s="394" t="n"/>
    </row>
    <row r="93">
      <c r="A93" s="394" t="n"/>
      <c r="B93" s="394" t="n"/>
      <c r="C93" s="394" t="n"/>
      <c r="D93" s="394" t="n"/>
      <c r="E93" s="394" t="n"/>
      <c r="F93" s="394" t="n"/>
      <c r="G93" s="394" t="n"/>
      <c r="H93" s="394" t="n"/>
      <c r="I93" s="394" t="n"/>
      <c r="J93" s="394" t="n"/>
      <c r="K93" s="394" t="n"/>
    </row>
    <row r="94">
      <c r="B94" s="415" t="n"/>
    </row>
    <row r="95" ht="15" customHeight="1" s="632" thickBot="1">
      <c r="A95" s="402" t="inlineStr">
        <is>
          <t>A - TORNADO: FY2033E INDUSTRY EBITDA, 10% ADVERSE MOVE (Base Case)</t>
        </is>
      </c>
      <c r="P95" s="707" t="inlineStr">
        <is>
          <t>Ref</t>
        </is>
      </c>
    </row>
    <row r="96" ht="27.6" customHeight="1" s="632">
      <c r="A96" s="63" t="inlineStr">
        <is>
          <t>Driver</t>
        </is>
      </c>
      <c r="B96" s="65" t="inlineStr">
        <is>
          <t>ID</t>
        </is>
      </c>
      <c r="C96" s="65" t="inlineStr">
        <is>
          <t>Adverse direction</t>
        </is>
      </c>
      <c r="D96" s="65" t="inlineStr">
        <is>
          <t>FY2033E EBITDA (Rs cr)</t>
        </is>
      </c>
      <c r="E96" s="65" t="inlineStr">
        <is>
          <t>Change (Rs cr)</t>
        </is>
      </c>
      <c r="F96" s="65" t="inlineStr">
        <is>
          <t>Change (%)</t>
        </is>
      </c>
      <c r="G96" s="409" t="inlineStr">
        <is>
          <t>Interpretation</t>
        </is>
      </c>
      <c r="H96" s="1134" t="n"/>
      <c r="I96" s="1134" t="n"/>
      <c r="J96" s="1134" t="n"/>
      <c r="K96" s="1134" t="n"/>
      <c r="L96" s="1134" t="n"/>
      <c r="M96" s="1134" t="n"/>
      <c r="N96" s="1157" t="n"/>
      <c r="P96" s="708" t="inlineStr">
        <is>
          <t>SA08</t>
        </is>
      </c>
    </row>
    <row r="97" ht="23.4" customHeight="1" s="632">
      <c r="A97" s="420" t="inlineStr">
        <is>
          <t>Blended realisation</t>
        </is>
      </c>
      <c r="B97" s="352" t="inlineStr">
        <is>
          <t>D09</t>
        </is>
      </c>
      <c r="C97" s="162" t="inlineStr">
        <is>
          <t>-10%</t>
        </is>
      </c>
      <c r="D97" s="714" t="n">
        <v>127580.3056699005</v>
      </c>
      <c r="E97" s="714" t="n">
        <v>-188207.8664238758</v>
      </c>
      <c r="F97" s="753" t="n">
        <v>-0.5959940335193608</v>
      </c>
      <c r="G97" s="344" t="inlineStr">
        <is>
          <t>By far the dominant driver. A 10% realisation move is worth roughly 60% of industry EBITDA, which is the arithmetic of a 17.9% margin: a 10% price move is a 56% move in the margin. Any valuation of this sector is primarily a price call.</t>
        </is>
      </c>
      <c r="H97" s="837" t="n"/>
      <c r="I97" s="837" t="n"/>
      <c r="J97" s="837" t="n"/>
      <c r="K97" s="837" t="n"/>
      <c r="L97" s="837" t="n"/>
      <c r="M97" s="837" t="n"/>
      <c r="N97" s="951" t="n"/>
      <c r="P97" s="708" t="inlineStr">
        <is>
          <t>SA09</t>
        </is>
      </c>
    </row>
    <row r="98" ht="38.4" customHeight="1" s="632">
      <c r="A98" s="420" t="inlineStr">
        <is>
          <t>USD/INR</t>
        </is>
      </c>
      <c r="B98" s="352" t="inlineStr">
        <is>
          <t>D03</t>
        </is>
      </c>
      <c r="C98" s="162" t="inlineStr">
        <is>
          <t>+10%</t>
        </is>
      </c>
      <c r="D98" s="714" t="n">
        <v>241003.3909986167</v>
      </c>
      <c r="E98" s="714" t="n">
        <v>-74784.78109515962</v>
      </c>
      <c r="F98" s="753" t="n">
        <v>-0.236819449567451</v>
      </c>
      <c r="G98" s="344" t="inlineStr">
        <is>
          <t>The second largest, and frequently underestimated. Iron ore and coking coal are dollar-priced, so a 10% rupee depreciation raises rupee input cost across the whole basket simultaneously. Note the model does NOT credit the offsetting import-parity support to realisation in this isolated flex - that interaction is captured in the stress scenario, which is why the stress case is not simply the sum of these individual flexes.</t>
        </is>
      </c>
      <c r="H98" s="837" t="n"/>
      <c r="I98" s="837" t="n"/>
      <c r="J98" s="837" t="n"/>
      <c r="K98" s="837" t="n"/>
      <c r="L98" s="837" t="n"/>
      <c r="M98" s="837" t="n"/>
      <c r="N98" s="951" t="n"/>
      <c r="P98" s="708" t="inlineStr">
        <is>
          <t>SA10</t>
        </is>
      </c>
    </row>
    <row r="99">
      <c r="A99" s="420" t="inlineStr">
        <is>
          <t>Real GDP growth</t>
        </is>
      </c>
      <c r="B99" s="352" t="inlineStr">
        <is>
          <t>D01</t>
        </is>
      </c>
      <c r="C99" s="162" t="inlineStr">
        <is>
          <t>-10%</t>
        </is>
      </c>
      <c r="D99" s="714" t="n">
        <v>277413.618443138</v>
      </c>
      <c r="E99" s="714" t="n">
        <v>-38374.55365063832</v>
      </c>
      <c r="F99" s="753" t="n">
        <v>-0.121519920762715</v>
      </c>
      <c r="G99" s="344" t="inlineStr">
        <is>
          <t>Works through both volume and, via utilisation, price. The fact that GDP and elasticity show identical impacts confirms the model treats them as a pure product, as intended.</t>
        </is>
      </c>
      <c r="H99" s="837" t="n"/>
      <c r="I99" s="837" t="n"/>
      <c r="J99" s="837" t="n"/>
      <c r="K99" s="837" t="n"/>
      <c r="L99" s="837" t="n"/>
      <c r="M99" s="837" t="n"/>
      <c r="N99" s="951" t="n"/>
      <c r="P99" s="708" t="inlineStr">
        <is>
          <t>SA11</t>
        </is>
      </c>
    </row>
    <row r="100">
      <c r="A100" s="420" t="inlineStr">
        <is>
          <t>Demand elasticity</t>
        </is>
      </c>
      <c r="B100" s="352" t="inlineStr">
        <is>
          <t>D02</t>
        </is>
      </c>
      <c r="C100" s="162" t="inlineStr">
        <is>
          <t>-10%</t>
        </is>
      </c>
      <c r="D100" s="714" t="n">
        <v>277413.618443138</v>
      </c>
      <c r="E100" s="714" t="n">
        <v>-38374.55365063832</v>
      </c>
      <c r="F100" s="753" t="n">
        <v>-0.121519920762715</v>
      </c>
      <c r="G100" s="344" t="inlineStr">
        <is>
          <t>Identical to GDP by construction - demand growth is their product.</t>
        </is>
      </c>
      <c r="H100" s="837" t="n"/>
      <c r="I100" s="837" t="n"/>
      <c r="J100" s="837" t="n"/>
      <c r="K100" s="837" t="n"/>
      <c r="L100" s="837" t="n"/>
      <c r="M100" s="837" t="n"/>
      <c r="N100" s="951" t="n"/>
      <c r="P100" s="708" t="inlineStr">
        <is>
          <t>SA12</t>
        </is>
      </c>
    </row>
    <row r="101">
      <c r="A101" s="420" t="inlineStr">
        <is>
          <t>Iron ore price</t>
        </is>
      </c>
      <c r="B101" s="352" t="inlineStr">
        <is>
          <t>D10</t>
        </is>
      </c>
      <c r="C101" s="162" t="inlineStr">
        <is>
          <t>+10%</t>
        </is>
      </c>
      <c r="D101" s="714" t="n">
        <v>277647.5509619861</v>
      </c>
      <c r="E101" s="714" t="n">
        <v>-38140.62113179022</v>
      </c>
      <c r="F101" s="753" t="n">
        <v>-0.1207791313997156</v>
      </c>
      <c r="G101" s="344" t="inlineStr">
        <is>
          <t>Iron ore at 45% of the raw material basket, which is 60% of cash cost.</t>
        </is>
      </c>
      <c r="H101" s="837" t="n"/>
      <c r="I101" s="837" t="n"/>
      <c r="J101" s="837" t="n"/>
      <c r="K101" s="837" t="n"/>
      <c r="L101" s="837" t="n"/>
      <c r="M101" s="837" t="n"/>
      <c r="N101" s="951" t="n"/>
      <c r="P101" s="708" t="inlineStr">
        <is>
          <t>SA13</t>
        </is>
      </c>
    </row>
    <row r="102" ht="23.4" customHeight="1" s="632">
      <c r="A102" s="420" t="inlineStr">
        <is>
          <t>Coking coal price</t>
        </is>
      </c>
      <c r="B102" s="352" t="inlineStr">
        <is>
          <t>D11</t>
        </is>
      </c>
      <c r="C102" s="162" t="inlineStr">
        <is>
          <t>+10%</t>
        </is>
      </c>
      <c r="D102" s="714" t="n">
        <v>279144.0121304067</v>
      </c>
      <c r="E102" s="714" t="n">
        <v>-36644.1599633696</v>
      </c>
      <c r="F102" s="753" t="n">
        <v>-0.1160403181677361</v>
      </c>
      <c r="G102" s="344" t="inlineStr">
        <is>
          <t>Coking coal, same basket weight. Note it ranks BELOW iron ore only because the FY2033 base level is closer to its FY2026 reference; in the stress case coking coal is the dominant cost driver.</t>
        </is>
      </c>
      <c r="H102" s="837" t="n"/>
      <c r="I102" s="837" t="n"/>
      <c r="J102" s="837" t="n"/>
      <c r="K102" s="837" t="n"/>
      <c r="L102" s="837" t="n"/>
      <c r="M102" s="837" t="n"/>
      <c r="N102" s="951" t="n"/>
      <c r="P102" s="708" t="inlineStr">
        <is>
          <t>SA14</t>
        </is>
      </c>
    </row>
    <row r="103">
      <c r="A103" s="420" t="inlineStr">
        <is>
          <t>Conversion cost inflation</t>
        </is>
      </c>
      <c r="B103" s="352" t="inlineStr">
        <is>
          <t>D12</t>
        </is>
      </c>
      <c r="C103" s="162" t="inlineStr">
        <is>
          <t>+10%</t>
        </is>
      </c>
      <c r="D103" s="714" t="n">
        <v>292957.3405803083</v>
      </c>
      <c r="E103" s="714" t="n">
        <v>-22830.83151346806</v>
      </c>
      <c r="F103" s="753" t="n">
        <v>-0.07229793111658477</v>
      </c>
      <c r="G103" s="344" t="inlineStr">
        <is>
          <t>Conversion cost inflation on the 40% of cash cost not indexed to raw materials.</t>
        </is>
      </c>
      <c r="H103" s="837" t="n"/>
      <c r="I103" s="837" t="n"/>
      <c r="J103" s="837" t="n"/>
      <c r="K103" s="837" t="n"/>
      <c r="L103" s="837" t="n"/>
      <c r="M103" s="837" t="n"/>
      <c r="N103" s="951" t="n"/>
      <c r="P103" s="708" t="inlineStr">
        <is>
          <t>SA15</t>
        </is>
      </c>
    </row>
    <row r="104" ht="25.2" customHeight="1" s="632">
      <c r="A104" s="420" t="inlineStr">
        <is>
          <t>Raw material share of cash cost</t>
        </is>
      </c>
      <c r="B104" s="352" t="inlineStr">
        <is>
          <t>D13</t>
        </is>
      </c>
      <c r="C104" s="162" t="inlineStr">
        <is>
          <t>+10%</t>
        </is>
      </c>
      <c r="D104" s="714" t="n">
        <v>337081.4448778402</v>
      </c>
      <c r="E104" s="714" t="n">
        <v>21293.27278406388</v>
      </c>
      <c r="F104" s="753" t="n">
        <v>0.06742897507174728</v>
      </c>
      <c r="G104" s="344" t="inlineStr">
        <is>
          <t>POSITIVE because raising the raw-material share shifts weight away from conversion cost, which is compounding faster than the raw material basket in the base case. This is a genuine model insight: the direction of this UNSOURCED parameter's effect depends on the relative escalation of the two components.</t>
        </is>
      </c>
      <c r="H104" s="837" t="n"/>
      <c r="I104" s="837" t="n"/>
      <c r="J104" s="837" t="n"/>
      <c r="K104" s="837" t="n"/>
      <c r="L104" s="837" t="n"/>
      <c r="M104" s="837" t="n"/>
      <c r="N104" s="951" t="n"/>
      <c r="P104" s="708" t="inlineStr">
        <is>
          <t>SA16</t>
        </is>
      </c>
    </row>
    <row r="105" ht="23.4" customHeight="1" s="632">
      <c r="A105" s="420" t="inlineStr">
        <is>
          <t>Secondary capacity additions</t>
        </is>
      </c>
      <c r="B105" s="352" t="inlineStr">
        <is>
          <t>D22</t>
        </is>
      </c>
      <c r="C105" s="162" t="inlineStr">
        <is>
          <t>+10%</t>
        </is>
      </c>
      <c r="D105" s="714" t="n">
        <v>303573.1697724306</v>
      </c>
      <c r="E105" s="714" t="n">
        <v>-12215.00232134573</v>
      </c>
      <c r="F105" s="753" t="n">
        <v>-0.03868100011585731</v>
      </c>
      <c r="G105" s="344" t="inlineStr">
        <is>
          <t>NEGATIVE - more capacity is EBITDA-negative because it depresses utilisation, which feeds back into price via D23. This is the economically correct result and the opposite of the naive intuition that more capacity means more earnings.</t>
        </is>
      </c>
      <c r="H105" s="837" t="n"/>
      <c r="I105" s="837" t="n"/>
      <c r="J105" s="837" t="n"/>
      <c r="K105" s="837" t="n"/>
      <c r="L105" s="837" t="n"/>
      <c r="M105" s="837" t="n"/>
      <c r="N105" s="951" t="n"/>
      <c r="P105" s="708" t="inlineStr">
        <is>
          <t>SA17</t>
        </is>
      </c>
    </row>
    <row r="106" ht="15" customHeight="1" s="632" thickBot="1">
      <c r="A106" s="163" t="inlineStr">
        <is>
          <t>Pipeline delivery factor</t>
        </is>
      </c>
      <c r="B106" s="164" t="inlineStr">
        <is>
          <t>D05</t>
        </is>
      </c>
      <c r="C106" s="165" t="inlineStr">
        <is>
          <t>+10%</t>
        </is>
      </c>
      <c r="D106" s="1190" t="n">
        <v>309138.1230809003</v>
      </c>
      <c r="E106" s="1190" t="n">
        <v>-6650.049012875999</v>
      </c>
      <c r="F106" s="758" t="n">
        <v>-0.02105857533796802</v>
      </c>
      <c r="G106" s="346" t="inlineStr">
        <is>
          <t>Same mechanism as D22, smaller because announced additions are a minority of total additions.</t>
        </is>
      </c>
      <c r="H106" s="1158" t="n"/>
      <c r="I106" s="1158" t="n"/>
      <c r="J106" s="1158" t="n"/>
      <c r="K106" s="1158" t="n"/>
      <c r="L106" s="1158" t="n"/>
      <c r="M106" s="1158" t="n"/>
      <c r="N106" s="1159" t="n"/>
      <c r="P106" s="708" t="inlineStr">
        <is>
          <t>SA18</t>
        </is>
      </c>
    </row>
    <row r="107" ht="15.6" customHeight="1" s="632" thickBot="1" thickTop="1">
      <c r="A107" s="403" t="inlineStr">
        <is>
          <t>Base Case FY2033E industry EBITDA</t>
        </is>
      </c>
      <c r="B107" s="1191" t="n"/>
      <c r="C107" s="166" t="n"/>
      <c r="D107" s="166" t="n"/>
      <c r="E107" s="1192" t="n">
        <v>315788.1720937763</v>
      </c>
      <c r="G107" s="415" t="n"/>
      <c r="H107" s="415" t="n"/>
      <c r="P107" s="708" t="inlineStr">
        <is>
          <t>SA19</t>
        </is>
      </c>
    </row>
    <row r="108"/>
    <row r="109"/>
    <row r="110" ht="15" customHeight="1" s="632" thickBot="1">
      <c r="A110" s="402" t="inlineStr">
        <is>
          <t>B - HELPER CONSTANTS FOR THE LIVE TABLES (all linked, none re-entered)</t>
        </is>
      </c>
    </row>
    <row r="111">
      <c r="A111" s="405" t="inlineStr">
        <is>
          <t>FY2026 cash cost anchor</t>
        </is>
      </c>
      <c r="B111" s="1157" t="n"/>
      <c r="C111" s="167" t="inlineStr">
        <is>
          <t>Rs/t</t>
        </is>
      </c>
      <c r="D111" s="1193" t="n">
        <v>49241</v>
      </c>
      <c r="F111" s="708" t="inlineStr">
        <is>
          <t>SA20</t>
        </is>
      </c>
    </row>
    <row r="112">
      <c r="A112" s="407" t="inlineStr">
        <is>
          <t>Raw material share of cash cost</t>
        </is>
      </c>
      <c r="B112" s="951" t="n"/>
      <c r="C112" s="78" t="inlineStr">
        <is>
          <t>%</t>
        </is>
      </c>
      <c r="D112" s="1194">
        <f>'Model Assumptions'!K$20</f>
        <v/>
      </c>
      <c r="F112" s="708" t="inlineStr">
        <is>
          <t>SA21</t>
        </is>
      </c>
    </row>
    <row r="113">
      <c r="A113" s="407" t="inlineStr">
        <is>
          <t>Iron ore weight in basket</t>
        </is>
      </c>
      <c r="B113" s="951" t="n"/>
      <c r="C113" s="78" t="inlineStr">
        <is>
          <t>%</t>
        </is>
      </c>
      <c r="D113" s="1194">
        <f>'Model Assumptions'!K$21</f>
        <v/>
      </c>
      <c r="F113" s="708" t="inlineStr">
        <is>
          <t>SA22</t>
        </is>
      </c>
    </row>
    <row r="114">
      <c r="A114" s="407" t="inlineStr">
        <is>
          <t>FY2033E conversion cost index</t>
        </is>
      </c>
      <c r="B114" s="951" t="n"/>
      <c r="C114" s="78" t="inlineStr">
        <is>
          <t>x</t>
        </is>
      </c>
      <c r="D114" s="1195">
        <f>'Raw Material Forecast'!J$93</f>
        <v/>
      </c>
      <c r="F114" s="708" t="inlineStr">
        <is>
          <t>SA23</t>
        </is>
      </c>
    </row>
    <row r="115">
      <c r="A115" s="407" t="inlineStr">
        <is>
          <t>FY2033E iron ore in rupees</t>
        </is>
      </c>
      <c r="B115" s="951" t="n"/>
      <c r="C115" s="78" t="inlineStr">
        <is>
          <t>Rs/dmt</t>
        </is>
      </c>
      <c r="D115" s="1196">
        <f>'Raw Material Forecast'!J$89</f>
        <v/>
      </c>
      <c r="F115" s="708" t="inlineStr">
        <is>
          <t>SA24</t>
        </is>
      </c>
    </row>
    <row r="116">
      <c r="A116" s="407" t="inlineStr">
        <is>
          <t>FY2026 iron ore in rupees</t>
        </is>
      </c>
      <c r="B116" s="951" t="n"/>
      <c r="C116" s="78" t="inlineStr">
        <is>
          <t>Rs/dmt</t>
        </is>
      </c>
      <c r="D116" s="1196" t="n">
        <v>8885.968000000001</v>
      </c>
      <c r="F116" s="708" t="inlineStr">
        <is>
          <t>SA25</t>
        </is>
      </c>
    </row>
    <row r="117">
      <c r="A117" s="407" t="inlineStr">
        <is>
          <t>FY2026 coking coal in rupees</t>
        </is>
      </c>
      <c r="B117" s="951" t="n"/>
      <c r="C117" s="78" t="inlineStr">
        <is>
          <t>Rs/t</t>
        </is>
      </c>
      <c r="D117" s="1196" t="n">
        <v>19890</v>
      </c>
      <c r="F117" s="708" t="inlineStr">
        <is>
          <t>SA26</t>
        </is>
      </c>
    </row>
    <row r="118">
      <c r="A118" s="407" t="inlineStr">
        <is>
          <t>FY2033E USD/INR</t>
        </is>
      </c>
      <c r="B118" s="951" t="n"/>
      <c r="C118" s="78" t="inlineStr">
        <is>
          <t>Rs/US$</t>
        </is>
      </c>
      <c r="D118" s="1197">
        <f>'Raw Material Forecast'!J$87</f>
        <v/>
      </c>
      <c r="F118" s="708" t="inlineStr">
        <is>
          <t>SA27</t>
        </is>
      </c>
    </row>
    <row r="119">
      <c r="A119" s="407" t="inlineStr">
        <is>
          <t>FY2033E price adjustment factor</t>
        </is>
      </c>
      <c r="B119" s="951" t="n"/>
      <c r="C119" s="78" t="inlineStr">
        <is>
          <t>x</t>
        </is>
      </c>
      <c r="D119" s="1195">
        <f>'Steel Price Forecast'!J$102</f>
        <v/>
      </c>
      <c r="F119" s="708" t="inlineStr">
        <is>
          <t>SA28</t>
        </is>
      </c>
    </row>
    <row r="120">
      <c r="A120" s="407" t="inlineStr">
        <is>
          <t>FY2033E capacity</t>
        </is>
      </c>
      <c r="B120" s="951" t="n"/>
      <c r="C120" s="78" t="inlineStr">
        <is>
          <t>Mtpa</t>
        </is>
      </c>
      <c r="D120" s="1198">
        <f>'Capacity Forecast'!J$101</f>
        <v/>
      </c>
      <c r="F120" s="708" t="inlineStr">
        <is>
          <t>SA29</t>
        </is>
      </c>
    </row>
    <row r="121">
      <c r="A121" s="407" t="inlineStr">
        <is>
          <t>FY2033E crude-to-finished ratio</t>
        </is>
      </c>
      <c r="B121" s="951" t="n"/>
      <c r="C121" s="78" t="inlineStr">
        <is>
          <t>x</t>
        </is>
      </c>
      <c r="D121" s="174">
        <f>'Steel Supply Model'!J$93</f>
        <v/>
      </c>
      <c r="F121" s="708" t="inlineStr">
        <is>
          <t>SA30</t>
        </is>
      </c>
    </row>
    <row r="122" ht="15" customHeight="1" s="632" thickBot="1">
      <c r="A122" s="412" t="inlineStr">
        <is>
          <t>FY2033E cash cost</t>
        </is>
      </c>
      <c r="B122" s="1159" t="n"/>
      <c r="C122" s="79" t="inlineStr">
        <is>
          <t>Rs/t</t>
        </is>
      </c>
      <c r="D122" s="1199">
        <f>'Cost Curve'!J$80</f>
        <v/>
      </c>
      <c r="F122" s="708" t="inlineStr">
        <is>
          <t>SA31</t>
        </is>
      </c>
    </row>
    <row r="123"/>
    <row r="124"/>
    <row r="125">
      <c r="A125" s="402" t="inlineStr">
        <is>
          <t>C - LIVE TABLE 1: FY2033E EBITDA PER TONNE (Rs/t) - realisation vs coking coal</t>
        </is>
      </c>
      <c r="J125" s="707" t="inlineStr">
        <is>
          <t>Ref</t>
        </is>
      </c>
    </row>
    <row r="126" ht="15" customHeight="1" s="632" thickBot="1">
      <c r="A126" s="414" t="inlineStr">
        <is>
          <t>Rows are the FY2033E realisation driver (Rs/t); columns are coking coal (US$/t). Every cell is a live formula rebuilding the cost equation from the helper constants above - change any driver and the whole grid moves.</t>
        </is>
      </c>
    </row>
    <row r="127">
      <c r="A127" s="176" t="inlineStr">
        <is>
          <t>Realisation \ Coking coal</t>
        </is>
      </c>
      <c r="B127" s="1200" t="n">
        <v>160</v>
      </c>
      <c r="C127" s="1200" t="n">
        <v>180</v>
      </c>
      <c r="D127" s="1200" t="n">
        <v>200</v>
      </c>
      <c r="E127" s="1200" t="n">
        <v>220</v>
      </c>
      <c r="F127" s="1200" t="n">
        <v>240</v>
      </c>
      <c r="G127" s="1200" t="n">
        <v>260</v>
      </c>
      <c r="H127" s="1201" t="n">
        <v>280</v>
      </c>
      <c r="J127" s="708" t="inlineStr">
        <is>
          <t>SA32</t>
        </is>
      </c>
    </row>
    <row r="128">
      <c r="A128" s="1202" t="n">
        <v>58000</v>
      </c>
      <c r="B128" s="1022">
        <f>$A128*$D$119-($D$111*($D$112*($D$113*($D$115/$D$116)+$D$113*(B127*$D$118/$D$117)+(1-2*$D$113)*$D$114)+(1-$D$112)*$D$114))</f>
        <v/>
      </c>
      <c r="C128" s="1022">
        <f>$A128*$D$119-($D$111*($D$112*($D$113*($D$115/$D$116)+$D$113*(C127*$D$118/$D$117)+(1-2*$D$113)*$D$114)+(1-$D$112)*$D$114))</f>
        <v/>
      </c>
      <c r="D128" s="1022">
        <f>$A128*$D$119-($D$111*($D$112*($D$113*($D$115/$D$116)+$D$113*(D127*$D$118/$D$117)+(1-2*$D$113)*$D$114)+(1-$D$112)*$D$114))</f>
        <v/>
      </c>
      <c r="E128" s="1022">
        <f>$A128*$D$119-($D$111*($D$112*($D$113*($D$115/$D$116)+$D$113*(E127*$D$118/$D$117)+(1-2*$D$113)*$D$114)+(1-$D$112)*$D$114))</f>
        <v/>
      </c>
      <c r="F128" s="1022">
        <f>$A128*$D$119-($D$111*($D$112*($D$113*($D$115/$D$116)+$D$113*(F127*$D$118/$D$117)+(1-2*$D$113)*$D$114)+(1-$D$112)*$D$114))</f>
        <v/>
      </c>
      <c r="G128" s="1022">
        <f>$A128*$D$119-($D$111*($D$112*($D$113*($D$115/$D$116)+$D$113*(G127*$D$118/$D$117)+(1-2*$D$113)*$D$114)+(1-$D$112)*$D$114))</f>
        <v/>
      </c>
      <c r="H128" s="1203">
        <f>$A128*$D$119-($D$111*($D$112*($D$113*($D$115/$D$116)+$D$113*(H127*$D$118/$D$117)+(1-2*$D$113)*$D$114)+(1-$D$112)*$D$114))</f>
        <v/>
      </c>
    </row>
    <row r="129">
      <c r="A129" s="1202" t="n">
        <v>61000</v>
      </c>
      <c r="B129" s="1022">
        <f>$A129*$D$119-($D$111*($D$112*($D$113*($D$115/$D$116)+$D$113*(B127*$D$118/$D$117)+(1-2*$D$113)*$D$114)+(1-$D$112)*$D$114))</f>
        <v/>
      </c>
      <c r="C129" s="1022">
        <f>$A129*$D$119-($D$111*($D$112*($D$113*($D$115/$D$116)+$D$113*(C127*$D$118/$D$117)+(1-2*$D$113)*$D$114)+(1-$D$112)*$D$114))</f>
        <v/>
      </c>
      <c r="D129" s="1022">
        <f>$A129*$D$119-($D$111*($D$112*($D$113*($D$115/$D$116)+$D$113*(D127*$D$118/$D$117)+(1-2*$D$113)*$D$114)+(1-$D$112)*$D$114))</f>
        <v/>
      </c>
      <c r="E129" s="1022">
        <f>$A129*$D$119-($D$111*($D$112*($D$113*($D$115/$D$116)+$D$113*(E127*$D$118/$D$117)+(1-2*$D$113)*$D$114)+(1-$D$112)*$D$114))</f>
        <v/>
      </c>
      <c r="F129" s="1022">
        <f>$A129*$D$119-($D$111*($D$112*($D$113*($D$115/$D$116)+$D$113*(F127*$D$118/$D$117)+(1-2*$D$113)*$D$114)+(1-$D$112)*$D$114))</f>
        <v/>
      </c>
      <c r="G129" s="1022">
        <f>$A129*$D$119-($D$111*($D$112*($D$113*($D$115/$D$116)+$D$113*(G127*$D$118/$D$117)+(1-2*$D$113)*$D$114)+(1-$D$112)*$D$114))</f>
        <v/>
      </c>
      <c r="H129" s="1203">
        <f>$A129*$D$119-($D$111*($D$112*($D$113*($D$115/$D$116)+$D$113*(H127*$D$118/$D$117)+(1-2*$D$113)*$D$114)+(1-$D$112)*$D$114))</f>
        <v/>
      </c>
    </row>
    <row r="130">
      <c r="A130" s="1202" t="n">
        <v>64000</v>
      </c>
      <c r="B130" s="1022">
        <f>$A130*$D$119-($D$111*($D$112*($D$113*($D$115/$D$116)+$D$113*(B127*$D$118/$D$117)+(1-2*$D$113)*$D$114)+(1-$D$112)*$D$114))</f>
        <v/>
      </c>
      <c r="C130" s="1022">
        <f>$A130*$D$119-($D$111*($D$112*($D$113*($D$115/$D$116)+$D$113*(C127*$D$118/$D$117)+(1-2*$D$113)*$D$114)+(1-$D$112)*$D$114))</f>
        <v/>
      </c>
      <c r="D130" s="1022">
        <f>$A130*$D$119-($D$111*($D$112*($D$113*($D$115/$D$116)+$D$113*(D127*$D$118/$D$117)+(1-2*$D$113)*$D$114)+(1-$D$112)*$D$114))</f>
        <v/>
      </c>
      <c r="E130" s="1022">
        <f>$A130*$D$119-($D$111*($D$112*($D$113*($D$115/$D$116)+$D$113*(E127*$D$118/$D$117)+(1-2*$D$113)*$D$114)+(1-$D$112)*$D$114))</f>
        <v/>
      </c>
      <c r="F130" s="1022">
        <f>$A130*$D$119-($D$111*($D$112*($D$113*($D$115/$D$116)+$D$113*(F127*$D$118/$D$117)+(1-2*$D$113)*$D$114)+(1-$D$112)*$D$114))</f>
        <v/>
      </c>
      <c r="G130" s="1022">
        <f>$A130*$D$119-($D$111*($D$112*($D$113*($D$115/$D$116)+$D$113*(G127*$D$118/$D$117)+(1-2*$D$113)*$D$114)+(1-$D$112)*$D$114))</f>
        <v/>
      </c>
      <c r="H130" s="1203">
        <f>$A130*$D$119-($D$111*($D$112*($D$113*($D$115/$D$116)+$D$113*(H127*$D$118/$D$117)+(1-2*$D$113)*$D$114)+(1-$D$112)*$D$114))</f>
        <v/>
      </c>
    </row>
    <row r="131">
      <c r="A131" s="1202" t="n">
        <v>66000</v>
      </c>
      <c r="B131" s="1022">
        <f>$A131*$D$119-($D$111*($D$112*($D$113*($D$115/$D$116)+$D$113*(B127*$D$118/$D$117)+(1-2*$D$113)*$D$114)+(1-$D$112)*$D$114))</f>
        <v/>
      </c>
      <c r="C131" s="1022">
        <f>$A131*$D$119-($D$111*($D$112*($D$113*($D$115/$D$116)+$D$113*(C127*$D$118/$D$117)+(1-2*$D$113)*$D$114)+(1-$D$112)*$D$114))</f>
        <v/>
      </c>
      <c r="D131" s="1022">
        <f>$A131*$D$119-($D$111*($D$112*($D$113*($D$115/$D$116)+$D$113*(D127*$D$118/$D$117)+(1-2*$D$113)*$D$114)+(1-$D$112)*$D$114))</f>
        <v/>
      </c>
      <c r="E131" s="1022">
        <f>$A131*$D$119-($D$111*($D$112*($D$113*($D$115/$D$116)+$D$113*(E127*$D$118/$D$117)+(1-2*$D$113)*$D$114)+(1-$D$112)*$D$114))</f>
        <v/>
      </c>
      <c r="F131" s="1022">
        <f>$A131*$D$119-($D$111*($D$112*($D$113*($D$115/$D$116)+$D$113*(F127*$D$118/$D$117)+(1-2*$D$113)*$D$114)+(1-$D$112)*$D$114))</f>
        <v/>
      </c>
      <c r="G131" s="1022">
        <f>$A131*$D$119-($D$111*($D$112*($D$113*($D$115/$D$116)+$D$113*(G127*$D$118/$D$117)+(1-2*$D$113)*$D$114)+(1-$D$112)*$D$114))</f>
        <v/>
      </c>
      <c r="H131" s="1203">
        <f>$A131*$D$119-($D$111*($D$112*($D$113*($D$115/$D$116)+$D$113*(H127*$D$118/$D$117)+(1-2*$D$113)*$D$114)+(1-$D$112)*$D$114))</f>
        <v/>
      </c>
    </row>
    <row r="132">
      <c r="A132" s="1202" t="n">
        <v>68000</v>
      </c>
      <c r="B132" s="1022">
        <f>$A132*$D$119-($D$111*($D$112*($D$113*($D$115/$D$116)+$D$113*(B127*$D$118/$D$117)+(1-2*$D$113)*$D$114)+(1-$D$112)*$D$114))</f>
        <v/>
      </c>
      <c r="C132" s="1022">
        <f>$A132*$D$119-($D$111*($D$112*($D$113*($D$115/$D$116)+$D$113*(C127*$D$118/$D$117)+(1-2*$D$113)*$D$114)+(1-$D$112)*$D$114))</f>
        <v/>
      </c>
      <c r="D132" s="1022">
        <f>$A132*$D$119-($D$111*($D$112*($D$113*($D$115/$D$116)+$D$113*(D127*$D$118/$D$117)+(1-2*$D$113)*$D$114)+(1-$D$112)*$D$114))</f>
        <v/>
      </c>
      <c r="E132" s="1022">
        <f>$A132*$D$119-($D$111*($D$112*($D$113*($D$115/$D$116)+$D$113*(E127*$D$118/$D$117)+(1-2*$D$113)*$D$114)+(1-$D$112)*$D$114))</f>
        <v/>
      </c>
      <c r="F132" s="1022">
        <f>$A132*$D$119-($D$111*($D$112*($D$113*($D$115/$D$116)+$D$113*(F127*$D$118/$D$117)+(1-2*$D$113)*$D$114)+(1-$D$112)*$D$114))</f>
        <v/>
      </c>
      <c r="G132" s="1022">
        <f>$A132*$D$119-($D$111*($D$112*($D$113*($D$115/$D$116)+$D$113*(G127*$D$118/$D$117)+(1-2*$D$113)*$D$114)+(1-$D$112)*$D$114))</f>
        <v/>
      </c>
      <c r="H132" s="1203">
        <f>$A132*$D$119-($D$111*($D$112*($D$113*($D$115/$D$116)+$D$113*(H127*$D$118/$D$117)+(1-2*$D$113)*$D$114)+(1-$D$112)*$D$114))</f>
        <v/>
      </c>
    </row>
    <row r="133">
      <c r="A133" s="1202" t="n">
        <v>71000</v>
      </c>
      <c r="B133" s="1022">
        <f>$A133*$D$119-($D$111*($D$112*($D$113*($D$115/$D$116)+$D$113*(B127*$D$118/$D$117)+(1-2*$D$113)*$D$114)+(1-$D$112)*$D$114))</f>
        <v/>
      </c>
      <c r="C133" s="1022">
        <f>$A133*$D$119-($D$111*($D$112*($D$113*($D$115/$D$116)+$D$113*(C127*$D$118/$D$117)+(1-2*$D$113)*$D$114)+(1-$D$112)*$D$114))</f>
        <v/>
      </c>
      <c r="D133" s="1022">
        <f>$A133*$D$119-($D$111*($D$112*($D$113*($D$115/$D$116)+$D$113*(D127*$D$118/$D$117)+(1-2*$D$113)*$D$114)+(1-$D$112)*$D$114))</f>
        <v/>
      </c>
      <c r="E133" s="1022">
        <f>$A133*$D$119-($D$111*($D$112*($D$113*($D$115/$D$116)+$D$113*(E127*$D$118/$D$117)+(1-2*$D$113)*$D$114)+(1-$D$112)*$D$114))</f>
        <v/>
      </c>
      <c r="F133" s="1022">
        <f>$A133*$D$119-($D$111*($D$112*($D$113*($D$115/$D$116)+$D$113*(F127*$D$118/$D$117)+(1-2*$D$113)*$D$114)+(1-$D$112)*$D$114))</f>
        <v/>
      </c>
      <c r="G133" s="1022">
        <f>$A133*$D$119-($D$111*($D$112*($D$113*($D$115/$D$116)+$D$113*(G127*$D$118/$D$117)+(1-2*$D$113)*$D$114)+(1-$D$112)*$D$114))</f>
        <v/>
      </c>
      <c r="H133" s="1203">
        <f>$A133*$D$119-($D$111*($D$112*($D$113*($D$115/$D$116)+$D$113*(H127*$D$118/$D$117)+(1-2*$D$113)*$D$114)+(1-$D$112)*$D$114))</f>
        <v/>
      </c>
    </row>
    <row r="134">
      <c r="A134" s="1202" t="n">
        <v>74000</v>
      </c>
      <c r="B134" s="1022">
        <f>$A134*$D$119-($D$111*($D$112*($D$113*($D$115/$D$116)+$D$113*(B127*$D$118/$D$117)+(1-2*$D$113)*$D$114)+(1-$D$112)*$D$114))</f>
        <v/>
      </c>
      <c r="C134" s="1022">
        <f>$A134*$D$119-($D$111*($D$112*($D$113*($D$115/$D$116)+$D$113*(C127*$D$118/$D$117)+(1-2*$D$113)*$D$114)+(1-$D$112)*$D$114))</f>
        <v/>
      </c>
      <c r="D134" s="1022">
        <f>$A134*$D$119-($D$111*($D$112*($D$113*($D$115/$D$116)+$D$113*(D127*$D$118/$D$117)+(1-2*$D$113)*$D$114)+(1-$D$112)*$D$114))</f>
        <v/>
      </c>
      <c r="E134" s="1022">
        <f>$A134*$D$119-($D$111*($D$112*($D$113*($D$115/$D$116)+$D$113*(E127*$D$118/$D$117)+(1-2*$D$113)*$D$114)+(1-$D$112)*$D$114))</f>
        <v/>
      </c>
      <c r="F134" s="1022">
        <f>$A134*$D$119-($D$111*($D$112*($D$113*($D$115/$D$116)+$D$113*(F127*$D$118/$D$117)+(1-2*$D$113)*$D$114)+(1-$D$112)*$D$114))</f>
        <v/>
      </c>
      <c r="G134" s="1022">
        <f>$A134*$D$119-($D$111*($D$112*($D$113*($D$115/$D$116)+$D$113*(G127*$D$118/$D$117)+(1-2*$D$113)*$D$114)+(1-$D$112)*$D$114))</f>
        <v/>
      </c>
      <c r="H134" s="1203">
        <f>$A134*$D$119-($D$111*($D$112*($D$113*($D$115/$D$116)+$D$113*(H127*$D$118/$D$117)+(1-2*$D$113)*$D$114)+(1-$D$112)*$D$114))</f>
        <v/>
      </c>
    </row>
    <row r="135" ht="15" customHeight="1" s="632" thickBot="1">
      <c r="A135" s="1204" t="n">
        <v>77000</v>
      </c>
      <c r="B135" s="1072">
        <f>$A135*$D$119-($D$111*($D$112*($D$113*($D$115/$D$116)+$D$113*(B127*$D$118/$D$117)+(1-2*$D$113)*$D$114)+(1-$D$112)*$D$114))</f>
        <v/>
      </c>
      <c r="C135" s="1072">
        <f>$A135*$D$119-($D$111*($D$112*($D$113*($D$115/$D$116)+$D$113*(C127*$D$118/$D$117)+(1-2*$D$113)*$D$114)+(1-$D$112)*$D$114))</f>
        <v/>
      </c>
      <c r="D135" s="1072">
        <f>$A135*$D$119-($D$111*($D$112*($D$113*($D$115/$D$116)+$D$113*(D127*$D$118/$D$117)+(1-2*$D$113)*$D$114)+(1-$D$112)*$D$114))</f>
        <v/>
      </c>
      <c r="E135" s="1072">
        <f>$A135*$D$119-($D$111*($D$112*($D$113*($D$115/$D$116)+$D$113*(E127*$D$118/$D$117)+(1-2*$D$113)*$D$114)+(1-$D$112)*$D$114))</f>
        <v/>
      </c>
      <c r="F135" s="1072">
        <f>$A135*$D$119-($D$111*($D$112*($D$113*($D$115/$D$116)+$D$113*(F127*$D$118/$D$117)+(1-2*$D$113)*$D$114)+(1-$D$112)*$D$114))</f>
        <v/>
      </c>
      <c r="G135" s="1072">
        <f>$A135*$D$119-($D$111*($D$112*($D$113*($D$115/$D$116)+$D$113*(G127*$D$118/$D$117)+(1-2*$D$113)*$D$114)+(1-$D$112)*$D$114))</f>
        <v/>
      </c>
      <c r="H135" s="1205">
        <f>$A135*$D$119-($D$111*($D$112*($D$113*($D$115/$D$116)+$D$113*(H127*$D$118/$D$117)+(1-2*$D$113)*$D$114)+(1-$D$112)*$D$114))</f>
        <v/>
      </c>
    </row>
    <row r="136" ht="24" customHeight="1" s="632">
      <c r="A136" s="183" t="inlineStr">
        <is>
          <t>Interpretation</t>
        </is>
      </c>
      <c r="B136" s="415" t="inlineStr">
        <is>
          <t>At the Base Case FY2033E realisation driver of Rs 68,000/t, EBITDA per tonne swings from roughly Rs 14,600/t at US$160/t coking coal to roughly Rs 6,100/t at US$280/t - a 2.4x range on the coking coal axis alone. This is why a licensed coking coal series is the highest-priority data gap in the model.</t>
        </is>
      </c>
    </row>
    <row r="137"/>
    <row r="138"/>
    <row r="139">
      <c r="A139" s="402" t="inlineStr">
        <is>
          <t>D - LIVE TABLE 2: FY2033E INDUSTRY EBITDA (Rs cr) - utilisation vs realisation</t>
        </is>
      </c>
      <c r="K139" s="707" t="inlineStr">
        <is>
          <t>Ref</t>
        </is>
      </c>
    </row>
    <row r="140" ht="22.2" customHeight="1" s="632" thickBot="1">
      <c r="A140" s="414" t="inlineStr">
        <is>
          <t>Rows are FY2033E capacity utilisation; columns are the FY2033E realisation driver (Rs/t). Volume is derived as capacity x utilisation / the crude-to-finished ratio. This is a PARTIAL sensitivity: it holds the lagged price feedback at its base value, so it isolates the volume and price effects and does not double-count the feedback.</t>
        </is>
      </c>
    </row>
    <row r="141">
      <c r="A141" s="176" t="inlineStr">
        <is>
          <t>Utilisation \ Realisation</t>
        </is>
      </c>
      <c r="B141" s="1200" t="n">
        <v>58000</v>
      </c>
      <c r="C141" s="1200" t="n">
        <v>61000</v>
      </c>
      <c r="D141" s="1200" t="n">
        <v>64000</v>
      </c>
      <c r="E141" s="1200" t="n">
        <v>66000</v>
      </c>
      <c r="F141" s="1200" t="n">
        <v>68000</v>
      </c>
      <c r="G141" s="1200" t="n">
        <v>71000</v>
      </c>
      <c r="H141" s="1200" t="n">
        <v>74000</v>
      </c>
      <c r="I141" s="1201" t="n">
        <v>77000</v>
      </c>
      <c r="K141" s="708" t="inlineStr">
        <is>
          <t>SA34</t>
        </is>
      </c>
    </row>
    <row r="142">
      <c r="A142" s="1206" t="n">
        <v>0.74</v>
      </c>
      <c r="B142" s="1086">
        <f>($D$120*$A142/$D$121)*(B141*$D$119-$D$122)/10</f>
        <v/>
      </c>
      <c r="C142" s="1086">
        <f>($D$120*$A142/$D$121)*(C141*$D$119-$D$122)/10</f>
        <v/>
      </c>
      <c r="D142" s="1086">
        <f>($D$120*$A142/$D$121)*(D141*$D$119-$D$122)/10</f>
        <v/>
      </c>
      <c r="E142" s="1086">
        <f>($D$120*$A142/$D$121)*(E141*$D$119-$D$122)/10</f>
        <v/>
      </c>
      <c r="F142" s="1086">
        <f>($D$120*$A142/$D$121)*(F141*$D$119-$D$122)/10</f>
        <v/>
      </c>
      <c r="G142" s="1086">
        <f>($D$120*$A142/$D$121)*(G141*$D$119-$D$122)/10</f>
        <v/>
      </c>
      <c r="H142" s="1086">
        <f>($D$120*$A142/$D$121)*(H141*$D$119-$D$122)/10</f>
        <v/>
      </c>
      <c r="I142" s="1196">
        <f>($D$120*$A142/$D$121)*(I141*$D$119-$D$122)/10</f>
        <v/>
      </c>
    </row>
    <row r="143">
      <c r="A143" s="1206" t="n">
        <v>0.78</v>
      </c>
      <c r="B143" s="1086">
        <f>($D$120*$A143/$D$121)*(B141*$D$119-$D$122)/10</f>
        <v/>
      </c>
      <c r="C143" s="1086">
        <f>($D$120*$A143/$D$121)*(C141*$D$119-$D$122)/10</f>
        <v/>
      </c>
      <c r="D143" s="1086">
        <f>($D$120*$A143/$D$121)*(D141*$D$119-$D$122)/10</f>
        <v/>
      </c>
      <c r="E143" s="1086">
        <f>($D$120*$A143/$D$121)*(E141*$D$119-$D$122)/10</f>
        <v/>
      </c>
      <c r="F143" s="1086">
        <f>($D$120*$A143/$D$121)*(F141*$D$119-$D$122)/10</f>
        <v/>
      </c>
      <c r="G143" s="1086">
        <f>($D$120*$A143/$D$121)*(G141*$D$119-$D$122)/10</f>
        <v/>
      </c>
      <c r="H143" s="1086">
        <f>($D$120*$A143/$D$121)*(H141*$D$119-$D$122)/10</f>
        <v/>
      </c>
      <c r="I143" s="1196">
        <f>($D$120*$A143/$D$121)*(I141*$D$119-$D$122)/10</f>
        <v/>
      </c>
    </row>
    <row r="144">
      <c r="A144" s="1206" t="n">
        <v>0.82</v>
      </c>
      <c r="B144" s="1086">
        <f>($D$120*$A144/$D$121)*(B141*$D$119-$D$122)/10</f>
        <v/>
      </c>
      <c r="C144" s="1086">
        <f>($D$120*$A144/$D$121)*(C141*$D$119-$D$122)/10</f>
        <v/>
      </c>
      <c r="D144" s="1086">
        <f>($D$120*$A144/$D$121)*(D141*$D$119-$D$122)/10</f>
        <v/>
      </c>
      <c r="E144" s="1086">
        <f>($D$120*$A144/$D$121)*(E141*$D$119-$D$122)/10</f>
        <v/>
      </c>
      <c r="F144" s="1086">
        <f>($D$120*$A144/$D$121)*(F141*$D$119-$D$122)/10</f>
        <v/>
      </c>
      <c r="G144" s="1086">
        <f>($D$120*$A144/$D$121)*(G141*$D$119-$D$122)/10</f>
        <v/>
      </c>
      <c r="H144" s="1086">
        <f>($D$120*$A144/$D$121)*(H141*$D$119-$D$122)/10</f>
        <v/>
      </c>
      <c r="I144" s="1196">
        <f>($D$120*$A144/$D$121)*(I141*$D$119-$D$122)/10</f>
        <v/>
      </c>
    </row>
    <row r="145">
      <c r="A145" s="1206" t="n">
        <v>0.84</v>
      </c>
      <c r="B145" s="1086">
        <f>($D$120*$A145/$D$121)*(B141*$D$119-$D$122)/10</f>
        <v/>
      </c>
      <c r="C145" s="1086">
        <f>($D$120*$A145/$D$121)*(C141*$D$119-$D$122)/10</f>
        <v/>
      </c>
      <c r="D145" s="1086">
        <f>($D$120*$A145/$D$121)*(D141*$D$119-$D$122)/10</f>
        <v/>
      </c>
      <c r="E145" s="1086">
        <f>($D$120*$A145/$D$121)*(E141*$D$119-$D$122)/10</f>
        <v/>
      </c>
      <c r="F145" s="1086">
        <f>($D$120*$A145/$D$121)*(F141*$D$119-$D$122)/10</f>
        <v/>
      </c>
      <c r="G145" s="1086">
        <f>($D$120*$A145/$D$121)*(G141*$D$119-$D$122)/10</f>
        <v/>
      </c>
      <c r="H145" s="1086">
        <f>($D$120*$A145/$D$121)*(H141*$D$119-$D$122)/10</f>
        <v/>
      </c>
      <c r="I145" s="1196">
        <f>($D$120*$A145/$D$121)*(I141*$D$119-$D$122)/10</f>
        <v/>
      </c>
    </row>
    <row r="146">
      <c r="A146" s="1206" t="n">
        <v>0.86</v>
      </c>
      <c r="B146" s="1086">
        <f>($D$120*$A146/$D$121)*(B141*$D$119-$D$122)/10</f>
        <v/>
      </c>
      <c r="C146" s="1086">
        <f>($D$120*$A146/$D$121)*(C141*$D$119-$D$122)/10</f>
        <v/>
      </c>
      <c r="D146" s="1086">
        <f>($D$120*$A146/$D$121)*(D141*$D$119-$D$122)/10</f>
        <v/>
      </c>
      <c r="E146" s="1086">
        <f>($D$120*$A146/$D$121)*(E141*$D$119-$D$122)/10</f>
        <v/>
      </c>
      <c r="F146" s="1086">
        <f>($D$120*$A146/$D$121)*(F141*$D$119-$D$122)/10</f>
        <v/>
      </c>
      <c r="G146" s="1086">
        <f>($D$120*$A146/$D$121)*(G141*$D$119-$D$122)/10</f>
        <v/>
      </c>
      <c r="H146" s="1086">
        <f>($D$120*$A146/$D$121)*(H141*$D$119-$D$122)/10</f>
        <v/>
      </c>
      <c r="I146" s="1196">
        <f>($D$120*$A146/$D$121)*(I141*$D$119-$D$122)/10</f>
        <v/>
      </c>
    </row>
    <row r="147" ht="15" customHeight="1" s="632" thickBot="1">
      <c r="A147" s="1207" t="n">
        <v>0.9</v>
      </c>
      <c r="B147" s="1208">
        <f>($D$120*$A147/$D$121)*(B141*$D$119-$D$122)/10</f>
        <v/>
      </c>
      <c r="C147" s="1208">
        <f>($D$120*$A147/$D$121)*(C141*$D$119-$D$122)/10</f>
        <v/>
      </c>
      <c r="D147" s="1208">
        <f>($D$120*$A147/$D$121)*(D141*$D$119-$D$122)/10</f>
        <v/>
      </c>
      <c r="E147" s="1208">
        <f>($D$120*$A147/$D$121)*(E141*$D$119-$D$122)/10</f>
        <v/>
      </c>
      <c r="F147" s="1208">
        <f>($D$120*$A147/$D$121)*(F141*$D$119-$D$122)/10</f>
        <v/>
      </c>
      <c r="G147" s="1208">
        <f>($D$120*$A147/$D$121)*(G141*$D$119-$D$122)/10</f>
        <v/>
      </c>
      <c r="H147" s="1208">
        <f>($D$120*$A147/$D$121)*(H141*$D$119-$D$122)/10</f>
        <v/>
      </c>
      <c r="I147" s="1199">
        <f>($D$120*$A147/$D$121)*(I141*$D$119-$D$122)/10</f>
        <v/>
      </c>
    </row>
    <row r="148"/>
    <row r="149"/>
    <row r="150">
      <c r="A150" s="402" t="inlineStr">
        <is>
          <t>E - HOW MUCH OF THE ANSWER RESTS ON UNSOURCED ASSUMPTIONS</t>
        </is>
      </c>
      <c r="P150" s="707" t="inlineStr">
        <is>
          <t>Ref</t>
        </is>
      </c>
    </row>
    <row r="151" ht="27.6" customHeight="1" s="632">
      <c r="A151" s="401" t="inlineStr">
        <is>
          <t>Unsourced assumption</t>
        </is>
      </c>
      <c r="B151" s="837" t="n"/>
      <c r="C151" s="951" t="n"/>
      <c r="D151" s="88" t="inlineStr">
        <is>
          <t>ID</t>
        </is>
      </c>
      <c r="E151" s="88" t="inlineStr">
        <is>
          <t>Base value</t>
        </is>
      </c>
      <c r="F151" s="401" t="inlineStr">
        <is>
          <t>Plausible range</t>
        </is>
      </c>
      <c r="G151" s="401" t="inlineStr">
        <is>
          <t>FY2033E EBITDA impact across the range</t>
        </is>
      </c>
      <c r="H151" s="837" t="n"/>
      <c r="I151" s="951" t="n"/>
      <c r="J151" s="399" t="inlineStr">
        <is>
          <t>Materiality verdict</t>
        </is>
      </c>
      <c r="K151" s="837" t="n"/>
      <c r="L151" s="837" t="n"/>
      <c r="M151" s="837" t="n"/>
      <c r="N151" s="951" t="n"/>
      <c r="P151" s="708" t="inlineStr">
        <is>
          <t>SA35</t>
        </is>
      </c>
    </row>
    <row r="152" ht="27.6" customHeight="1" s="632">
      <c r="A152" s="400" t="inlineStr">
        <is>
          <t>Raw material share of cash cost</t>
        </is>
      </c>
      <c r="B152" s="837" t="n"/>
      <c r="C152" s="951" t="n"/>
      <c r="D152" s="352" t="inlineStr">
        <is>
          <t>D13</t>
        </is>
      </c>
      <c r="E152" s="162" t="inlineStr">
        <is>
          <t>60%</t>
        </is>
      </c>
      <c r="F152" s="344" t="inlineStr">
        <is>
          <t>55% to 65%</t>
        </is>
      </c>
      <c r="G152" s="344" t="inlineStr">
        <is>
          <t>Roughly Rs 21,000 cr per 10% relative change, i.e. about 6.7% of FY2033E EBITDA</t>
        </is>
      </c>
      <c r="H152" s="837" t="n"/>
      <c r="I152" s="951" t="n"/>
      <c r="J152" s="398" t="inlineStr">
        <is>
          <t>MATERIAL but second-order. The direction depends on relative escalation of raw material versus conversion cost, so it is not a simple bias.</t>
        </is>
      </c>
      <c r="K152" s="837" t="n"/>
      <c r="L152" s="837" t="n"/>
      <c r="M152" s="837" t="n"/>
      <c r="N152" s="951" t="n"/>
      <c r="P152" s="708" t="inlineStr">
        <is>
          <t>SA36</t>
        </is>
      </c>
    </row>
    <row r="153" ht="36.6" customHeight="1" s="632">
      <c r="A153" s="400" t="inlineStr">
        <is>
          <t>Price sensitivity to utilisation</t>
        </is>
      </c>
      <c r="B153" s="837" t="n"/>
      <c r="C153" s="951" t="n"/>
      <c r="D153" s="352" t="inlineStr">
        <is>
          <t>D23</t>
        </is>
      </c>
      <c r="E153" s="162" t="inlineStr">
        <is>
          <t>0.40x</t>
        </is>
      </c>
      <c r="F153" s="344" t="inlineStr">
        <is>
          <t>0.20x to 0.60x</t>
        </is>
      </c>
      <c r="G153" s="344" t="inlineStr">
        <is>
          <t>Sets the whole magnitude of the capacity feedback. At 0.20x the capacity drivers halve in importance; at 0.60x they roughly double.</t>
        </is>
      </c>
      <c r="H153" s="837" t="n"/>
      <c r="I153" s="951" t="n"/>
      <c r="J153" s="398" t="inlineStr">
        <is>
          <t>MATERIAL. This parameter determines whether capacity matters at all. It is the single most important unsourced input in the model.</t>
        </is>
      </c>
      <c r="K153" s="837" t="n"/>
      <c r="L153" s="837" t="n"/>
      <c r="M153" s="837" t="n"/>
      <c r="N153" s="951" t="n"/>
      <c r="P153" s="708" t="inlineStr">
        <is>
          <t>SA37</t>
        </is>
      </c>
    </row>
    <row r="154" ht="27.6" customHeight="1" s="632">
      <c r="A154" s="400" t="inlineStr">
        <is>
          <t>Net working capital days</t>
        </is>
      </c>
      <c r="B154" s="837" t="n"/>
      <c r="C154" s="951" t="n"/>
      <c r="D154" s="352" t="inlineStr">
        <is>
          <t>D18</t>
        </is>
      </c>
      <c r="E154" s="162" t="inlineStr">
        <is>
          <t>45 days</t>
        </is>
      </c>
      <c r="F154" s="344" t="inlineStr">
        <is>
          <t>35 to 60 days</t>
        </is>
      </c>
      <c r="G154" s="344" t="inlineStr">
        <is>
          <t>Roughly Rs 12,000 cr of terminal-year cash flow per 4.5 days</t>
        </is>
      </c>
      <c r="H154" s="837" t="n"/>
      <c r="I154" s="951" t="n"/>
      <c r="J154" s="398" t="inlineStr">
        <is>
          <t>MATERIAL but second-order. The direction depends on relative escalation of raw material versus conversion cost, so it is not a simple bias.</t>
        </is>
      </c>
      <c r="K154" s="837" t="n"/>
      <c r="L154" s="837" t="n"/>
      <c r="M154" s="837" t="n"/>
      <c r="N154" s="951" t="n"/>
      <c r="P154" s="708" t="inlineStr">
        <is>
          <t>SA38</t>
        </is>
      </c>
    </row>
    <row r="155" ht="27.6" customHeight="1" s="632">
      <c r="A155" s="400" t="inlineStr">
        <is>
          <t>Equity risk premium and beta (within WACC)</t>
        </is>
      </c>
      <c r="B155" s="837" t="n"/>
      <c r="C155" s="951" t="n"/>
      <c r="D155" s="352" t="inlineStr">
        <is>
          <t>R08</t>
        </is>
      </c>
      <c r="E155" s="162" t="inlineStr">
        <is>
          <t>6.5% and 1.20x</t>
        </is>
      </c>
      <c r="F155" s="344" t="inlineStr">
        <is>
          <t>5.5-7.5%, 1.0-1.4x</t>
        </is>
      </c>
      <c r="G155" s="344" t="inlineStr">
        <is>
          <t>Roughly Rs 21,000 cr per 10% relative change, i.e. about 6.7% of FY2033E EBITDA</t>
        </is>
      </c>
      <c r="H155" s="837" t="n"/>
      <c r="I155" s="951" t="n"/>
      <c r="J155" s="398" t="inlineStr">
        <is>
          <t>MATERIAL but second-order. The direction depends on relative escalation of raw material versus conversion cost, so it is not a simple bias.</t>
        </is>
      </c>
      <c r="K155" s="837" t="n"/>
      <c r="L155" s="837" t="n"/>
      <c r="M155" s="837" t="n"/>
      <c r="N155" s="951" t="n"/>
      <c r="P155" s="708" t="inlineStr">
        <is>
          <t>SA39</t>
        </is>
      </c>
    </row>
    <row r="156" ht="27.6" customHeight="1" s="632">
      <c r="A156" s="400" t="inlineStr">
        <is>
          <t>Maximum practical utilisation</t>
        </is>
      </c>
      <c r="B156" s="837" t="n"/>
      <c r="C156" s="951" t="n"/>
      <c r="D156" s="352" t="inlineStr">
        <is>
          <t>D25</t>
        </is>
      </c>
      <c r="E156" s="162" t="inlineStr">
        <is>
          <t>92%</t>
        </is>
      </c>
      <c r="F156" s="344" t="inlineStr">
        <is>
          <t>88% to 95%</t>
        </is>
      </c>
      <c r="G156" s="344" t="inlineStr">
        <is>
          <t>Zero in the Base Case - the ceiling does not bind, peak utilisation is 84.0%</t>
        </is>
      </c>
      <c r="H156" s="837" t="n"/>
      <c r="I156" s="951" t="n"/>
      <c r="J156" s="398" t="inlineStr">
        <is>
          <t>IMMATERIAL in the base case; becomes material only in the bull case where utilisation reaches 87.9%.</t>
        </is>
      </c>
      <c r="K156" s="837" t="n"/>
      <c r="L156" s="837" t="n"/>
      <c r="M156" s="837" t="n"/>
      <c r="N156" s="951" t="n"/>
      <c r="P156" s="708" t="inlineStr">
        <is>
          <t>SA40</t>
        </is>
      </c>
    </row>
    <row r="157" ht="27.6" customHeight="1" s="632">
      <c r="A157" s="400" t="inlineStr">
        <is>
          <t>Maintenance capex</t>
        </is>
      </c>
      <c r="B157" s="837" t="n"/>
      <c r="C157" s="951" t="n"/>
      <c r="D157" s="352" t="inlineStr">
        <is>
          <t>D17</t>
        </is>
      </c>
      <c r="E157" s="162" t="inlineStr">
        <is>
          <t>3.0% of revenue</t>
        </is>
      </c>
      <c r="F157" s="344" t="inlineStr">
        <is>
          <t>2.5% to 4.0%</t>
        </is>
      </c>
      <c r="G157" s="344" t="inlineStr">
        <is>
          <t>Roughly Rs 16,000 cr of terminal-year free cash flow per 100bps</t>
        </is>
      </c>
      <c r="H157" s="837" t="n"/>
      <c r="I157" s="951" t="n"/>
      <c r="J157" s="398" t="inlineStr">
        <is>
          <t>MATERIAL FOR CASH FLOW, immaterial for EBITDA.</t>
        </is>
      </c>
      <c r="K157" s="837" t="n"/>
      <c r="L157" s="837" t="n"/>
      <c r="M157" s="837" t="n"/>
      <c r="N157" s="951" t="n"/>
      <c r="P157" s="708" t="inlineStr">
        <is>
          <t>SA41</t>
        </is>
      </c>
    </row>
    <row r="158" ht="27.6" customHeight="1" s="632">
      <c r="A158" s="400" t="inlineStr">
        <is>
          <t>Indian emission intensity and EU carbon price</t>
        </is>
      </c>
      <c r="B158" s="837" t="n"/>
      <c r="C158" s="951" t="n"/>
      <c r="D158" s="352" t="inlineStr">
        <is>
          <t>20 ESG</t>
        </is>
      </c>
      <c r="E158" s="162" t="inlineStr">
        <is>
          <t>2.55 tCO2e/t, EUR 85/t</t>
        </is>
      </c>
      <c r="F158" s="344" t="inlineStr">
        <is>
          <t>Wide - both unsourced</t>
        </is>
      </c>
      <c r="G158" s="344" t="inlineStr">
        <is>
          <t>CBAM cost is roughly Rs 2,100 cr at the base inputs, under 1% of FY2033E EBITDA</t>
        </is>
      </c>
      <c r="H158" s="837" t="n"/>
      <c r="I158" s="951" t="n"/>
      <c r="J158" s="398" t="inlineStr">
        <is>
          <t>IMMATERIAL at current export volumes, but scales with the EU export share and the carbon price. Watch rather than model.</t>
        </is>
      </c>
      <c r="K158" s="837" t="n"/>
      <c r="L158" s="837" t="n"/>
      <c r="M158" s="837" t="n"/>
      <c r="N158" s="951" t="n"/>
      <c r="P158" s="708" t="inlineStr">
        <is>
          <t>SA42</t>
        </is>
      </c>
    </row>
    <row r="159"/>
    <row r="160">
      <c r="A160" s="393" t="inlineStr">
        <is>
          <t>Read this block first. It is the honest answer to 'how much should I trust this model?' - the operating forecast is robust to the unsourced inputs; the cash flow and valuation output is not, until working capital, WACC and a coking coal series are properly sourced.</t>
        </is>
      </c>
    </row>
  </sheetData>
  <mergeCells count="69">
    <mergeCell ref="A7:I7"/>
    <mergeCell ref="G105:N105"/>
    <mergeCell ref="J153:N153"/>
    <mergeCell ref="A66:C66"/>
    <mergeCell ref="A150:G150"/>
    <mergeCell ref="G96:N96"/>
    <mergeCell ref="A75:C75"/>
    <mergeCell ref="A37:F37"/>
    <mergeCell ref="A107:B107"/>
    <mergeCell ref="J156:N156"/>
    <mergeCell ref="A125:G125"/>
    <mergeCell ref="A158:C158"/>
    <mergeCell ref="A119:B119"/>
    <mergeCell ref="A154:C154"/>
    <mergeCell ref="G98:N98"/>
    <mergeCell ref="G152:I152"/>
    <mergeCell ref="J155:N155"/>
    <mergeCell ref="A1:N1"/>
    <mergeCell ref="A2:F2"/>
    <mergeCell ref="G97:N97"/>
    <mergeCell ref="A151:C151"/>
    <mergeCell ref="J152:N152"/>
    <mergeCell ref="J157:N157"/>
    <mergeCell ref="G154:I154"/>
    <mergeCell ref="A17:I17"/>
    <mergeCell ref="G103:N103"/>
    <mergeCell ref="G101:N101"/>
    <mergeCell ref="J151:N151"/>
    <mergeCell ref="A118:B118"/>
    <mergeCell ref="G153:I153"/>
    <mergeCell ref="A4:C4"/>
    <mergeCell ref="A120:B120"/>
    <mergeCell ref="A156:C156"/>
    <mergeCell ref="A152:C152"/>
    <mergeCell ref="A95:E95"/>
    <mergeCell ref="A155:C155"/>
    <mergeCell ref="A113:B113"/>
    <mergeCell ref="G158:I158"/>
    <mergeCell ref="A116:B116"/>
    <mergeCell ref="G104:N104"/>
    <mergeCell ref="A160:N160"/>
    <mergeCell ref="A5:K5"/>
    <mergeCell ref="A122:B122"/>
    <mergeCell ref="A157:C157"/>
    <mergeCell ref="J158:N158"/>
    <mergeCell ref="A126:N126"/>
    <mergeCell ref="B136:N136"/>
    <mergeCell ref="G155:I155"/>
    <mergeCell ref="A140:N140"/>
    <mergeCell ref="G151:I151"/>
    <mergeCell ref="A112:B112"/>
    <mergeCell ref="G100:N100"/>
    <mergeCell ref="A36:I36"/>
    <mergeCell ref="A45:F45"/>
    <mergeCell ref="A121:B121"/>
    <mergeCell ref="A115:B115"/>
    <mergeCell ref="A117:B117"/>
    <mergeCell ref="A139:G139"/>
    <mergeCell ref="A110:F110"/>
    <mergeCell ref="G99:N99"/>
    <mergeCell ref="A111:B111"/>
    <mergeCell ref="A153:C153"/>
    <mergeCell ref="G157:I157"/>
    <mergeCell ref="A114:B114"/>
    <mergeCell ref="J154:N154"/>
    <mergeCell ref="G106:N106"/>
    <mergeCell ref="A54:C54"/>
    <mergeCell ref="G102:N102"/>
    <mergeCell ref="G156:I156"/>
  </mergeCells>
  <hyperlinks>
    <hyperlink ref="H24" location="'Audit Checks'!A690" tooltip="Open the reference register on 25 Audit Checks"/>
    <hyperlink ref="H33" location="'Audit Checks'!A690" tooltip="Open the reference register on 25 Audit Checks"/>
    <hyperlink ref="H41" location="'Audit Checks'!A690" tooltip="Open the reference register on 25 Audit Checks"/>
    <hyperlink ref="H49" location="'Audit Checks'!A690" tooltip="Open the reference register on 25 Audit Checks"/>
    <hyperlink ref="E56" location="'Audit Checks'!A690" tooltip="Open the reference register on 25 Audit Checks"/>
    <hyperlink ref="E68" location="'Audit Checks'!A690" tooltip="Open the reference register on 25 Audit Checks"/>
    <hyperlink ref="F77" location="'Audit Checks'!A690" tooltip="Open the reference register on 25 Audit Checks"/>
    <hyperlink ref="F78" location="'Audit Checks'!A690" tooltip="Open the reference register on 25 Audit Checks"/>
    <hyperlink ref="F79" location="'Audit Checks'!A690" tooltip="Open the reference register on 25 Audit Checks"/>
    <hyperlink ref="F80" location="'Audit Checks'!A690" tooltip="Open the reference register on 25 Audit Checks"/>
    <hyperlink ref="F81" location="'Audit Checks'!A690" tooltip="Open the reference register on 25 Audit Checks"/>
    <hyperlink ref="F82" location="'Audit Checks'!A690" tooltip="Open the reference register on 25 Audit Checks"/>
    <hyperlink ref="F83" location="'Audit Checks'!A690" tooltip="Open the reference register on 25 Audit Checks"/>
    <hyperlink ref="P96" location="'Audit Checks'!A690" tooltip="Open the reference register on 25 Audit Checks"/>
    <hyperlink ref="P97" location="'Audit Checks'!A690" tooltip="Open the reference register on 25 Audit Checks"/>
    <hyperlink ref="P98" location="'Audit Checks'!A690" tooltip="Open the reference register on 25 Audit Checks"/>
    <hyperlink ref="P99" location="'Audit Checks'!A690" tooltip="Open the reference register on 25 Audit Checks"/>
    <hyperlink ref="P100" location="'Audit Checks'!A690" tooltip="Open the reference register on 25 Audit Checks"/>
    <hyperlink ref="P101" location="'Audit Checks'!A690" tooltip="Open the reference register on 25 Audit Checks"/>
    <hyperlink ref="P102" location="'Audit Checks'!A690" tooltip="Open the reference register on 25 Audit Checks"/>
    <hyperlink ref="P103" location="'Audit Checks'!A690" tooltip="Open the reference register on 25 Audit Checks"/>
    <hyperlink ref="P104" location="'Audit Checks'!A690" tooltip="Open the reference register on 25 Audit Checks"/>
    <hyperlink ref="P105" location="'Audit Checks'!A690" tooltip="Open the reference register on 25 Audit Checks"/>
    <hyperlink ref="P106" location="'Audit Checks'!A690" tooltip="Open the reference register on 25 Audit Checks"/>
    <hyperlink ref="P107" location="'Audit Checks'!A690" tooltip="Open the reference register on 25 Audit Checks"/>
    <hyperlink ref="F111" location="'Audit Checks'!A690" tooltip="Open the reference register on 25 Audit Checks"/>
    <hyperlink ref="F112" location="'Audit Checks'!A690" tooltip="Open the reference register on 25 Audit Checks"/>
    <hyperlink ref="F113" location="'Audit Checks'!A690" tooltip="Open the reference register on 25 Audit Checks"/>
    <hyperlink ref="F114" location="'Audit Checks'!A690" tooltip="Open the reference register on 25 Audit Checks"/>
    <hyperlink ref="F115" location="'Audit Checks'!A690" tooltip="Open the reference register on 25 Audit Checks"/>
    <hyperlink ref="F116" location="'Audit Checks'!A690" tooltip="Open the reference register on 25 Audit Checks"/>
    <hyperlink ref="F117" location="'Audit Checks'!A690" tooltip="Open the reference register on 25 Audit Checks"/>
    <hyperlink ref="F118" location="'Audit Checks'!A690" tooltip="Open the reference register on 25 Audit Checks"/>
    <hyperlink ref="F119" location="'Audit Checks'!A690" tooltip="Open the reference register on 25 Audit Checks"/>
    <hyperlink ref="F120" location="'Audit Checks'!A690" tooltip="Open the reference register on 25 Audit Checks"/>
    <hyperlink ref="F121" location="'Audit Checks'!A690" tooltip="Open the reference register on 25 Audit Checks"/>
    <hyperlink ref="F122" location="'Audit Checks'!A690" tooltip="Open the reference register on 25 Audit Checks"/>
    <hyperlink ref="J127" location="'Audit Checks'!A690" tooltip="Open the reference register on 25 Audit Checks"/>
    <hyperlink ref="K141" location="'Audit Checks'!A690" tooltip="Open the reference register on 25 Audit Checks"/>
    <hyperlink ref="P151" location="'Audit Checks'!A690" tooltip="Open the reference register on 25 Audit Checks"/>
    <hyperlink ref="P152" location="'Audit Checks'!A690" tooltip="Open the reference register on 25 Audit Checks"/>
    <hyperlink ref="P153" location="'Audit Checks'!A690" tooltip="Open the reference register on 25 Audit Checks"/>
    <hyperlink ref="P154" location="'Audit Checks'!A690" tooltip="Open the reference register on 25 Audit Checks"/>
    <hyperlink ref="P155" location="'Audit Checks'!A690" tooltip="Open the reference register on 25 Audit Checks"/>
    <hyperlink ref="P156" location="'Audit Checks'!A690" tooltip="Open the reference register on 25 Audit Checks"/>
    <hyperlink ref="P157" location="'Audit Checks'!A690" tooltip="Open the reference register on 25 Audit Checks"/>
    <hyperlink ref="P158" location="'Audit Checks'!A690" tooltip="Open the reference register on 25 Audit Checks"/>
  </hyperlinks>
  <pageMargins left="0.7" right="0.7" top="0.75" bottom="0.75" header="0.3" footer="0.3"/>
  <drawing xmlns:r="http://schemas.openxmlformats.org/officeDocument/2006/relationships" r:id="rId1"/>
</worksheet>
</file>

<file path=xl/worksheets/sheet28.xml><?xml version="1.0" encoding="utf-8"?>
<worksheet xmlns="http://schemas.openxmlformats.org/spreadsheetml/2006/main">
  <sheetPr codeName="Sheet28">
    <tabColor rgb="FF002060"/>
    <outlinePr summaryBelow="1" summaryRight="1"/>
    <pageSetUpPr/>
  </sheetPr>
  <dimension ref="A1:P150"/>
  <sheetViews>
    <sheetView showGridLines="0" zoomScaleNormal="100" workbookViewId="0">
      <selection activeCell="A7" sqref="A7:E7"/>
    </sheetView>
  </sheetViews>
  <sheetFormatPr baseColWidth="8" defaultRowHeight="14.4"/>
  <cols>
    <col width="18.88671875" customWidth="1" style="690" min="1" max="1"/>
    <col width="11.5546875" customWidth="1" style="690" min="2" max="12"/>
    <col width="7" customWidth="1" style="632" min="5" max="5"/>
    <col width="7" customWidth="1" style="632" min="6" max="6"/>
    <col width="7" customWidth="1" style="632" min="7" max="7"/>
    <col width="7" customWidth="1" style="632" min="9" max="9"/>
    <col width="7" customWidth="1" style="632" min="12" max="12"/>
    <col width="6.5546875" bestFit="1" customWidth="1" style="690" min="13" max="13"/>
    <col width="70.21875" customWidth="1" style="690" min="14" max="14"/>
    <col width="8.88671875" customWidth="1" style="690" min="15" max="16384"/>
    <col width="7" customWidth="1" style="632" min="16" max="16"/>
  </cols>
  <sheetData>
    <row r="1" ht="25.8" customHeight="1" s="632">
      <c r="A1" s="365" t="inlineStr">
        <is>
          <t>COMPARABLE VALUATION</t>
        </is>
      </c>
    </row>
    <row r="2">
      <c r="A2" s="494" t="inlineStr">
        <is>
          <t>Industry Financial Model  |  Indian Steel Industry  |  Horizon FY2027E-FY2033E  |  Base year FY2026A</t>
        </is>
      </c>
    </row>
    <row r="3">
      <c r="A3" s="415" t="n"/>
    </row>
    <row r="4">
      <c r="A4" s="411" t="inlineStr">
        <is>
          <t>OBJECTIVE</t>
        </is>
      </c>
    </row>
    <row r="5">
      <c r="A5" s="394" t="inlineStr">
        <is>
          <t>Estimate the fair value of the Indian steel industry using trading multiples and compare it with historical valuation ranges.</t>
        </is>
      </c>
    </row>
    <row r="6">
      <c r="A6" s="394" t="n"/>
      <c r="B6" s="394" t="n"/>
      <c r="C6" s="394" t="n"/>
      <c r="D6" s="394" t="n"/>
      <c r="E6" s="394" t="n"/>
      <c r="F6" s="394" t="n"/>
      <c r="G6" s="394" t="n"/>
      <c r="H6" s="394" t="n"/>
      <c r="I6" s="394" t="n"/>
      <c r="J6" s="394" t="n"/>
      <c r="K6" s="394" t="n"/>
      <c r="L6" s="394" t="n"/>
      <c r="M6" s="394" t="n"/>
      <c r="N6" s="394" t="n"/>
    </row>
    <row r="7" ht="15.6" customHeight="1" s="632">
      <c r="A7" s="608" t="inlineStr">
        <is>
          <t>Executive Summary</t>
        </is>
      </c>
      <c r="B7" s="699" t="n"/>
      <c r="C7" s="699" t="n"/>
      <c r="D7" s="699" t="n"/>
      <c r="E7" s="699" t="n"/>
      <c r="F7" s="612" t="n"/>
      <c r="G7" s="612" t="n"/>
      <c r="H7" s="612" t="n"/>
      <c r="I7" s="612" t="n"/>
      <c r="J7" s="394" t="n"/>
      <c r="K7" s="394" t="n"/>
      <c r="L7" s="394" t="n"/>
      <c r="M7" s="394" t="n"/>
      <c r="N7" s="394" t="n"/>
    </row>
    <row r="8">
      <c r="A8" s="539" t="inlineStr">
        <is>
          <t>Metric</t>
        </is>
      </c>
      <c r="B8" s="539" t="inlineStr">
        <is>
          <t>Base</t>
        </is>
      </c>
      <c r="C8" s="539" t="inlineStr">
        <is>
          <t>Bull</t>
        </is>
      </c>
      <c r="D8" s="539" t="inlineStr">
        <is>
          <t>Bear</t>
        </is>
      </c>
      <c r="E8" s="539" t="inlineStr">
        <is>
          <t>Stress</t>
        </is>
      </c>
      <c r="F8" s="682" t="n"/>
      <c r="G8" s="707" t="inlineStr">
        <is>
          <t>Ref</t>
        </is>
      </c>
      <c r="H8" s="682" t="n"/>
      <c r="I8" s="682" t="n"/>
      <c r="J8" s="394" t="n"/>
      <c r="K8" s="394" t="n"/>
      <c r="L8" s="394" t="n"/>
      <c r="M8" s="394" t="n"/>
      <c r="N8" s="394" t="n"/>
    </row>
    <row r="9" ht="15.6" customHeight="1" s="632">
      <c r="A9" s="670" t="inlineStr">
        <is>
          <t>Enterprise Value (₹ Cr)</t>
        </is>
      </c>
      <c r="B9" s="1079">
        <f>$C$94</f>
        <v/>
      </c>
      <c r="C9" s="1079">
        <f>$C$95</f>
        <v/>
      </c>
      <c r="D9" s="1079">
        <f>$C$96</f>
        <v/>
      </c>
      <c r="E9" s="1079">
        <f>$C$97</f>
        <v/>
      </c>
      <c r="F9" s="683" t="n"/>
      <c r="G9" s="708" t="inlineStr">
        <is>
          <t>VL12</t>
        </is>
      </c>
      <c r="H9" s="683" t="n"/>
      <c r="I9" s="683" t="n"/>
      <c r="J9" s="394" t="n"/>
      <c r="K9" s="394" t="n"/>
      <c r="L9" s="394" t="n"/>
      <c r="M9" s="394" t="n"/>
      <c r="N9" s="394" t="n"/>
    </row>
    <row r="10">
      <c r="A10" s="670" t="inlineStr">
        <is>
          <t>Equity Value (₹ Cr)</t>
        </is>
      </c>
      <c r="B10" s="1079">
        <f>$C$94-('Capital Allocation'!$C$80-SUM('Scenario Manager'!$D$146:$J$146))</f>
        <v/>
      </c>
      <c r="C10" s="1079">
        <f>$C$95-('Capital Allocation'!$C$80-SUM('Scenario Manager'!$D$222:$J$222))</f>
        <v/>
      </c>
      <c r="D10" s="1079">
        <f>$C$96-('Capital Allocation'!$C$80-SUM('Scenario Manager'!$D$298:$J$298))</f>
        <v/>
      </c>
      <c r="E10" s="1079">
        <f>$C$97-('Capital Allocation'!$C$80-SUM('Scenario Manager'!$D$374:$J$374))</f>
        <v/>
      </c>
      <c r="F10" s="683" t="n"/>
      <c r="G10" s="683" t="n"/>
      <c r="H10" s="683" t="n"/>
      <c r="I10" s="683" t="n"/>
      <c r="J10" s="394" t="n"/>
      <c r="K10" s="394" t="n"/>
      <c r="L10" s="394" t="n"/>
      <c r="M10" s="394" t="n"/>
      <c r="N10" s="394" t="n"/>
    </row>
    <row r="11">
      <c r="A11" s="670" t="inlineStr">
        <is>
          <t>EV/EBITDA</t>
        </is>
      </c>
      <c r="B11" s="1123">
        <f>'Model Assumptions'!$K$110</f>
        <v/>
      </c>
      <c r="C11" s="1123">
        <f>'Model Assumptions'!$K$111</f>
        <v/>
      </c>
      <c r="D11" s="1123">
        <f>'Model Assumptions'!$K$112</f>
        <v/>
      </c>
      <c r="E11" s="1123">
        <f>'Model Assumptions'!$K$113</f>
        <v/>
      </c>
      <c r="F11" s="683" t="n"/>
      <c r="G11" s="683" t="n"/>
      <c r="H11" s="683" t="n"/>
      <c r="I11" s="683" t="n"/>
      <c r="J11" s="394" t="n"/>
      <c r="K11" s="394" t="n"/>
      <c r="L11" s="394" t="n"/>
      <c r="M11" s="394" t="n"/>
      <c r="N11" s="394" t="n"/>
    </row>
    <row r="12">
      <c r="A12" s="670" t="inlineStr">
        <is>
          <t>EV/Sales</t>
        </is>
      </c>
      <c r="B12" s="963">
        <f>IFERROR($C$94/'Scenario Manager'!$J$130,"")</f>
        <v/>
      </c>
      <c r="C12" s="963">
        <f>IFERROR($C$95/'Scenario Manager'!$J$206,"")</f>
        <v/>
      </c>
      <c r="D12" s="963">
        <f>IFERROR($C$96/'Scenario Manager'!$J$282,"")</f>
        <v/>
      </c>
      <c r="E12" s="963">
        <f>IFERROR($C$97/'Scenario Manager'!$J$358,"")</f>
        <v/>
      </c>
      <c r="F12" s="683" t="n"/>
      <c r="G12" s="683" t="n"/>
      <c r="H12" s="683" t="n"/>
      <c r="I12" s="683" t="n"/>
      <c r="J12" s="394" t="n"/>
      <c r="K12" s="394" t="n"/>
      <c r="L12" s="394" t="n"/>
      <c r="M12" s="394" t="n"/>
      <c r="N12" s="394" t="n"/>
    </row>
    <row r="13">
      <c r="A13" s="670" t="inlineStr">
        <is>
          <t>P/E</t>
        </is>
      </c>
      <c r="B13" s="1187">
        <f>IFERROR(($C$94-('Capital Allocation'!$C$80-SUM('Scenario Manager'!$D$146:$J$146)))/'Scenario Manager'!$J$156,"")</f>
        <v/>
      </c>
      <c r="C13" s="1187">
        <f>IFERROR(($C$95-('Capital Allocation'!$C$80-SUM('Scenario Manager'!$D$222:$J$222)))/'Scenario Manager'!$J$232,"")</f>
        <v/>
      </c>
      <c r="D13" s="1187">
        <f>IFERROR(($C$96-('Capital Allocation'!$C$80-SUM('Scenario Manager'!$D$298:$J$298)))/'Scenario Manager'!$J$308,"")</f>
        <v/>
      </c>
      <c r="E13" s="1187">
        <f>IFERROR(($C$97-('Capital Allocation'!$C$80-SUM('Scenario Manager'!$D$374:$J$374)))/'Scenario Manager'!$J$384,"")</f>
        <v/>
      </c>
      <c r="F13" s="683" t="n"/>
      <c r="G13" s="683" t="n"/>
      <c r="H13" s="683" t="n"/>
      <c r="I13" s="683" t="n"/>
      <c r="J13" s="394" t="n"/>
      <c r="K13" s="394" t="n"/>
      <c r="L13" s="394" t="n"/>
      <c r="M13" s="394" t="n"/>
      <c r="N13" s="394" t="n"/>
    </row>
    <row r="14">
      <c r="A14" s="670" t="inlineStr">
        <is>
          <t>P/B</t>
        </is>
      </c>
      <c r="B14" s="963">
        <f>IFERROR(($C$94-('Capital Allocation'!$C$80-SUM('Scenario Manager'!$D$146:$J$146)))/$C$77,"")</f>
        <v/>
      </c>
      <c r="C14" s="963">
        <f>IFERROR(($C$95-('Capital Allocation'!$C$80-SUM('Scenario Manager'!$D$222:$J$222)))/$C$77,"")</f>
        <v/>
      </c>
      <c r="D14" s="963">
        <f>IFERROR(($C$96-('Capital Allocation'!$C$80-SUM('Scenario Manager'!$D$298:$J$298)))/$C$77,"")</f>
        <v/>
      </c>
      <c r="E14" s="963">
        <f>IFERROR(($C$97-('Capital Allocation'!$C$80-SUM('Scenario Manager'!$D$374:$J$374)))/$C$77,"")</f>
        <v/>
      </c>
      <c r="F14" s="690" t="n"/>
      <c r="G14" s="708" t="inlineStr">
        <is>
          <t>VL11</t>
        </is>
      </c>
      <c r="H14" s="690" t="n"/>
      <c r="I14" s="690" t="n"/>
      <c r="J14" s="394" t="n"/>
      <c r="K14" s="394" t="n"/>
      <c r="L14" s="394" t="n"/>
      <c r="M14" s="394" t="n"/>
      <c r="N14" s="394" t="n"/>
    </row>
    <row r="15">
      <c r="A15" s="670" t="inlineStr">
        <is>
          <t>Recommendation</t>
        </is>
      </c>
      <c r="B15" s="1122">
        <f>IF($C$94&lt;$E$121*0.8,"Attractive - below replacement cost",IF($C$94&lt;$E$121*1.2,"Fair - around replacement cost","Full - above replacement cost"))</f>
        <v/>
      </c>
      <c r="C15" s="1122">
        <f>IF($C$95&lt;$E$121*0.8,"Attractive - below replacement cost",IF($C$95&lt;$E$121*1.2,"Fair - around replacement cost","Full - above replacement cost"))</f>
        <v/>
      </c>
      <c r="D15" s="1122">
        <f>IF($C$96&lt;$E$121*0.8,"Attractive - below replacement cost",IF($C$96&lt;$E$121*1.2,"Fair - around replacement cost","Full - above replacement cost"))</f>
        <v/>
      </c>
      <c r="E15" s="1122">
        <f>IF($C$97&lt;$E$121*0.8,"Attractive - below replacement cost",IF($C$97&lt;$E$121*1.2,"Fair - around replacement cost","Full - above replacement cost"))</f>
        <v/>
      </c>
      <c r="F15" s="394" t="n"/>
      <c r="G15" s="394" t="n"/>
      <c r="H15" s="394" t="n"/>
      <c r="I15" s="394" t="n"/>
      <c r="J15" s="394" t="n"/>
      <c r="K15" s="394" t="n"/>
      <c r="L15" s="394" t="n"/>
      <c r="M15" s="394" t="n"/>
      <c r="N15" s="394" t="n"/>
    </row>
    <row r="16">
      <c r="A16" s="394" t="n"/>
      <c r="B16" s="394" t="n"/>
      <c r="C16" s="394" t="n"/>
      <c r="D16" s="394" t="n"/>
      <c r="E16" s="394" t="n"/>
      <c r="F16" s="394" t="n"/>
      <c r="G16" s="394" t="n"/>
      <c r="H16" s="394" t="n"/>
      <c r="I16" s="394" t="n"/>
      <c r="J16" s="394" t="n"/>
      <c r="K16" s="394" t="n"/>
      <c r="L16" s="394" t="n"/>
      <c r="M16" s="394" t="n"/>
      <c r="N16" s="394" t="n"/>
    </row>
    <row r="17">
      <c r="A17" s="394" t="n"/>
      <c r="B17" s="394" t="n"/>
      <c r="C17" s="394" t="n"/>
      <c r="D17" s="394" t="n"/>
      <c r="E17" s="394" t="n"/>
      <c r="F17" s="394" t="n"/>
      <c r="G17" s="394" t="n"/>
      <c r="H17" s="394" t="n"/>
      <c r="I17" s="394" t="n"/>
      <c r="J17" s="394" t="n"/>
      <c r="K17" s="394" t="n"/>
      <c r="L17" s="394" t="n"/>
      <c r="M17" s="394" t="n"/>
      <c r="N17" s="394" t="n"/>
    </row>
    <row r="18" ht="15.6" customHeight="1" s="632">
      <c r="A18" s="608" t="inlineStr">
        <is>
          <t>Peer Universe</t>
        </is>
      </c>
      <c r="B18" s="699" t="n"/>
      <c r="C18" s="699" t="n"/>
      <c r="D18" s="699" t="n"/>
      <c r="E18" s="699" t="n"/>
      <c r="F18" s="699" t="n"/>
      <c r="G18" s="699" t="n"/>
      <c r="H18" s="699" t="n"/>
      <c r="I18" s="612" t="n"/>
      <c r="J18" s="394" t="n"/>
      <c r="K18" s="394" t="n"/>
      <c r="L18" s="394" t="n"/>
      <c r="M18" s="394" t="n"/>
      <c r="N18" s="394" t="n"/>
    </row>
    <row r="19">
      <c r="A19" s="539" t="inlineStr">
        <is>
          <t>Company</t>
        </is>
      </c>
      <c r="B19" s="539" t="inlineStr">
        <is>
          <t>Market Cap</t>
        </is>
      </c>
      <c r="C19" s="539" t="inlineStr">
        <is>
          <t>EV</t>
        </is>
      </c>
      <c r="D19" s="539" t="inlineStr">
        <is>
          <t>Revenue</t>
        </is>
      </c>
      <c r="E19" s="539" t="inlineStr">
        <is>
          <t>EBITDA</t>
        </is>
      </c>
      <c r="F19" s="539" t="inlineStr">
        <is>
          <t>Net Income</t>
        </is>
      </c>
      <c r="G19" s="539" t="inlineStr">
        <is>
          <t>Book Value</t>
        </is>
      </c>
      <c r="H19" s="539" t="inlineStr">
        <is>
          <t>Net Debt</t>
        </is>
      </c>
      <c r="I19" s="394" t="n"/>
      <c r="J19" s="394" t="n"/>
      <c r="K19" s="394" t="n"/>
      <c r="L19" s="707" t="inlineStr">
        <is>
          <t>Ref</t>
        </is>
      </c>
      <c r="M19" s="394" t="n"/>
      <c r="N19" s="394" t="n"/>
    </row>
    <row r="20">
      <c r="A20" s="670" t="inlineStr">
        <is>
          <t>Tata Steel</t>
        </is>
      </c>
      <c r="B20" s="1073">
        <f>$H$108</f>
        <v/>
      </c>
      <c r="C20" s="1073">
        <f>$I$108</f>
        <v/>
      </c>
      <c r="D20" s="1073">
        <f>'Revenue Forecast'!$C$111</f>
        <v/>
      </c>
      <c r="E20" s="1073">
        <f>$B$108</f>
        <v/>
      </c>
      <c r="F20" s="1073">
        <f>$D$108</f>
        <v/>
      </c>
      <c r="G20" s="1079">
        <f>IFERROR($D$108/$J$20,"")</f>
        <v/>
      </c>
      <c r="H20" s="1073">
        <f>$C$108</f>
        <v/>
      </c>
      <c r="I20" s="394" t="n"/>
      <c r="J20" s="1148" t="n">
        <v>0.11</v>
      </c>
      <c r="K20" s="394" t="n"/>
      <c r="L20" s="708" t="inlineStr">
        <is>
          <t>VL04, VL05</t>
        </is>
      </c>
      <c r="M20" s="394" t="n"/>
      <c r="N20" s="394" t="n"/>
    </row>
    <row r="21">
      <c r="A21" s="670" t="inlineStr">
        <is>
          <t>JSW Steel</t>
        </is>
      </c>
      <c r="B21" s="1073">
        <f>$H$109</f>
        <v/>
      </c>
      <c r="C21" s="1073">
        <f>$I$109</f>
        <v/>
      </c>
      <c r="D21" s="1073">
        <f>'Revenue Forecast'!$C$112</f>
        <v/>
      </c>
      <c r="E21" s="1073">
        <f>$B$109</f>
        <v/>
      </c>
      <c r="F21" s="1073">
        <f>$D$109</f>
        <v/>
      </c>
      <c r="G21" s="1079">
        <f>IFERROR($D$109/$J$21,"")</f>
        <v/>
      </c>
      <c r="H21" s="1073">
        <f>$C$109</f>
        <v/>
      </c>
      <c r="I21" s="394" t="n"/>
      <c r="J21" s="1148" t="n">
        <v>0.14</v>
      </c>
      <c r="K21" s="394" t="n"/>
      <c r="L21" s="708" t="inlineStr">
        <is>
          <t>VL04</t>
        </is>
      </c>
      <c r="M21" s="394" t="n"/>
      <c r="N21" s="394" t="n"/>
    </row>
    <row r="22">
      <c r="A22" s="670" t="inlineStr">
        <is>
          <t>Jindal Steel</t>
        </is>
      </c>
      <c r="B22" s="1073">
        <f>$H$111</f>
        <v/>
      </c>
      <c r="C22" s="1073">
        <f>$I$111</f>
        <v/>
      </c>
      <c r="D22" s="1073">
        <f>'Revenue Forecast'!$C$114</f>
        <v/>
      </c>
      <c r="E22" s="1073">
        <f>$B$111</f>
        <v/>
      </c>
      <c r="F22" s="1073">
        <f>$D$111</f>
        <v/>
      </c>
      <c r="G22" s="1079">
        <f>IFERROR($D$111/$J$22,"")</f>
        <v/>
      </c>
      <c r="H22" s="1073">
        <f>$C$111</f>
        <v/>
      </c>
      <c r="I22" s="394" t="n"/>
      <c r="J22" s="1148" t="n">
        <v>0.09</v>
      </c>
      <c r="K22" s="394" t="n"/>
      <c r="L22" s="708" t="inlineStr">
        <is>
          <t>VL04</t>
        </is>
      </c>
      <c r="M22" s="394" t="n"/>
      <c r="N22" s="394" t="n"/>
    </row>
    <row r="23">
      <c r="A23" s="670" t="inlineStr">
        <is>
          <t>SAIL</t>
        </is>
      </c>
      <c r="B23" s="1073">
        <f>$H$110</f>
        <v/>
      </c>
      <c r="C23" s="1073">
        <f>$I$110</f>
        <v/>
      </c>
      <c r="D23" s="1073">
        <f>'Revenue Forecast'!$C$113</f>
        <v/>
      </c>
      <c r="E23" s="1073">
        <f>$B$110</f>
        <v/>
      </c>
      <c r="F23" s="1073">
        <f>$D$110</f>
        <v/>
      </c>
      <c r="G23" s="1079">
        <f>IFERROR($D$110/$J$23,"")</f>
        <v/>
      </c>
      <c r="H23" s="1073">
        <f>$C$110</f>
        <v/>
      </c>
      <c r="I23" s="394" t="n"/>
      <c r="J23" s="1148" t="n">
        <v>0.05</v>
      </c>
      <c r="K23" s="394" t="n"/>
      <c r="L23" s="708" t="inlineStr">
        <is>
          <t>VL04</t>
        </is>
      </c>
      <c r="M23" s="394" t="n"/>
      <c r="N23" s="394" t="n"/>
    </row>
    <row r="24">
      <c r="A24" s="670" t="inlineStr">
        <is>
          <t>Jindal Stainless</t>
        </is>
      </c>
      <c r="B24" s="1073">
        <f>$H$112</f>
        <v/>
      </c>
      <c r="C24" s="1073">
        <f>$I$112</f>
        <v/>
      </c>
      <c r="D24" s="1073">
        <f>'Revenue Forecast'!$C$115</f>
        <v/>
      </c>
      <c r="E24" s="1073">
        <f>$B$112</f>
        <v/>
      </c>
      <c r="F24" s="1073">
        <f>$D$112</f>
        <v/>
      </c>
      <c r="G24" s="1079">
        <f>IFERROR($D$112/$J$24,"")</f>
        <v/>
      </c>
      <c r="H24" s="1073">
        <f>$C$112</f>
        <v/>
      </c>
      <c r="I24" s="394" t="n"/>
      <c r="J24" s="1148" t="n">
        <v>0.16</v>
      </c>
      <c r="K24" s="394" t="n"/>
      <c r="L24" s="708" t="inlineStr">
        <is>
          <t>VL04</t>
        </is>
      </c>
      <c r="M24" s="394" t="n"/>
      <c r="N24" s="394" t="n"/>
    </row>
    <row r="25">
      <c r="A25" s="670" t="inlineStr">
        <is>
          <t>AMNS India*</t>
        </is>
      </c>
      <c r="B25" s="955" t="n"/>
      <c r="C25" s="955" t="n"/>
      <c r="D25" s="1073">
        <f>'Revenue Forecast'!$C$116</f>
        <v/>
      </c>
      <c r="E25" s="1073">
        <f>$B$113</f>
        <v/>
      </c>
      <c r="F25" s="955" t="n"/>
      <c r="G25" s="955" t="n"/>
      <c r="H25" s="955" t="n"/>
      <c r="I25" s="394" t="n"/>
      <c r="J25" s="394" t="n"/>
      <c r="K25" s="394" t="n"/>
      <c r="L25" s="708" t="inlineStr">
        <is>
          <t>VL42, VL43</t>
        </is>
      </c>
      <c r="M25" s="394" t="n"/>
      <c r="N25" s="394" t="n"/>
    </row>
    <row r="26">
      <c r="A26" s="689" t="inlineStr">
        <is>
          <t>RINL</t>
        </is>
      </c>
      <c r="B26" s="955" t="n"/>
      <c r="C26" s="955" t="n"/>
      <c r="D26" s="1073">
        <f>'Revenue Forecast'!$C$117</f>
        <v/>
      </c>
      <c r="E26" s="955" t="n"/>
      <c r="F26" s="955" t="n"/>
      <c r="G26" s="955" t="n"/>
      <c r="H26" s="955" t="n"/>
      <c r="I26" s="394" t="n"/>
      <c r="J26" s="394" t="n"/>
      <c r="K26" s="394" t="n"/>
      <c r="L26" s="708" t="inlineStr">
        <is>
          <t>VL42, VL43</t>
        </is>
      </c>
      <c r="M26" s="394" t="n"/>
      <c r="N26" s="394" t="n"/>
    </row>
    <row r="27">
      <c r="A27" s="689" t="inlineStr">
        <is>
          <t>SMEK</t>
        </is>
      </c>
      <c r="B27" s="955" t="n"/>
      <c r="C27" s="955" t="n"/>
      <c r="D27" s="1209" t="n">
        <v>18552</v>
      </c>
      <c r="E27" s="1209" t="n">
        <v>2333</v>
      </c>
      <c r="F27" s="955" t="n"/>
      <c r="G27" s="955" t="n"/>
      <c r="H27" s="955" t="n"/>
      <c r="I27" s="394" t="n"/>
      <c r="J27" s="394" t="n"/>
      <c r="K27" s="394" t="n"/>
      <c r="L27" s="708" t="inlineStr">
        <is>
          <t>VL42, VL43</t>
        </is>
      </c>
      <c r="M27" s="394" t="n"/>
      <c r="N27" s="394" t="n"/>
    </row>
    <row r="28">
      <c r="A28" s="689" t="inlineStr">
        <is>
          <t>GPIL</t>
        </is>
      </c>
      <c r="B28" s="955" t="n"/>
      <c r="C28" s="955" t="n"/>
      <c r="D28" s="1209" t="n">
        <v>5381</v>
      </c>
      <c r="E28" s="1209" t="n">
        <v>1253</v>
      </c>
      <c r="F28" s="955" t="n"/>
      <c r="G28" s="955" t="n"/>
      <c r="H28" s="955" t="n"/>
      <c r="I28" s="394" t="n"/>
      <c r="J28" s="394" t="n"/>
      <c r="K28" s="394" t="n"/>
      <c r="L28" s="708" t="inlineStr">
        <is>
          <t>VL42, VL43</t>
        </is>
      </c>
      <c r="M28" s="394" t="n"/>
      <c r="N28" s="394" t="n"/>
    </row>
    <row r="29">
      <c r="A29" s="689" t="inlineStr">
        <is>
          <t>APL Apollo</t>
        </is>
      </c>
      <c r="B29" s="955" t="n"/>
      <c r="C29" s="955" t="n"/>
      <c r="D29" s="1209" t="n">
        <v>23079</v>
      </c>
      <c r="E29" s="1209" t="n">
        <v>1802</v>
      </c>
      <c r="F29" s="955" t="n"/>
      <c r="G29" s="955" t="n"/>
      <c r="H29" s="955" t="n"/>
      <c r="I29" s="394" t="n"/>
      <c r="J29" s="394" t="n"/>
      <c r="K29" s="394" t="n"/>
      <c r="L29" s="708" t="inlineStr">
        <is>
          <t>VL42, VL43</t>
        </is>
      </c>
      <c r="M29" s="394" t="n"/>
      <c r="N29" s="394" t="n"/>
    </row>
    <row r="30">
      <c r="A30" s="689" t="inlineStr">
        <is>
          <t>Mukand Limited</t>
        </is>
      </c>
      <c r="B30" s="955" t="n"/>
      <c r="C30" s="955" t="n"/>
      <c r="D30" s="1209" t="n">
        <v>4890</v>
      </c>
      <c r="E30" s="1209" t="n">
        <v>172</v>
      </c>
      <c r="F30" s="955" t="n"/>
      <c r="G30" s="955" t="n"/>
      <c r="H30" s="955" t="n"/>
      <c r="I30" s="394" t="n"/>
      <c r="J30" s="394" t="n"/>
      <c r="K30" s="394" t="n"/>
      <c r="L30" s="708" t="inlineStr">
        <is>
          <t>VL42, VL43</t>
        </is>
      </c>
      <c r="M30" s="394" t="n"/>
      <c r="N30" s="394" t="n"/>
    </row>
    <row r="31">
      <c r="A31" s="689" t="inlineStr">
        <is>
          <t>Gallantt Ispat Limited</t>
        </is>
      </c>
      <c r="B31" s="1210" t="n"/>
      <c r="C31" s="1210" t="n"/>
      <c r="D31" s="1211" t="n">
        <v>4419</v>
      </c>
      <c r="E31" s="1211" t="n">
        <v>716</v>
      </c>
      <c r="F31" s="1210" t="n"/>
      <c r="G31" s="1210" t="n"/>
      <c r="H31" s="1210" t="n"/>
      <c r="I31" s="394" t="n"/>
      <c r="J31" s="394" t="n"/>
      <c r="K31" s="394" t="n"/>
      <c r="L31" s="708" t="inlineStr">
        <is>
          <t>VL42, VL43</t>
        </is>
      </c>
      <c r="M31" s="394" t="n"/>
      <c r="N31" s="394" t="n"/>
    </row>
    <row r="32">
      <c r="A32" s="689" t="inlineStr">
        <is>
          <t>UGSL</t>
        </is>
      </c>
      <c r="B32" s="1210" t="n"/>
      <c r="C32" s="1210" t="n"/>
      <c r="D32" s="1210" t="n"/>
      <c r="E32" s="1210" t="n"/>
      <c r="F32" s="1210" t="n"/>
      <c r="G32" s="1210" t="n"/>
      <c r="H32" s="1210" t="n"/>
      <c r="I32" s="394" t="n"/>
      <c r="J32" s="394" t="n"/>
      <c r="K32" s="394" t="n"/>
      <c r="L32" s="708" t="inlineStr">
        <is>
          <t>VL42, VL43</t>
        </is>
      </c>
      <c r="M32" s="394" t="n"/>
      <c r="N32" s="394" t="n"/>
    </row>
    <row r="33">
      <c r="A33" s="689" t="inlineStr">
        <is>
          <t>KFIL</t>
        </is>
      </c>
      <c r="B33" s="1210" t="n"/>
      <c r="C33" s="1210" t="n"/>
      <c r="D33" s="1211" t="n">
        <v>6889</v>
      </c>
      <c r="E33" s="1211" t="n">
        <v>850</v>
      </c>
      <c r="F33" s="1210" t="n"/>
      <c r="G33" s="1210" t="n"/>
      <c r="H33" s="1210" t="n"/>
      <c r="I33" s="394" t="n"/>
      <c r="J33" s="394" t="n"/>
      <c r="K33" s="394" t="n"/>
      <c r="L33" s="708" t="inlineStr">
        <is>
          <t>VL42, VL43</t>
        </is>
      </c>
      <c r="M33" s="394" t="n"/>
      <c r="N33" s="394" t="n"/>
    </row>
    <row r="34">
      <c r="A34" s="689" t="inlineStr">
        <is>
          <t>ESL Steel Ltd</t>
        </is>
      </c>
      <c r="B34" s="1210" t="n"/>
      <c r="C34" s="1210" t="n"/>
      <c r="D34" s="1211" t="n">
        <v>6133</v>
      </c>
      <c r="E34" s="1210" t="n"/>
      <c r="F34" s="1210" t="n"/>
      <c r="G34" s="1210" t="n"/>
      <c r="H34" s="1210" t="n"/>
      <c r="I34" s="394" t="n"/>
      <c r="J34" s="394" t="n"/>
      <c r="K34" s="394" t="n"/>
      <c r="L34" s="708" t="inlineStr">
        <is>
          <t>VL42, VL43</t>
        </is>
      </c>
      <c r="M34" s="394" t="n"/>
      <c r="N34" s="394" t="n"/>
    </row>
    <row r="35">
      <c r="A35" s="394" t="n"/>
      <c r="B35" s="394" t="n"/>
      <c r="C35" s="394" t="n"/>
      <c r="D35" s="394" t="n"/>
      <c r="E35" s="394" t="n"/>
      <c r="F35" s="394" t="n"/>
      <c r="G35" s="394" t="n"/>
      <c r="H35" s="394" t="n"/>
      <c r="I35" s="394" t="n"/>
      <c r="J35" s="394" t="n"/>
      <c r="K35" s="394" t="n"/>
      <c r="L35" s="394" t="n"/>
      <c r="M35" s="394" t="n"/>
      <c r="N35" s="394" t="n"/>
    </row>
    <row r="36">
      <c r="A36" s="394" t="n"/>
      <c r="B36" s="394" t="n"/>
      <c r="C36" s="394" t="n"/>
      <c r="D36" s="394" t="n"/>
      <c r="E36" s="394" t="n"/>
      <c r="F36" s="394" t="n"/>
      <c r="G36" s="394" t="n"/>
      <c r="H36" s="394" t="n"/>
      <c r="I36" s="394" t="n"/>
      <c r="J36" s="394" t="n"/>
      <c r="K36" s="394" t="n"/>
      <c r="L36" s="394" t="n"/>
      <c r="M36" s="394" t="n"/>
      <c r="N36" s="394" t="n"/>
    </row>
    <row r="37" ht="15.6" customHeight="1" s="632">
      <c r="A37" s="608" t="inlineStr">
        <is>
          <t>Trading Multiples</t>
        </is>
      </c>
      <c r="B37" s="699" t="n"/>
      <c r="C37" s="699" t="n"/>
      <c r="D37" s="699" t="n"/>
      <c r="E37" s="699" t="n"/>
      <c r="F37" s="699" t="n"/>
      <c r="G37" s="699" t="n"/>
      <c r="H37" s="612" t="n"/>
      <c r="I37" s="394" t="n"/>
      <c r="J37" s="394" t="n"/>
      <c r="K37" s="394" t="n"/>
      <c r="L37" s="394" t="n"/>
      <c r="M37" s="394" t="n"/>
      <c r="N37" s="394" t="n"/>
    </row>
    <row r="38" ht="28.8" customHeight="1" s="632">
      <c r="A38" s="539" t="inlineStr">
        <is>
          <t>Company</t>
        </is>
      </c>
      <c r="B38" s="539" t="inlineStr">
        <is>
          <t>EV/EBITDA</t>
        </is>
      </c>
      <c r="C38" s="539" t="inlineStr">
        <is>
          <t>EV/Sales</t>
        </is>
      </c>
      <c r="D38" s="539" t="inlineStr">
        <is>
          <t>P/E</t>
        </is>
      </c>
      <c r="E38" s="539" t="inlineStr">
        <is>
          <t>P/B</t>
        </is>
      </c>
      <c r="F38" s="539" t="inlineStr">
        <is>
          <t>EV/Tonne Capacity</t>
        </is>
      </c>
      <c r="G38" s="539" t="inlineStr">
        <is>
          <t>EV/Tonne Production</t>
        </is>
      </c>
      <c r="H38" s="394" t="n"/>
      <c r="I38" s="707" t="inlineStr">
        <is>
          <t>Ref</t>
        </is>
      </c>
      <c r="J38" s="394" t="n"/>
      <c r="K38" s="394" t="n"/>
      <c r="L38" s="394" t="n"/>
      <c r="M38" s="394" t="n"/>
      <c r="N38" s="394" t="n"/>
    </row>
    <row r="39">
      <c r="A39" s="670" t="inlineStr">
        <is>
          <t>Tata Steel</t>
        </is>
      </c>
      <c r="B39" s="1124">
        <f>$J$108</f>
        <v/>
      </c>
      <c r="C39" s="963">
        <f>IFERROR($I$108/D20,"")</f>
        <v/>
      </c>
      <c r="D39" s="1187">
        <f>IFERROR($H$108/$D$108,"")</f>
        <v/>
      </c>
      <c r="E39" s="963">
        <f>IFERROR($H$108/$G$20,"")</f>
        <v/>
      </c>
      <c r="F39" s="1002">
        <f>IFERROR($I$108/$K$108*10,"")</f>
        <v/>
      </c>
      <c r="G39" s="1002">
        <f>IFERROR($I$108/'Revenue Forecast'!$C$101*10,"")</f>
        <v/>
      </c>
      <c r="H39" s="394" t="n"/>
      <c r="I39" s="708" t="inlineStr">
        <is>
          <t>VL07</t>
        </is>
      </c>
      <c r="J39" s="394" t="n"/>
      <c r="K39" s="394" t="n"/>
      <c r="L39" s="394" t="n"/>
      <c r="M39" s="394" t="n"/>
      <c r="N39" s="394" t="n"/>
    </row>
    <row r="40">
      <c r="A40" s="670" t="inlineStr">
        <is>
          <t>JSW Steel</t>
        </is>
      </c>
      <c r="B40" s="1124">
        <f>$J$109</f>
        <v/>
      </c>
      <c r="C40" s="963">
        <f>IFERROR($I$109/D21,"")</f>
        <v/>
      </c>
      <c r="D40" s="1187">
        <f>IFERROR($H$109/$D$109,"")</f>
        <v/>
      </c>
      <c r="E40" s="963">
        <f>IFERROR($H$109/$G$21,"")</f>
        <v/>
      </c>
      <c r="F40" s="1002">
        <f>IFERROR($I$109/$K$109*10,"")</f>
        <v/>
      </c>
      <c r="G40" s="1002">
        <f>IFERROR($I$109/'Revenue Forecast'!$C$102*10,"")</f>
        <v/>
      </c>
      <c r="H40" s="394" t="n"/>
      <c r="I40" s="394" t="n"/>
      <c r="J40" s="394" t="n"/>
      <c r="K40" s="394" t="n"/>
      <c r="L40" s="394" t="n"/>
      <c r="M40" s="394" t="n"/>
      <c r="N40" s="394" t="n"/>
    </row>
    <row r="41">
      <c r="A41" s="670" t="inlineStr">
        <is>
          <t>Jindal Steel</t>
        </is>
      </c>
      <c r="B41" s="1124">
        <f>$J$111</f>
        <v/>
      </c>
      <c r="C41" s="963">
        <f>IFERROR($I$111/D22,"")</f>
        <v/>
      </c>
      <c r="D41" s="1187">
        <f>IFERROR($H$111/$D$111,"")</f>
        <v/>
      </c>
      <c r="E41" s="963">
        <f>IFERROR($H$111/$G$22,"")</f>
        <v/>
      </c>
      <c r="F41" s="1002">
        <f>IFERROR($I$111/$K$111*10,"")</f>
        <v/>
      </c>
      <c r="G41" s="1002">
        <f>IFERROR($I$111/'Revenue Forecast'!$C$104*10,"")</f>
        <v/>
      </c>
      <c r="H41" s="394" t="n"/>
      <c r="I41" s="394" t="n"/>
      <c r="J41" s="394" t="n"/>
      <c r="K41" s="394" t="n"/>
      <c r="L41" s="394" t="n"/>
      <c r="M41" s="394" t="n"/>
      <c r="N41" s="394" t="n"/>
    </row>
    <row r="42">
      <c r="A42" s="670" t="inlineStr">
        <is>
          <t>SAIL</t>
        </is>
      </c>
      <c r="B42" s="1124">
        <f>$J$110</f>
        <v/>
      </c>
      <c r="C42" s="963">
        <f>IFERROR($I$110/D23,"")</f>
        <v/>
      </c>
      <c r="D42" s="1187">
        <f>IFERROR($H$110/$D$110,"")</f>
        <v/>
      </c>
      <c r="E42" s="963">
        <f>IFERROR($H$110/$G$23,"")</f>
        <v/>
      </c>
      <c r="F42" s="1002">
        <f>IFERROR($I$110/$K$110*10,"")</f>
        <v/>
      </c>
      <c r="G42" s="1002">
        <f>IFERROR($I$110/'Revenue Forecast'!$C$103*10,"")</f>
        <v/>
      </c>
      <c r="H42" s="394" t="n"/>
      <c r="I42" s="394" t="n"/>
      <c r="J42" s="394" t="n"/>
      <c r="K42" s="394" t="n"/>
      <c r="L42" s="394" t="n"/>
      <c r="M42" s="394" t="n"/>
      <c r="N42" s="394" t="n"/>
    </row>
    <row r="43">
      <c r="A43" s="670" t="inlineStr">
        <is>
          <t>Jindal Stainless</t>
        </is>
      </c>
      <c r="B43" s="1124">
        <f>$J$112</f>
        <v/>
      </c>
      <c r="C43" s="963">
        <f>IFERROR($I$112/D24,"")</f>
        <v/>
      </c>
      <c r="D43" s="1187">
        <f>IFERROR($H$112/$D$112,"")</f>
        <v/>
      </c>
      <c r="E43" s="963">
        <f>IFERROR($H$112/$G$24,"")</f>
        <v/>
      </c>
      <c r="F43" s="1002">
        <f>IFERROR($I$112/$K$112*10,"")</f>
        <v/>
      </c>
      <c r="G43" s="1002">
        <f>IFERROR($I$112/'Revenue Forecast'!$C$105*10,"")</f>
        <v/>
      </c>
      <c r="H43" s="394" t="n"/>
      <c r="I43" s="394" t="n"/>
      <c r="J43" s="394" t="n"/>
      <c r="K43" s="394" t="n"/>
      <c r="L43" s="394" t="n"/>
      <c r="M43" s="394" t="n"/>
      <c r="N43" s="394" t="n"/>
    </row>
    <row r="44">
      <c r="A44" s="670" t="inlineStr">
        <is>
          <t>AMNS India*</t>
        </is>
      </c>
      <c r="B44" s="1210" t="n"/>
      <c r="C44" s="1210" t="n"/>
      <c r="D44" s="1210" t="n"/>
      <c r="E44" s="1210" t="n"/>
      <c r="F44" s="1210" t="n"/>
      <c r="G44" s="1210" t="n"/>
      <c r="H44" s="394" t="n"/>
      <c r="I44" s="708" t="inlineStr">
        <is>
          <t>VL44, VL45</t>
        </is>
      </c>
      <c r="J44" s="394" t="n"/>
      <c r="K44" s="394" t="n"/>
      <c r="L44" s="394" t="n"/>
      <c r="M44" s="394" t="n"/>
      <c r="N44" s="394" t="n"/>
    </row>
    <row r="45">
      <c r="A45" s="689" t="inlineStr">
        <is>
          <t>RINL</t>
        </is>
      </c>
      <c r="B45" s="1210" t="n"/>
      <c r="C45" s="1210" t="n"/>
      <c r="D45" s="1210" t="n"/>
      <c r="E45" s="1210" t="n"/>
      <c r="F45" s="1210" t="n"/>
      <c r="G45" s="1210" t="n"/>
      <c r="H45" s="394" t="n"/>
      <c r="I45" s="708" t="inlineStr">
        <is>
          <t>VL44, VL45</t>
        </is>
      </c>
      <c r="J45" s="394" t="n"/>
      <c r="K45" s="394" t="n"/>
      <c r="L45" s="394" t="n"/>
      <c r="M45" s="394" t="n"/>
      <c r="N45" s="394" t="n"/>
    </row>
    <row r="46">
      <c r="A46" s="689" t="inlineStr">
        <is>
          <t>SMEK</t>
        </is>
      </c>
      <c r="B46" s="1210" t="n"/>
      <c r="C46" s="1210" t="n"/>
      <c r="D46" s="1210" t="n"/>
      <c r="E46" s="1210" t="n"/>
      <c r="F46" s="1210" t="n"/>
      <c r="G46" s="1210" t="n"/>
      <c r="H46" s="394" t="n"/>
      <c r="I46" s="708" t="inlineStr">
        <is>
          <t>VL44, VL45</t>
        </is>
      </c>
      <c r="J46" s="394" t="n"/>
      <c r="K46" s="394" t="n"/>
      <c r="L46" s="394" t="n"/>
      <c r="M46" s="394" t="n"/>
      <c r="N46" s="394" t="n"/>
    </row>
    <row r="47">
      <c r="A47" s="689" t="inlineStr">
        <is>
          <t>GPIL</t>
        </is>
      </c>
      <c r="B47" s="1210" t="n"/>
      <c r="C47" s="1210" t="n"/>
      <c r="D47" s="1210" t="n"/>
      <c r="E47" s="1210" t="n"/>
      <c r="F47" s="1210" t="n"/>
      <c r="G47" s="1210" t="n"/>
      <c r="H47" s="394" t="n"/>
      <c r="I47" s="708" t="inlineStr">
        <is>
          <t>VL44, VL45</t>
        </is>
      </c>
      <c r="J47" s="394" t="n"/>
      <c r="K47" s="394" t="n"/>
      <c r="L47" s="394" t="n"/>
      <c r="M47" s="394" t="n"/>
      <c r="N47" s="394" t="n"/>
    </row>
    <row r="48">
      <c r="A48" s="689" t="inlineStr">
        <is>
          <t>APL Apollo</t>
        </is>
      </c>
      <c r="B48" s="1210" t="n"/>
      <c r="C48" s="1210" t="n"/>
      <c r="D48" s="1210" t="n"/>
      <c r="E48" s="1210" t="n"/>
      <c r="F48" s="1210" t="n"/>
      <c r="G48" s="1210" t="n"/>
      <c r="H48" s="394" t="n"/>
      <c r="I48" s="708" t="inlineStr">
        <is>
          <t>VL44, VL45</t>
        </is>
      </c>
      <c r="J48" s="394" t="n"/>
      <c r="K48" s="394" t="n"/>
      <c r="L48" s="394" t="n"/>
      <c r="M48" s="394" t="n"/>
      <c r="N48" s="394" t="n"/>
    </row>
    <row r="49">
      <c r="A49" s="689" t="inlineStr">
        <is>
          <t>Mukand Limited</t>
        </is>
      </c>
      <c r="B49" s="1210" t="n"/>
      <c r="C49" s="1210" t="n"/>
      <c r="D49" s="1210" t="n"/>
      <c r="E49" s="1210" t="n"/>
      <c r="F49" s="1210" t="n"/>
      <c r="G49" s="1210" t="n"/>
      <c r="H49" s="394" t="n"/>
      <c r="I49" s="708" t="inlineStr">
        <is>
          <t>VL44, VL45</t>
        </is>
      </c>
      <c r="J49" s="394" t="n"/>
      <c r="K49" s="394" t="n"/>
      <c r="L49" s="394" t="n"/>
      <c r="M49" s="394" t="n"/>
      <c r="N49" s="394" t="n"/>
    </row>
    <row r="50">
      <c r="A50" s="689" t="inlineStr">
        <is>
          <t>Gallantt Ispat Limited</t>
        </is>
      </c>
      <c r="B50" s="1210" t="n"/>
      <c r="C50" s="1210" t="n"/>
      <c r="D50" s="1210" t="n"/>
      <c r="E50" s="1210" t="n"/>
      <c r="F50" s="1210" t="n"/>
      <c r="G50" s="1210" t="n"/>
      <c r="H50" s="394" t="n"/>
      <c r="I50" s="708" t="inlineStr">
        <is>
          <t>VL44, VL45</t>
        </is>
      </c>
      <c r="J50" s="394" t="n"/>
      <c r="K50" s="394" t="n"/>
      <c r="L50" s="394" t="n"/>
      <c r="M50" s="394" t="n"/>
      <c r="N50" s="394" t="n"/>
    </row>
    <row r="51">
      <c r="A51" s="689" t="inlineStr">
        <is>
          <t>UGSL</t>
        </is>
      </c>
      <c r="B51" s="1210" t="n"/>
      <c r="C51" s="1210" t="n"/>
      <c r="D51" s="1210" t="n"/>
      <c r="E51" s="1210" t="n"/>
      <c r="F51" s="1210" t="n"/>
      <c r="G51" s="1210" t="n"/>
      <c r="H51" s="394" t="n"/>
      <c r="I51" s="708" t="inlineStr">
        <is>
          <t>VL44, VL45</t>
        </is>
      </c>
      <c r="J51" s="394" t="n"/>
      <c r="K51" s="394" t="n"/>
      <c r="L51" s="394" t="n"/>
      <c r="M51" s="394" t="n"/>
      <c r="N51" s="394" t="n"/>
    </row>
    <row r="52">
      <c r="A52" s="689" t="inlineStr">
        <is>
          <t>KFIL</t>
        </is>
      </c>
      <c r="B52" s="1210" t="n"/>
      <c r="C52" s="1210" t="n"/>
      <c r="D52" s="1210" t="n"/>
      <c r="E52" s="1210" t="n"/>
      <c r="F52" s="1210" t="n"/>
      <c r="G52" s="1210" t="n"/>
      <c r="H52" s="394" t="n"/>
      <c r="I52" s="708" t="inlineStr">
        <is>
          <t>VL44, VL45</t>
        </is>
      </c>
      <c r="J52" s="394" t="n"/>
      <c r="K52" s="394" t="n"/>
      <c r="L52" s="394" t="n"/>
      <c r="M52" s="394" t="n"/>
      <c r="N52" s="394" t="n"/>
    </row>
    <row r="53">
      <c r="A53" s="689" t="inlineStr">
        <is>
          <t>ESL Steel Ltd</t>
        </is>
      </c>
      <c r="B53" s="1210" t="n"/>
      <c r="C53" s="1210" t="n"/>
      <c r="D53" s="1210" t="n"/>
      <c r="E53" s="1210" t="n"/>
      <c r="F53" s="1210" t="n"/>
      <c r="G53" s="1210" t="n"/>
      <c r="H53" s="394" t="n"/>
      <c r="I53" s="708" t="inlineStr">
        <is>
          <t>VL44, VL45</t>
        </is>
      </c>
      <c r="J53" s="394" t="n"/>
      <c r="K53" s="394" t="n"/>
      <c r="L53" s="394" t="n"/>
      <c r="M53" s="394" t="n"/>
      <c r="N53" s="394" t="n"/>
    </row>
    <row r="54">
      <c r="A54" s="668" t="inlineStr">
        <is>
          <t>Mean</t>
        </is>
      </c>
      <c r="B54" s="1212">
        <f>IFERROR(AVERAGE(B39:B53),"")</f>
        <v/>
      </c>
      <c r="C54" s="1212">
        <f>IFERROR(AVERAGE(C39:C53),"")</f>
        <v/>
      </c>
      <c r="D54" s="1213">
        <f>IFERROR(AVERAGE(D39:D53),"")</f>
        <v/>
      </c>
      <c r="E54" s="1212">
        <f>IFERROR(AVERAGE(E39:E53),"")</f>
        <v/>
      </c>
      <c r="F54" s="1213">
        <f>IFERROR(AVERAGE(F39:F53),"")</f>
        <v/>
      </c>
      <c r="G54" s="1213">
        <f>IFERROR(AVERAGE(G39:G53),"")</f>
        <v/>
      </c>
      <c r="H54" s="394" t="n"/>
      <c r="I54" s="394" t="n"/>
      <c r="J54" s="394" t="n"/>
      <c r="K54" s="394" t="n"/>
      <c r="L54" s="394" t="n"/>
      <c r="M54" s="394" t="n"/>
      <c r="N54" s="394" t="n"/>
    </row>
    <row r="55">
      <c r="A55" s="668" t="inlineStr">
        <is>
          <t>Median</t>
        </is>
      </c>
      <c r="B55" s="1212">
        <f>IFERROR(MEDIAN(B39:B53),"")</f>
        <v/>
      </c>
      <c r="C55" s="1212">
        <f>IFERROR(MEDIAN(C39:C53),"")</f>
        <v/>
      </c>
      <c r="D55" s="1213">
        <f>IFERROR(MEDIAN(D39:D53),"")</f>
        <v/>
      </c>
      <c r="E55" s="1212">
        <f>IFERROR(MEDIAN(E39:E53),"")</f>
        <v/>
      </c>
      <c r="F55" s="1213">
        <f>IFERROR(MEDIAN(F39:F53),"")</f>
        <v/>
      </c>
      <c r="G55" s="1213">
        <f>IFERROR(MEDIAN(G39:G53),"")</f>
        <v/>
      </c>
      <c r="H55" s="394" t="n"/>
      <c r="I55" s="708" t="inlineStr">
        <is>
          <t>VL06</t>
        </is>
      </c>
      <c r="J55" s="394" t="n"/>
      <c r="K55" s="394" t="n"/>
      <c r="L55" s="394" t="n"/>
      <c r="M55" s="394" t="n"/>
      <c r="N55" s="394" t="n"/>
    </row>
    <row r="56">
      <c r="A56" s="668" t="inlineStr">
        <is>
          <t>25th %le</t>
        </is>
      </c>
      <c r="B56" s="1212">
        <f>IFERROR(PERCENTILE(B39:B53,0.25),"")</f>
        <v/>
      </c>
      <c r="C56" s="1212">
        <f>IFERROR(PERCENTILE(C39:C53,0.25),"")</f>
        <v/>
      </c>
      <c r="D56" s="1213">
        <f>IFERROR(PERCENTILE(D39:D53,0.25),"")</f>
        <v/>
      </c>
      <c r="E56" s="1212">
        <f>IFERROR(PERCENTILE(E39:E53,0.25),"")</f>
        <v/>
      </c>
      <c r="F56" s="1213">
        <f>IFERROR(PERCENTILE(F39:F53,0.25),"")</f>
        <v/>
      </c>
      <c r="G56" s="1213">
        <f>IFERROR(PERCENTILE(G39:G53,0.25),"")</f>
        <v/>
      </c>
      <c r="H56" s="394" t="n"/>
      <c r="I56" s="394" t="n"/>
      <c r="J56" s="394" t="n"/>
      <c r="K56" s="394" t="n"/>
      <c r="L56" s="394" t="n"/>
      <c r="M56" s="394" t="n"/>
      <c r="N56" s="394" t="n"/>
    </row>
    <row r="57">
      <c r="A57" s="668" t="inlineStr">
        <is>
          <t>75th %le</t>
        </is>
      </c>
      <c r="B57" s="1212">
        <f>IFERROR(PERCENTILE(B39:B53,0.75),"")</f>
        <v/>
      </c>
      <c r="C57" s="1212">
        <f>IFERROR(PERCENTILE(C39:C53,0.75),"")</f>
        <v/>
      </c>
      <c r="D57" s="1213">
        <f>IFERROR(PERCENTILE(D39:D53,0.75),"")</f>
        <v/>
      </c>
      <c r="E57" s="1212">
        <f>IFERROR(PERCENTILE(E39:E53,0.75),"")</f>
        <v/>
      </c>
      <c r="F57" s="1213">
        <f>IFERROR(PERCENTILE(F39:F53,0.75),"")</f>
        <v/>
      </c>
      <c r="G57" s="1213">
        <f>IFERROR(PERCENTILE(G39:G53,0.75),"")</f>
        <v/>
      </c>
      <c r="H57" s="394" t="n"/>
      <c r="I57" s="394" t="n"/>
      <c r="J57" s="394" t="n"/>
      <c r="K57" s="394" t="n"/>
      <c r="L57" s="394" t="n"/>
      <c r="M57" s="394" t="n"/>
      <c r="N57" s="394" t="n"/>
    </row>
    <row r="58">
      <c r="A58" s="668" t="inlineStr">
        <is>
          <t>High</t>
        </is>
      </c>
      <c r="B58" s="1212">
        <f>IFERROR(MAX(B39:B53),"")</f>
        <v/>
      </c>
      <c r="C58" s="1212">
        <f>IFERROR(MAX(C39:C53),"")</f>
        <v/>
      </c>
      <c r="D58" s="1213">
        <f>IFERROR(MAX(D39:D53),"")</f>
        <v/>
      </c>
      <c r="E58" s="1212">
        <f>IFERROR(MAX(E39:E53),"")</f>
        <v/>
      </c>
      <c r="F58" s="1213">
        <f>IFERROR(MAX(F39:F53),"")</f>
        <v/>
      </c>
      <c r="G58" s="1213">
        <f>IFERROR(MAX(G39:G53),"")</f>
        <v/>
      </c>
      <c r="H58" s="394" t="n"/>
      <c r="I58" s="394" t="n"/>
      <c r="J58" s="394" t="n"/>
      <c r="K58" s="394" t="n"/>
      <c r="L58" s="394" t="n"/>
      <c r="M58" s="394" t="n"/>
      <c r="N58" s="394" t="n"/>
    </row>
    <row r="59">
      <c r="A59" s="668" t="inlineStr">
        <is>
          <t>Low</t>
        </is>
      </c>
      <c r="B59" s="1212">
        <f>IFERROR(MIN(B39:B53),"")</f>
        <v/>
      </c>
      <c r="C59" s="1212">
        <f>IFERROR(MIN(C39:C53),"")</f>
        <v/>
      </c>
      <c r="D59" s="1213">
        <f>IFERROR(MIN(D39:D53),"")</f>
        <v/>
      </c>
      <c r="E59" s="1212">
        <f>IFERROR(MIN(E39:E53),"")</f>
        <v/>
      </c>
      <c r="F59" s="1213">
        <f>IFERROR(MIN(F39:F53),"")</f>
        <v/>
      </c>
      <c r="G59" s="1213">
        <f>IFERROR(MIN(G39:G53),"")</f>
        <v/>
      </c>
      <c r="H59" s="394" t="n"/>
      <c r="I59" s="394" t="n"/>
      <c r="J59" s="394" t="n"/>
      <c r="K59" s="394" t="n"/>
      <c r="L59" s="394" t="n"/>
      <c r="M59" s="394" t="n"/>
      <c r="N59" s="394" t="n"/>
    </row>
    <row r="60">
      <c r="A60" s="394" t="n"/>
      <c r="B60" s="394" t="n"/>
      <c r="C60" s="394" t="n"/>
      <c r="D60" s="394" t="n"/>
      <c r="E60" s="394" t="n"/>
      <c r="F60" s="394" t="n"/>
      <c r="G60" s="394" t="n"/>
      <c r="H60" s="394" t="n"/>
      <c r="I60" s="394" t="n"/>
      <c r="J60" s="394" t="n"/>
      <c r="K60" s="394" t="n"/>
      <c r="L60" s="394" t="n"/>
      <c r="M60" s="394" t="n"/>
      <c r="N60" s="394" t="n"/>
    </row>
    <row r="61">
      <c r="A61" s="394" t="n"/>
      <c r="B61" s="394" t="n"/>
      <c r="C61" s="394" t="n"/>
      <c r="D61" s="394" t="n"/>
      <c r="E61" s="394" t="n"/>
      <c r="F61" s="394" t="n"/>
      <c r="G61" s="394" t="n"/>
      <c r="H61" s="394" t="n"/>
      <c r="I61" s="394" t="n"/>
      <c r="J61" s="394" t="n"/>
      <c r="K61" s="394" t="n"/>
      <c r="L61" s="394" t="n"/>
      <c r="M61" s="394" t="n"/>
      <c r="N61" s="394" t="n"/>
    </row>
    <row r="62" ht="15.6" customHeight="1" s="632">
      <c r="A62" s="608" t="inlineStr">
        <is>
          <t>Historical Multiples</t>
        </is>
      </c>
      <c r="B62" s="699" t="n"/>
      <c r="C62" s="699" t="n"/>
      <c r="D62" s="699" t="n"/>
      <c r="E62" s="699" t="n"/>
      <c r="F62" s="612" t="n"/>
      <c r="G62" s="612" t="n"/>
      <c r="H62" s="394" t="n"/>
      <c r="I62" s="394" t="n"/>
      <c r="J62" s="394" t="n"/>
      <c r="K62" s="394" t="n"/>
      <c r="L62" s="394" t="n"/>
      <c r="M62" s="394" t="n"/>
      <c r="N62" s="394" t="n"/>
    </row>
    <row r="63">
      <c r="A63" s="539" t="inlineStr">
        <is>
          <t>Year</t>
        </is>
      </c>
      <c r="B63" s="539" t="inlineStr">
        <is>
          <t>EV/EBITDA</t>
        </is>
      </c>
      <c r="C63" s="539" t="inlineStr">
        <is>
          <t>EV/Sales</t>
        </is>
      </c>
      <c r="D63" s="539" t="inlineStr">
        <is>
          <t>P/E</t>
        </is>
      </c>
      <c r="E63" s="539" t="inlineStr">
        <is>
          <t>P/B</t>
        </is>
      </c>
      <c r="F63" s="394" t="n"/>
      <c r="G63" s="707" t="inlineStr">
        <is>
          <t>Ref</t>
        </is>
      </c>
      <c r="H63" s="394" t="n"/>
      <c r="I63" s="394" t="n"/>
      <c r="J63" s="394" t="n"/>
      <c r="K63" s="394" t="n"/>
      <c r="L63" s="394" t="n"/>
      <c r="M63" s="394" t="n"/>
      <c r="N63" s="394" t="n"/>
    </row>
    <row r="64">
      <c r="A64" s="670" t="inlineStr">
        <is>
          <t>FY21</t>
        </is>
      </c>
      <c r="B64" s="955" t="n"/>
      <c r="C64" s="955" t="n"/>
      <c r="D64" s="955" t="n"/>
      <c r="E64" s="955" t="n"/>
      <c r="F64" s="394" t="n"/>
      <c r="G64" s="708" t="inlineStr">
        <is>
          <t>VL46</t>
        </is>
      </c>
      <c r="H64" s="394" t="n"/>
      <c r="I64" s="394" t="n"/>
      <c r="J64" s="394" t="n"/>
      <c r="K64" s="394" t="n"/>
      <c r="L64" s="394" t="n"/>
      <c r="M64" s="394" t="n"/>
      <c r="N64" s="394" t="n"/>
    </row>
    <row r="65">
      <c r="A65" s="670" t="inlineStr">
        <is>
          <t>FY22</t>
        </is>
      </c>
      <c r="B65" s="955" t="n"/>
      <c r="C65" s="955" t="n"/>
      <c r="D65" s="955" t="n"/>
      <c r="E65" s="955" t="n"/>
      <c r="F65" s="394" t="n"/>
      <c r="G65" s="708" t="inlineStr">
        <is>
          <t>VL46</t>
        </is>
      </c>
      <c r="H65" s="394" t="n"/>
      <c r="I65" s="394" t="n"/>
      <c r="J65" s="394" t="n"/>
      <c r="K65" s="394" t="n"/>
      <c r="L65" s="394" t="n"/>
      <c r="M65" s="394" t="n"/>
      <c r="N65" s="394" t="n"/>
    </row>
    <row r="66">
      <c r="A66" s="670" t="inlineStr">
        <is>
          <t>FY23</t>
        </is>
      </c>
      <c r="B66" s="955" t="n"/>
      <c r="C66" s="955" t="n"/>
      <c r="D66" s="955" t="n"/>
      <c r="E66" s="955" t="n"/>
      <c r="F66" s="394" t="n"/>
      <c r="G66" s="708" t="inlineStr">
        <is>
          <t>VL46</t>
        </is>
      </c>
      <c r="H66" s="394" t="n"/>
      <c r="I66" s="394" t="n"/>
      <c r="J66" s="394" t="n"/>
      <c r="K66" s="394" t="n"/>
      <c r="L66" s="394" t="n"/>
      <c r="M66" s="394" t="n"/>
      <c r="N66" s="394" t="n"/>
    </row>
    <row r="67">
      <c r="A67" s="670" t="inlineStr">
        <is>
          <t>FY24</t>
        </is>
      </c>
      <c r="B67" s="955" t="n"/>
      <c r="C67" s="955" t="n"/>
      <c r="D67" s="955" t="n"/>
      <c r="E67" s="955" t="n"/>
      <c r="F67" s="394" t="n"/>
      <c r="G67" s="708" t="inlineStr">
        <is>
          <t>VL46</t>
        </is>
      </c>
      <c r="H67" s="394" t="n"/>
      <c r="I67" s="394" t="n"/>
      <c r="J67" s="394" t="n"/>
      <c r="K67" s="394" t="n"/>
      <c r="L67" s="394" t="n"/>
      <c r="M67" s="394" t="n"/>
      <c r="N67" s="394" t="n"/>
    </row>
    <row r="68">
      <c r="A68" s="670" t="inlineStr">
        <is>
          <t>FY25</t>
        </is>
      </c>
      <c r="B68" s="955" t="n"/>
      <c r="C68" s="955" t="n"/>
      <c r="D68" s="955" t="n"/>
      <c r="E68" s="955" t="n"/>
      <c r="F68" s="394" t="n"/>
      <c r="G68" s="708" t="inlineStr">
        <is>
          <t>VL46</t>
        </is>
      </c>
      <c r="H68" s="394" t="n"/>
      <c r="I68" s="394" t="n"/>
      <c r="J68" s="394" t="n"/>
      <c r="K68" s="394" t="n"/>
      <c r="L68" s="394" t="n"/>
      <c r="M68" s="394" t="n"/>
      <c r="N68" s="394" t="n"/>
    </row>
    <row r="69">
      <c r="A69" s="670" t="inlineStr">
        <is>
          <t>FY26</t>
        </is>
      </c>
      <c r="B69" s="955" t="n"/>
      <c r="C69" s="955" t="n"/>
      <c r="D69" s="955" t="n"/>
      <c r="E69" s="955" t="n"/>
      <c r="F69" s="394" t="n"/>
      <c r="G69" s="708" t="inlineStr">
        <is>
          <t>VL46</t>
        </is>
      </c>
      <c r="H69" s="394" t="n"/>
      <c r="I69" s="394" t="n"/>
      <c r="J69" s="394" t="n"/>
      <c r="K69" s="394" t="n"/>
      <c r="L69" s="394" t="n"/>
      <c r="M69" s="394" t="n"/>
      <c r="N69" s="394" t="n"/>
    </row>
    <row r="70">
      <c r="A70" s="394" t="n"/>
      <c r="B70" s="394" t="n"/>
      <c r="C70" s="394" t="n"/>
      <c r="D70" s="394" t="n"/>
      <c r="E70" s="394" t="n"/>
      <c r="F70" s="394" t="n"/>
      <c r="G70" s="394" t="n"/>
      <c r="H70" s="394" t="n"/>
      <c r="I70" s="394" t="n"/>
      <c r="J70" s="394" t="n"/>
      <c r="K70" s="394" t="n"/>
      <c r="L70" s="394" t="n"/>
      <c r="M70" s="394" t="n"/>
      <c r="N70" s="394" t="n"/>
    </row>
    <row r="71">
      <c r="A71" s="394" t="n"/>
      <c r="B71" s="394" t="n"/>
      <c r="C71" s="394" t="n"/>
      <c r="D71" s="394" t="n"/>
      <c r="E71" s="394" t="n"/>
      <c r="F71" s="394" t="n"/>
      <c r="G71" s="394" t="n"/>
      <c r="H71" s="394" t="n"/>
      <c r="I71" s="394" t="n"/>
      <c r="J71" s="394" t="n"/>
      <c r="K71" s="394" t="n"/>
      <c r="L71" s="394" t="n"/>
      <c r="M71" s="394" t="n"/>
      <c r="N71" s="394" t="n"/>
    </row>
    <row r="72" ht="15.6" customHeight="1" s="632">
      <c r="A72" s="608" t="inlineStr">
        <is>
          <t>Valuation Bridge</t>
        </is>
      </c>
      <c r="B72" s="699" t="n"/>
      <c r="C72" s="699" t="n"/>
      <c r="D72" s="699" t="n"/>
      <c r="E72" s="394" t="n"/>
      <c r="F72" s="394" t="n"/>
      <c r="G72" s="394" t="n"/>
      <c r="H72" s="394" t="n"/>
      <c r="I72" s="394" t="n"/>
      <c r="J72" s="394" t="n"/>
      <c r="K72" s="394" t="n"/>
      <c r="L72" s="394" t="n"/>
      <c r="M72" s="394" t="n"/>
      <c r="N72" s="394" t="n"/>
    </row>
    <row r="73">
      <c r="A73" s="539" t="inlineStr">
        <is>
          <t>Method</t>
        </is>
      </c>
      <c r="B73" s="539" t="inlineStr">
        <is>
          <t>Multiple</t>
        </is>
      </c>
      <c r="C73" s="539" t="inlineStr">
        <is>
          <t>Metric</t>
        </is>
      </c>
      <c r="D73" s="539" t="inlineStr">
        <is>
          <t>EV</t>
        </is>
      </c>
      <c r="E73" s="394" t="n"/>
      <c r="F73" s="394" t="n"/>
      <c r="G73" s="394" t="n"/>
      <c r="H73" s="394" t="n"/>
      <c r="I73" s="394" t="n"/>
      <c r="J73" s="394" t="n"/>
      <c r="K73" s="394" t="n"/>
      <c r="L73" s="707" t="inlineStr">
        <is>
          <t>Ref</t>
        </is>
      </c>
      <c r="M73" s="394" t="n"/>
      <c r="N73" s="394" t="n"/>
    </row>
    <row r="74">
      <c r="A74" s="670" t="inlineStr">
        <is>
          <t>EV/EBITDA</t>
        </is>
      </c>
      <c r="B74" s="1124">
        <f>$B$55</f>
        <v/>
      </c>
      <c r="C74" s="1073">
        <f>'EBITDA Model'!$C$103</f>
        <v/>
      </c>
      <c r="D74" s="1079">
        <f>IFERROR(B74*C74,"")</f>
        <v/>
      </c>
      <c r="E74" s="394" t="n"/>
      <c r="F74" s="394" t="n"/>
      <c r="G74" s="394" t="n"/>
      <c r="H74" s="394" t="n"/>
      <c r="I74" s="394" t="n"/>
      <c r="J74" s="394" t="n"/>
      <c r="K74" s="394" t="n"/>
      <c r="L74" s="394" t="n"/>
      <c r="M74" s="394" t="n"/>
      <c r="N74" s="394" t="n"/>
    </row>
    <row r="75">
      <c r="A75" s="670" t="inlineStr">
        <is>
          <t>EV/Sales</t>
        </is>
      </c>
      <c r="B75" s="1124">
        <f>$C$55</f>
        <v/>
      </c>
      <c r="C75" s="1073">
        <f>'Revenue Forecast'!$C$96</f>
        <v/>
      </c>
      <c r="D75" s="1079">
        <f>IFERROR(B75*C75,"")</f>
        <v/>
      </c>
      <c r="E75" s="394" t="n"/>
      <c r="F75" s="394" t="n"/>
      <c r="G75" s="394" t="n"/>
      <c r="H75" s="394" t="n"/>
      <c r="I75" s="394" t="n"/>
      <c r="J75" s="394" t="n"/>
      <c r="K75" s="394" t="n"/>
      <c r="L75" s="394" t="n"/>
      <c r="M75" s="394" t="n"/>
      <c r="N75" s="394" t="n"/>
    </row>
    <row r="76">
      <c r="A76" s="670" t="inlineStr">
        <is>
          <t>P/E</t>
        </is>
      </c>
      <c r="B76" s="1123">
        <f>$D$55</f>
        <v/>
      </c>
      <c r="C76" s="1079">
        <f>('EBITDA Model'!$C$103-'Cash Flow Model'!$C$99)*(1-'Cash Flow Model'!$C$101)</f>
        <v/>
      </c>
      <c r="D76" s="1079">
        <f>IFERROR(B76*C76+'Capital Allocation'!$C$80,"")</f>
        <v/>
      </c>
      <c r="E76" s="394" t="n"/>
      <c r="F76" s="394" t="n"/>
      <c r="G76" s="394" t="n"/>
      <c r="H76" s="394" t="n"/>
      <c r="I76" s="394" t="n"/>
      <c r="J76" s="394" t="n"/>
      <c r="K76" s="394" t="n"/>
      <c r="L76" s="394" t="n"/>
      <c r="M76" s="394" t="n"/>
      <c r="N76" s="394" t="n"/>
    </row>
    <row r="77">
      <c r="A77" s="670" t="inlineStr">
        <is>
          <t>P/B</t>
        </is>
      </c>
      <c r="B77" s="1124">
        <f>$E$55</f>
        <v/>
      </c>
      <c r="C77" s="1079">
        <f>('EBITDA Model'!$C$103-'Cash Flow Model'!$C$99)*(1-'Cash Flow Model'!$C$101)/$J$77</f>
        <v/>
      </c>
      <c r="D77" s="1079">
        <f>IFERROR(B77*C77+'Capital Allocation'!$C$80,"")</f>
        <v/>
      </c>
      <c r="E77" s="394" t="n"/>
      <c r="F77" s="394" t="n"/>
      <c r="G77" s="394" t="n"/>
      <c r="H77" s="394" t="n"/>
      <c r="I77" s="394" t="n"/>
      <c r="J77" s="1148" t="n">
        <v>0.11</v>
      </c>
      <c r="K77" s="394" t="n"/>
      <c r="L77" s="708" t="inlineStr">
        <is>
          <t>VL08</t>
        </is>
      </c>
      <c r="M77" s="394" t="n"/>
      <c r="N77" s="394" t="n"/>
    </row>
    <row r="78">
      <c r="A78" s="670" t="inlineStr">
        <is>
          <t>EV/Capacity</t>
        </is>
      </c>
      <c r="B78" s="997">
        <f>$F$55</f>
        <v/>
      </c>
      <c r="C78" s="828">
        <f>'Capacity Forecast'!$C$101</f>
        <v/>
      </c>
      <c r="D78" s="1079">
        <f>IFERROR(B78*C78/10,"")</f>
        <v/>
      </c>
      <c r="E78" s="394" t="n"/>
      <c r="F78" s="394" t="n"/>
      <c r="G78" s="394" t="n"/>
      <c r="H78" s="394" t="n"/>
      <c r="I78" s="394" t="n"/>
      <c r="J78" s="394" t="n"/>
      <c r="K78" s="394" t="n"/>
      <c r="L78" s="394" t="n"/>
      <c r="M78" s="394" t="n"/>
      <c r="N78" s="394" t="n"/>
    </row>
    <row r="79">
      <c r="A79" s="670" t="inlineStr">
        <is>
          <t>EV/Production</t>
        </is>
      </c>
      <c r="B79" s="997">
        <f>$G$55</f>
        <v/>
      </c>
      <c r="C79" s="828">
        <f>'Steel Supply Model'!$C$101</f>
        <v/>
      </c>
      <c r="D79" s="1079">
        <f>IFERROR(B79*C79/10,"")</f>
        <v/>
      </c>
      <c r="E79" s="394" t="n"/>
      <c r="F79" s="394" t="n"/>
      <c r="G79" s="394" t="n"/>
      <c r="H79" s="394" t="n"/>
      <c r="I79" s="394" t="n"/>
      <c r="J79" s="394" t="n"/>
      <c r="K79" s="394" t="n"/>
      <c r="L79" s="394" t="n"/>
      <c r="M79" s="394" t="n"/>
      <c r="N79" s="394" t="n"/>
    </row>
    <row r="80">
      <c r="A80" s="394" t="n"/>
      <c r="B80" s="394" t="n"/>
      <c r="C80" s="394" t="n"/>
      <c r="D80" s="394" t="n"/>
      <c r="E80" s="394" t="n"/>
      <c r="F80" s="394" t="n"/>
      <c r="G80" s="394" t="n"/>
      <c r="H80" s="394" t="n"/>
      <c r="I80" s="394" t="n"/>
      <c r="J80" s="394" t="n"/>
      <c r="K80" s="394" t="n"/>
      <c r="L80" s="394" t="n"/>
      <c r="M80" s="394" t="n"/>
      <c r="N80" s="394" t="n"/>
    </row>
    <row r="81">
      <c r="A81" s="394" t="n"/>
      <c r="B81" s="394" t="n"/>
      <c r="C81" s="394" t="n"/>
      <c r="D81" s="394" t="n"/>
      <c r="E81" s="394" t="n"/>
      <c r="F81" s="394" t="n"/>
      <c r="G81" s="394" t="n"/>
      <c r="H81" s="394" t="n"/>
      <c r="I81" s="394" t="n"/>
      <c r="J81" s="394" t="n"/>
      <c r="K81" s="394" t="n"/>
      <c r="L81" s="394" t="n"/>
      <c r="M81" s="394" t="n"/>
      <c r="N81" s="394" t="n"/>
    </row>
    <row r="82" ht="15.6" customHeight="1" s="632">
      <c r="A82" s="608" t="inlineStr">
        <is>
          <t>Implied Enterprise Valuation</t>
        </is>
      </c>
      <c r="B82" s="699" t="n"/>
      <c r="C82" s="699" t="n"/>
      <c r="D82" s="699" t="n"/>
      <c r="E82" s="394" t="n"/>
      <c r="F82" s="394" t="n"/>
      <c r="G82" s="394" t="n"/>
      <c r="H82" s="394" t="n"/>
      <c r="I82" s="394" t="n"/>
      <c r="J82" s="394" t="n"/>
      <c r="K82" s="394" t="n"/>
      <c r="L82" s="394" t="n"/>
      <c r="M82" s="394" t="n"/>
      <c r="N82" s="394" t="n"/>
    </row>
    <row r="83">
      <c r="A83" s="539" t="inlineStr">
        <is>
          <t>Method</t>
        </is>
      </c>
      <c r="B83" s="539" t="inlineStr">
        <is>
          <t>Method</t>
        </is>
      </c>
      <c r="C83" s="539" t="inlineStr">
        <is>
          <t>Method</t>
        </is>
      </c>
      <c r="D83" s="539" t="inlineStr">
        <is>
          <t>Method</t>
        </is>
      </c>
      <c r="E83" s="394" t="n"/>
      <c r="F83" s="707" t="inlineStr">
        <is>
          <t>Ref</t>
        </is>
      </c>
      <c r="G83" s="394" t="n"/>
      <c r="H83" s="394" t="n"/>
      <c r="I83" s="394" t="n"/>
      <c r="J83" s="394" t="n"/>
      <c r="K83" s="394" t="n"/>
      <c r="L83" s="394" t="n"/>
      <c r="M83" s="394" t="n"/>
      <c r="N83" s="394" t="n"/>
    </row>
    <row r="84">
      <c r="A84" s="670" t="inlineStr">
        <is>
          <t>EV/EBITDA</t>
        </is>
      </c>
      <c r="B84" s="1079">
        <f>IFERROR($D74,"")</f>
        <v/>
      </c>
      <c r="C84" s="1002">
        <f>IFERROR(B84/'Capacity Forecast'!$C$101*10,"")</f>
        <v/>
      </c>
      <c r="D84" s="954">
        <f>IFERROR(B84/$E$121,"")</f>
        <v/>
      </c>
      <c r="E84" s="394" t="n"/>
      <c r="F84" s="394" t="n"/>
      <c r="G84" s="394" t="n"/>
      <c r="H84" s="394" t="n"/>
      <c r="I84" s="394" t="n"/>
      <c r="J84" s="394" t="n"/>
      <c r="K84" s="394" t="n"/>
      <c r="L84" s="394" t="n"/>
      <c r="M84" s="394" t="n"/>
      <c r="N84" s="394" t="n"/>
    </row>
    <row r="85">
      <c r="A85" s="670" t="inlineStr">
        <is>
          <t>EV/Sales</t>
        </is>
      </c>
      <c r="B85" s="1079">
        <f>IFERROR($D75,"")</f>
        <v/>
      </c>
      <c r="C85" s="1002">
        <f>IFERROR(B85/'Capacity Forecast'!$C$101*10,"")</f>
        <v/>
      </c>
      <c r="D85" s="954">
        <f>IFERROR(B85/$E$121,"")</f>
        <v/>
      </c>
      <c r="E85" s="394" t="n"/>
      <c r="F85" s="394" t="n"/>
      <c r="G85" s="394" t="n"/>
      <c r="H85" s="394" t="n"/>
      <c r="I85" s="394" t="n"/>
      <c r="J85" s="394" t="n"/>
      <c r="K85" s="394" t="n"/>
      <c r="L85" s="394" t="n"/>
      <c r="M85" s="394" t="n"/>
      <c r="N85" s="394" t="n"/>
    </row>
    <row r="86">
      <c r="A86" s="670" t="inlineStr">
        <is>
          <t>P/E</t>
        </is>
      </c>
      <c r="B86" s="1079">
        <f>IFERROR($D76,"")</f>
        <v/>
      </c>
      <c r="C86" s="1002">
        <f>IFERROR(B86/'Capacity Forecast'!$C$101*10,"")</f>
        <v/>
      </c>
      <c r="D86" s="954">
        <f>IFERROR(B86/$E$121,"")</f>
        <v/>
      </c>
      <c r="E86" s="394" t="n"/>
      <c r="F86" s="394" t="n"/>
      <c r="G86" s="394" t="n"/>
      <c r="H86" s="394" t="n"/>
      <c r="I86" s="394" t="n"/>
      <c r="J86" s="394" t="n"/>
      <c r="K86" s="394" t="n"/>
      <c r="L86" s="394" t="n"/>
      <c r="M86" s="394" t="n"/>
      <c r="N86" s="394" t="n"/>
    </row>
    <row r="87">
      <c r="A87" s="670" t="inlineStr">
        <is>
          <t>P/B</t>
        </is>
      </c>
      <c r="B87" s="1079">
        <f>IFERROR($D77,"")</f>
        <v/>
      </c>
      <c r="C87" s="1002">
        <f>IFERROR(B87/'Capacity Forecast'!$C$101*10,"")</f>
        <v/>
      </c>
      <c r="D87" s="954">
        <f>IFERROR(B87/$E$121,"")</f>
        <v/>
      </c>
      <c r="E87" s="394" t="n"/>
      <c r="F87" s="394" t="n"/>
      <c r="G87" s="394" t="n"/>
      <c r="H87" s="394" t="n"/>
      <c r="I87" s="394" t="n"/>
      <c r="J87" s="394" t="n"/>
      <c r="K87" s="394" t="n"/>
      <c r="L87" s="394" t="n"/>
      <c r="M87" s="394" t="n"/>
      <c r="N87" s="394" t="n"/>
    </row>
    <row r="88">
      <c r="A88" s="670" t="inlineStr">
        <is>
          <t>EV/Capacity</t>
        </is>
      </c>
      <c r="B88" s="1079">
        <f>IFERROR($D78,"")</f>
        <v/>
      </c>
      <c r="C88" s="1002">
        <f>IFERROR(B88/'Capacity Forecast'!$C$101*10,"")</f>
        <v/>
      </c>
      <c r="D88" s="954">
        <f>IFERROR(B88/$E$121,"")</f>
        <v/>
      </c>
      <c r="E88" s="394" t="n"/>
      <c r="F88" s="394" t="n"/>
      <c r="G88" s="394" t="n"/>
      <c r="H88" s="394" t="n"/>
      <c r="I88" s="394" t="n"/>
      <c r="J88" s="394" t="n"/>
      <c r="K88" s="394" t="n"/>
      <c r="L88" s="394" t="n"/>
      <c r="M88" s="394" t="n"/>
      <c r="N88" s="394" t="n"/>
    </row>
    <row r="89">
      <c r="A89" s="670" t="inlineStr">
        <is>
          <t>Average</t>
        </is>
      </c>
      <c r="B89" s="1079">
        <f>IFERROR(AVERAGE(B84:B88),"")</f>
        <v/>
      </c>
      <c r="C89" s="1002">
        <f>IFERROR(B89/'Capacity Forecast'!$C$101*10,"")</f>
        <v/>
      </c>
      <c r="D89" s="954">
        <f>IFERROR(B89/$E$121,"")</f>
        <v/>
      </c>
      <c r="E89" s="394" t="n"/>
      <c r="F89" s="708" t="inlineStr">
        <is>
          <t>VL09</t>
        </is>
      </c>
      <c r="G89" s="394" t="n"/>
      <c r="H89" s="394" t="n"/>
      <c r="I89" s="394" t="n"/>
      <c r="J89" s="394" t="n"/>
      <c r="K89" s="394" t="n"/>
      <c r="L89" s="394" t="n"/>
      <c r="M89" s="394" t="n"/>
      <c r="N89" s="394" t="n"/>
    </row>
    <row r="90">
      <c r="A90" s="394" t="n"/>
      <c r="B90" s="394" t="n"/>
      <c r="C90" s="394" t="n"/>
      <c r="D90" s="394" t="n"/>
      <c r="E90" s="394" t="n"/>
      <c r="F90" s="394" t="n"/>
      <c r="G90" s="394" t="n"/>
      <c r="H90" s="394" t="n"/>
      <c r="I90" s="394" t="n"/>
      <c r="J90" s="394" t="n"/>
      <c r="K90" s="394" t="n"/>
      <c r="L90" s="394" t="n"/>
      <c r="M90" s="394" t="n"/>
      <c r="N90" s="394" t="n"/>
    </row>
    <row r="91">
      <c r="A91" s="394" t="n"/>
      <c r="B91" s="394" t="n"/>
      <c r="C91" s="394" t="n"/>
      <c r="D91" s="394" t="n"/>
      <c r="E91" s="394" t="n"/>
      <c r="F91" s="394" t="n"/>
      <c r="G91" s="394" t="n"/>
      <c r="H91" s="394" t="n"/>
      <c r="I91" s="394" t="n"/>
      <c r="J91" s="394" t="n"/>
      <c r="K91" s="394" t="n"/>
      <c r="L91" s="394" t="n"/>
      <c r="M91" s="394" t="n"/>
      <c r="N91" s="394" t="n"/>
    </row>
    <row r="92" ht="15.6" customHeight="1" s="632">
      <c r="A92" s="608" t="inlineStr">
        <is>
          <t>Scenario Valuation</t>
        </is>
      </c>
      <c r="B92" s="699" t="n"/>
      <c r="C92" s="699" t="n"/>
      <c r="D92" s="612" t="n"/>
      <c r="E92" s="394" t="n"/>
      <c r="F92" s="394" t="n"/>
      <c r="G92" s="394" t="n"/>
      <c r="H92" s="394" t="n"/>
      <c r="I92" s="394" t="n"/>
      <c r="J92" s="394" t="n"/>
      <c r="K92" s="394" t="n"/>
      <c r="L92" s="394" t="n"/>
      <c r="M92" s="394" t="n"/>
      <c r="N92" s="394" t="n"/>
    </row>
    <row r="93">
      <c r="A93" s="539" t="inlineStr">
        <is>
          <t>Scenario</t>
        </is>
      </c>
      <c r="B93" s="539" t="inlineStr">
        <is>
          <t>EV/EBITDA</t>
        </is>
      </c>
      <c r="C93" s="539" t="inlineStr">
        <is>
          <t>EV</t>
        </is>
      </c>
      <c r="D93" s="394" t="n"/>
      <c r="E93" s="707" t="inlineStr">
        <is>
          <t>Ref</t>
        </is>
      </c>
      <c r="F93" s="394" t="n"/>
      <c r="G93" s="394" t="n"/>
      <c r="H93" s="394" t="n"/>
      <c r="I93" s="394" t="n"/>
      <c r="J93" s="394" t="n"/>
      <c r="K93" s="394" t="n"/>
      <c r="L93" s="394" t="n"/>
      <c r="M93" s="394" t="n"/>
      <c r="N93" s="394" t="n"/>
    </row>
    <row r="94">
      <c r="A94" s="670" t="inlineStr">
        <is>
          <t>Base</t>
        </is>
      </c>
      <c r="B94" s="1123">
        <f>'Model Assumptions'!$K$110</f>
        <v/>
      </c>
      <c r="C94" s="1073">
        <f>'Scenario Manager'!$J$155</f>
        <v/>
      </c>
      <c r="D94" s="394" t="n"/>
      <c r="E94" s="708" t="inlineStr">
        <is>
          <t>VL10</t>
        </is>
      </c>
      <c r="F94" s="394" t="n"/>
      <c r="G94" s="394" t="n"/>
      <c r="H94" s="394" t="n"/>
      <c r="I94" s="394" t="n"/>
      <c r="J94" s="394" t="n"/>
      <c r="K94" s="394" t="n"/>
      <c r="L94" s="394" t="n"/>
      <c r="M94" s="394" t="n"/>
      <c r="N94" s="394" t="n"/>
    </row>
    <row r="95">
      <c r="A95" s="670" t="inlineStr">
        <is>
          <t>Bull</t>
        </is>
      </c>
      <c r="B95" s="1123">
        <f>'Model Assumptions'!$K$111</f>
        <v/>
      </c>
      <c r="C95" s="1073">
        <f>'Scenario Manager'!$J$231</f>
        <v/>
      </c>
      <c r="D95" s="394" t="n"/>
      <c r="E95" s="394" t="n"/>
      <c r="F95" s="394" t="n"/>
      <c r="G95" s="394" t="n"/>
      <c r="H95" s="394" t="n"/>
      <c r="I95" s="394" t="n"/>
      <c r="J95" s="394" t="n"/>
      <c r="K95" s="394" t="n"/>
      <c r="L95" s="394" t="n"/>
      <c r="M95" s="394" t="n"/>
      <c r="N95" s="394" t="n"/>
    </row>
    <row r="96">
      <c r="A96" s="670" t="inlineStr">
        <is>
          <t>Bear</t>
        </is>
      </c>
      <c r="B96" s="1123">
        <f>'Model Assumptions'!$K$112</f>
        <v/>
      </c>
      <c r="C96" s="1073">
        <f>'Scenario Manager'!$J$307</f>
        <v/>
      </c>
      <c r="D96" s="394" t="n"/>
      <c r="E96" s="394" t="n"/>
      <c r="F96" s="394" t="n"/>
      <c r="G96" s="394" t="n"/>
      <c r="H96" s="394" t="n"/>
      <c r="I96" s="394" t="n"/>
      <c r="J96" s="394" t="n"/>
      <c r="K96" s="394" t="n"/>
      <c r="L96" s="394" t="n"/>
      <c r="M96" s="394" t="n"/>
      <c r="N96" s="394" t="n"/>
    </row>
    <row r="97">
      <c r="A97" s="670" t="inlineStr">
        <is>
          <t>Stress</t>
        </is>
      </c>
      <c r="B97" s="1123">
        <f>'Model Assumptions'!$K$113</f>
        <v/>
      </c>
      <c r="C97" s="1073">
        <f>'Scenario Manager'!$J$383</f>
        <v/>
      </c>
      <c r="D97" s="394" t="n"/>
      <c r="E97" s="394" t="n"/>
      <c r="F97" s="394" t="n"/>
      <c r="G97" s="394" t="n"/>
      <c r="H97" s="394" t="n"/>
      <c r="I97" s="394" t="n"/>
      <c r="J97" s="394" t="n"/>
      <c r="K97" s="394" t="n"/>
      <c r="L97" s="394" t="n"/>
      <c r="M97" s="394" t="n"/>
      <c r="N97" s="394" t="n"/>
    </row>
    <row r="98">
      <c r="A98" s="394" t="n"/>
      <c r="B98" s="394" t="n"/>
      <c r="C98" s="394" t="n"/>
      <c r="D98" s="394" t="n"/>
      <c r="E98" s="394" t="n"/>
      <c r="F98" s="394" t="n"/>
      <c r="G98" s="394" t="n"/>
      <c r="H98" s="394" t="n"/>
      <c r="I98" s="394" t="n"/>
      <c r="J98" s="394" t="n"/>
      <c r="K98" s="394" t="n"/>
      <c r="L98" s="394" t="n"/>
      <c r="M98" s="394" t="n"/>
      <c r="N98" s="394" t="n"/>
    </row>
    <row r="99">
      <c r="A99" s="394" t="n"/>
      <c r="B99" s="394" t="n"/>
      <c r="C99" s="394" t="n"/>
      <c r="D99" s="394" t="n"/>
      <c r="E99" s="394" t="n"/>
      <c r="F99" s="394" t="n"/>
      <c r="G99" s="394" t="n"/>
      <c r="H99" s="394" t="n"/>
      <c r="I99" s="394" t="n"/>
      <c r="J99" s="394" t="n"/>
      <c r="K99" s="394" t="n"/>
      <c r="L99" s="394" t="n"/>
      <c r="M99" s="394" t="n"/>
      <c r="N99" s="394" t="n"/>
    </row>
    <row r="100">
      <c r="A100" s="394" t="n"/>
      <c r="B100" s="394" t="n"/>
      <c r="C100" s="394" t="n"/>
      <c r="D100" s="394" t="n"/>
      <c r="E100" s="394" t="n"/>
      <c r="F100" s="394" t="n"/>
      <c r="G100" s="394" t="n"/>
      <c r="H100" s="394" t="n"/>
      <c r="I100" s="394" t="n"/>
      <c r="J100" s="394" t="n"/>
      <c r="K100" s="394" t="n"/>
      <c r="L100" s="394" t="n"/>
      <c r="M100" s="394" t="n"/>
      <c r="N100" s="394" t="n"/>
    </row>
    <row r="101">
      <c r="A101" s="394" t="n"/>
      <c r="B101" s="394" t="n"/>
      <c r="C101" s="394" t="n"/>
      <c r="D101" s="394" t="n"/>
      <c r="E101" s="394" t="n"/>
      <c r="F101" s="394" t="n"/>
      <c r="G101" s="394" t="n"/>
      <c r="H101" s="394" t="n"/>
      <c r="I101" s="394" t="n"/>
      <c r="J101" s="394" t="n"/>
      <c r="K101" s="394" t="n"/>
      <c r="L101" s="394" t="n"/>
      <c r="M101" s="394" t="n"/>
      <c r="N101" s="394" t="n"/>
    </row>
    <row r="102">
      <c r="A102" s="394" t="n"/>
      <c r="B102" s="394" t="n"/>
      <c r="C102" s="394" t="n"/>
      <c r="D102" s="394" t="n"/>
      <c r="E102" s="394" t="n"/>
      <c r="F102" s="394" t="n"/>
      <c r="G102" s="394" t="n"/>
      <c r="H102" s="394" t="n"/>
      <c r="I102" s="394" t="n"/>
      <c r="J102" s="394" t="n"/>
      <c r="K102" s="394" t="n"/>
      <c r="L102" s="394" t="n"/>
      <c r="M102" s="394" t="n"/>
      <c r="N102" s="394" t="n"/>
    </row>
    <row r="103">
      <c r="A103" s="394" t="n"/>
      <c r="B103" s="394" t="n"/>
      <c r="C103" s="394" t="n"/>
      <c r="D103" s="394" t="n"/>
      <c r="E103" s="394" t="n"/>
      <c r="F103" s="394" t="n"/>
      <c r="G103" s="394" t="n"/>
      <c r="H103" s="394" t="n"/>
      <c r="I103" s="394" t="n"/>
      <c r="J103" s="394" t="n"/>
      <c r="K103" s="394" t="n"/>
      <c r="L103" s="394" t="n"/>
      <c r="M103" s="394" t="n"/>
      <c r="N103" s="394" t="n"/>
    </row>
    <row r="104">
      <c r="A104" s="394" t="n"/>
      <c r="B104" s="394" t="n"/>
      <c r="C104" s="394" t="n"/>
      <c r="D104" s="394" t="n"/>
      <c r="E104" s="394" t="n"/>
      <c r="F104" s="394" t="n"/>
      <c r="G104" s="394" t="n"/>
      <c r="H104" s="394" t="n"/>
      <c r="I104" s="394" t="n"/>
      <c r="J104" s="394" t="n"/>
      <c r="K104" s="394" t="n"/>
      <c r="L104" s="394" t="n"/>
      <c r="M104" s="394" t="n"/>
      <c r="N104" s="394" t="n"/>
    </row>
    <row r="105">
      <c r="A105" s="415" t="n"/>
    </row>
    <row r="106">
      <c r="A106" s="402" t="inlineStr">
        <is>
          <t>A - TRADING COMPARABLES (enter share prices in the shaded column)</t>
        </is>
      </c>
      <c r="P106" s="707" t="inlineStr">
        <is>
          <t>Ref</t>
        </is>
      </c>
    </row>
    <row r="107" ht="41.4" customHeight="1" s="632">
      <c r="A107" s="25" t="inlineStr">
        <is>
          <t>Company</t>
        </is>
      </c>
      <c r="B107" s="26" t="inlineStr">
        <is>
          <t>FY2026 EBITDA (Rs cr)</t>
        </is>
      </c>
      <c r="C107" s="26" t="inlineStr">
        <is>
          <t>Net debt (Rs cr)</t>
        </is>
      </c>
      <c r="D107" s="26" t="inlineStr">
        <is>
          <t>PAT (Rs cr)</t>
        </is>
      </c>
      <c r="E107" s="26" t="inlineStr">
        <is>
          <t>EPS (Rs)</t>
        </is>
      </c>
      <c r="F107" s="26" t="inlineStr">
        <is>
          <t>Shares (cr) - derived</t>
        </is>
      </c>
      <c r="G107" s="26" t="inlineStr">
        <is>
          <t>Share price (Rs) - USER INPUT</t>
        </is>
      </c>
      <c r="H107" s="26" t="inlineStr">
        <is>
          <t>Market cap (Rs cr)</t>
        </is>
      </c>
      <c r="I107" s="26" t="inlineStr">
        <is>
          <t>EV (Rs cr)</t>
        </is>
      </c>
      <c r="J107" s="26" t="inlineStr">
        <is>
          <t>EV/EBITDA (x)</t>
        </is>
      </c>
      <c r="K107" s="26" t="inlineStr">
        <is>
          <t>Capacity (Mtpa)</t>
        </is>
      </c>
      <c r="L107" s="26" t="inlineStr">
        <is>
          <t>EV per tonne (Rs/t)</t>
        </is>
      </c>
      <c r="M107" s="26" t="inlineStr">
        <is>
          <t>Conf.</t>
        </is>
      </c>
      <c r="N107" s="42" t="inlineStr">
        <is>
          <t>Notes</t>
        </is>
      </c>
      <c r="P107" s="708" t="inlineStr">
        <is>
          <t>VL13</t>
        </is>
      </c>
    </row>
    <row r="108" ht="72" customHeight="1" s="632">
      <c r="A108" s="60" t="inlineStr">
        <is>
          <t>Tata Steel</t>
        </is>
      </c>
      <c r="B108" s="1022" t="n">
        <v>34272</v>
      </c>
      <c r="C108" s="1022" t="n">
        <v>80144</v>
      </c>
      <c r="D108" s="1022" t="n">
        <v>10886</v>
      </c>
      <c r="E108" s="907" t="n">
        <v>8.65</v>
      </c>
      <c r="F108" s="952">
        <f>D108/E108</f>
        <v/>
      </c>
      <c r="G108" s="1151" t="n">
        <v>190</v>
      </c>
      <c r="H108" s="1022">
        <f>IFERROR(F108*G108,"")</f>
        <v/>
      </c>
      <c r="I108" s="1022">
        <f>IFERROR(H108+C108,"")</f>
        <v/>
      </c>
      <c r="J108" s="92">
        <f>IFERROR(I108/B108,"")</f>
        <v/>
      </c>
      <c r="K108" s="907" t="n">
        <v>26</v>
      </c>
      <c r="L108" s="1214">
        <f>IFERROR(I108/K108*10,"")</f>
        <v/>
      </c>
      <c r="M108" s="352" t="inlineStr">
        <is>
          <t>Medium</t>
        </is>
      </c>
      <c r="N108" s="47" t="inlineStr">
        <is>
          <t>India segment used for volume and margin. Netherlands carries a disclosed material uncertainty related to going concern (Master DB, policy P18) - the single largest identifiable downside in the universe and NOT captured in this industry model, which forecasts India only. Capacity basis: INDICATIVE - Tata Steel discloses 35 Mtpa GLOBAL group crude steel capacity. The India component is not separately disclosed in the database; 26 Mtpa is inferred from FY2026 India crude steel production of 23.43 Mt at roughly 90% utilisation and is flagged Low confidence.</t>
        </is>
      </c>
      <c r="P108" s="708" t="inlineStr">
        <is>
          <t>VL14</t>
        </is>
      </c>
    </row>
    <row r="109" ht="84" customHeight="1" s="632">
      <c r="A109" s="60" t="inlineStr">
        <is>
          <t>JSW Steel</t>
        </is>
      </c>
      <c r="B109" s="1022" t="n">
        <v>29240</v>
      </c>
      <c r="C109" s="1022" t="n">
        <v>53870</v>
      </c>
      <c r="D109" s="1022" t="n">
        <v>25508</v>
      </c>
      <c r="E109" s="907" t="n">
        <v>91.26000000000001</v>
      </c>
      <c r="F109" s="952">
        <f>D109/E109</f>
        <v/>
      </c>
      <c r="G109" s="1151" t="n">
        <v>1280</v>
      </c>
      <c r="H109" s="1022">
        <f>IFERROR(F109*G109,"")</f>
        <v/>
      </c>
      <c r="I109" s="1022">
        <f>IFERROR(H109+C109,"")</f>
        <v/>
      </c>
      <c r="J109" s="92">
        <f>IFERROR(I109/B109,"")</f>
        <v/>
      </c>
      <c r="K109" s="907" t="n">
        <v>31.9</v>
      </c>
      <c r="L109" s="1214">
        <f>IFERROR(I109/K109*10,"")</f>
        <v/>
      </c>
      <c r="M109" s="352" t="inlineStr">
        <is>
          <t>Medium</t>
        </is>
      </c>
      <c r="N109" s="47" t="inlineStr">
        <is>
          <t>FY2027 additions include BMM Ispat (0.90 Mtpa), an acquisition of existing capacity: it adds to JSW but NOT to national capacity. BPSL was deconsolidated from 27-Mar-2026, so FY2026 to FY2027 company volumes are not like-for-like. DERIVED SHARE COUNT IS UNRELIABLE for JSW: PAT of Rs 25,508 cr includes the Rs 18,051 cr BPSL slump-sale gain while EPS of Rs 91.26 is on profit attributable to owners, so PAT/EPS overstates the share count by roughly 15%. Overwrite column G with the actual count. Capacity basis: JSW Steel India existing capacity, disclosed. Cross-checked: FY2026 India production of 29.25 Mt at the stated 92% utilisation implies 31.8 Mtpa.</t>
        </is>
      </c>
      <c r="P109" s="708" t="inlineStr">
        <is>
          <t>VL15</t>
        </is>
      </c>
    </row>
    <row r="110" ht="48" customHeight="1" s="632">
      <c r="A110" s="60" t="inlineStr">
        <is>
          <t>SAIL</t>
        </is>
      </c>
      <c r="B110" s="1022" t="n">
        <v>13146</v>
      </c>
      <c r="C110" s="1022" t="n">
        <v>31928</v>
      </c>
      <c r="D110" s="1022" t="n">
        <v>3373</v>
      </c>
      <c r="E110" s="907" t="n">
        <v>8.17</v>
      </c>
      <c r="F110" s="952">
        <f>D110/E110</f>
        <v/>
      </c>
      <c r="G110" s="1151" t="n">
        <v>165</v>
      </c>
      <c r="H110" s="1022">
        <f>IFERROR(F110*G110,"")</f>
        <v/>
      </c>
      <c r="I110" s="1022">
        <f>IFERROR(H110+C110,"")</f>
        <v/>
      </c>
      <c r="J110" s="92">
        <f>IFERROR(I110/B110,"")</f>
        <v/>
      </c>
      <c r="K110" s="907" t="n">
        <v>19.676</v>
      </c>
      <c r="L110" s="1214">
        <f>IFERROR(I110/K110*10,"")</f>
        <v/>
      </c>
      <c r="M110" s="352" t="inlineStr">
        <is>
          <t>Medium</t>
        </is>
      </c>
      <c r="N110" s="47" t="inlineStr">
        <is>
          <t>EBITDA per tonne is struck on the STANDALONE EBITDA headline over standalone sales volume. Do not pair a consolidated enterprise value with this EBITDA - see Master DB Conflict C09. Capacity basis: SAIL crude steel operating capacity per Ministry of Steel, Rajya Sabha USQ 3982 answered 27-Mar-2026.</t>
        </is>
      </c>
      <c r="P110" s="708" t="inlineStr">
        <is>
          <t>VL16</t>
        </is>
      </c>
    </row>
    <row r="111" ht="48" customHeight="1" s="632">
      <c r="A111" s="60" t="inlineStr">
        <is>
          <t>Jindal Steel</t>
        </is>
      </c>
      <c r="B111" s="1022" t="n">
        <v>9660</v>
      </c>
      <c r="C111" s="1022" t="n">
        <v>16019</v>
      </c>
      <c r="D111" s="1022" t="n">
        <v>3361</v>
      </c>
      <c r="E111" s="907" t="n">
        <v>33.01</v>
      </c>
      <c r="F111" s="952">
        <f>D111/E111</f>
        <v/>
      </c>
      <c r="G111" s="1151" t="n">
        <v>1105</v>
      </c>
      <c r="H111" s="1022">
        <f>IFERROR(F111*G111,"")</f>
        <v/>
      </c>
      <c r="I111" s="1022">
        <f>IFERROR(H111+C111,"")</f>
        <v/>
      </c>
      <c r="J111" s="92">
        <f>IFERROR(I111/B111,"")</f>
        <v/>
      </c>
      <c r="K111" s="907" t="n">
        <v>15.6</v>
      </c>
      <c r="L111" s="1214">
        <f>IFERROR(I111/K111*10,"")</f>
        <v/>
      </c>
      <c r="M111" s="352" t="inlineStr">
        <is>
          <t>Medium</t>
        </is>
      </c>
      <c r="N111" s="47" t="inlineStr">
        <is>
          <t>Capacity rose from 9.6 to 15.6 Mtpa in FY2026, so FY2027 volume growth comes from utilising capacity already built rather than from new additions. Company guidance for FY2027 is 11.0-11.5 Mt of production against 9.25 Mt in FY2026. Capacity basis: Jindal Steel total steelmaking capacity entering FY2027, disclosed.</t>
        </is>
      </c>
      <c r="P111" s="708" t="inlineStr">
        <is>
          <t>VL17</t>
        </is>
      </c>
    </row>
    <row r="112" ht="60" customHeight="1" s="632">
      <c r="A112" s="60" t="inlineStr">
        <is>
          <t>Jindal Stainless</t>
        </is>
      </c>
      <c r="B112" s="1022" t="n">
        <v>5560</v>
      </c>
      <c r="C112" s="1022" t="n">
        <v>3040</v>
      </c>
      <c r="D112" s="1022" t="n">
        <v>3185</v>
      </c>
      <c r="E112" s="907" t="n">
        <v>38.74</v>
      </c>
      <c r="F112" s="952">
        <f>D112/E112</f>
        <v/>
      </c>
      <c r="G112" s="1151" t="n">
        <v>734</v>
      </c>
      <c r="H112" s="1022">
        <f>IFERROR(F112*G112,"")</f>
        <v/>
      </c>
      <c r="I112" s="1022">
        <f>IFERROR(H112+C112,"")</f>
        <v/>
      </c>
      <c r="J112" s="92">
        <f>IFERROR(I112/B112,"")</f>
        <v/>
      </c>
      <c r="K112" s="907" t="n">
        <v>3</v>
      </c>
      <c r="L112" s="1214">
        <f>IFERROR(I112/K112*10,"")</f>
        <v/>
      </c>
      <c r="M112" s="352" t="inlineStr">
        <is>
          <t>Medium</t>
        </is>
      </c>
      <c r="N112" s="47" t="inlineStr">
        <is>
          <t>STAINLESS. Realisation of roughly Rs 1,67,000/t and EBITDA per tonne of Rs 21,634 are not comparable with carbon steel and this company is EXCLUDED from the blended industry realisation anchor. Management guided FY2027 EBITDA per tonne to Rs 18,000-20,000, i.e. BELOW the FY2026 outcome. Capacity basis: Jindal Stainless INDIA melt capacity. Group melt capacity is 4.2 Mtpa including 1.2 Mtpa in Indonesia, which is excluded from the India build.</t>
        </is>
      </c>
      <c r="P112" s="708" t="inlineStr">
        <is>
          <t>VL18</t>
        </is>
      </c>
    </row>
    <row r="113" ht="48" customHeight="1" s="632">
      <c r="A113" s="60" t="inlineStr">
        <is>
          <t>AM/NS India</t>
        </is>
      </c>
      <c r="B113" s="1022" t="n">
        <v>69</v>
      </c>
      <c r="C113" s="83" t="n"/>
      <c r="D113" s="83" t="n"/>
      <c r="E113" s="83" t="n"/>
      <c r="F113" s="83" t="n"/>
      <c r="G113" s="83" t="n"/>
      <c r="H113" s="83" t="n"/>
      <c r="I113" s="83" t="n"/>
      <c r="J113" s="83" t="n"/>
      <c r="K113" s="907" t="n">
        <v>9</v>
      </c>
      <c r="L113" s="1214">
        <f>IFERROR(I113/K113*10,"")</f>
        <v/>
      </c>
      <c r="M113" s="352" t="inlineStr">
        <is>
          <t>n/a</t>
        </is>
      </c>
      <c r="N113" s="47" t="inlineStr">
        <is>
          <t>Unlisted 60:40 joint venture. All figures are 100% basis, USD, calendar quarters, converted at the derived FY2026 average USD/INR of 88.4. The fiscal-year figures are themselves derived by summing calendar quarters - Master DB Conflict C16. Unlisted - no market-based valuation is possible. Capacity basis: AM/NS India Hazira capacity, expanding to 15 Mtpa.</t>
        </is>
      </c>
      <c r="P113" s="708" t="inlineStr">
        <is>
          <t>VL19</t>
        </is>
      </c>
    </row>
    <row r="114" ht="48" customHeight="1" s="632">
      <c r="A114" s="61" t="inlineStr">
        <is>
          <t>RINL</t>
        </is>
      </c>
      <c r="B114" s="52" t="n"/>
      <c r="C114" s="52" t="n"/>
      <c r="D114" s="52" t="n"/>
      <c r="E114" s="52" t="n"/>
      <c r="F114" s="52" t="n"/>
      <c r="G114" s="52" t="n"/>
      <c r="H114" s="52" t="n"/>
      <c r="I114" s="52" t="n"/>
      <c r="J114" s="52" t="n"/>
      <c r="K114" s="52" t="n"/>
      <c r="L114" s="52" t="n"/>
      <c r="M114" s="28" t="inlineStr">
        <is>
          <t>n/a</t>
        </is>
      </c>
      <c r="N114" s="54" t="inlineStr">
        <is>
          <t>Unlisted and wholly Government-owned. No EBITDA, balance sheet or valuation data is publicly available, so RINL appears in the volume build only. Unlisted - no market-based valuation is possible. Capacity basis: Not verified - a 7.3 Mtpa liquid steel nameplate is widely cited but is not asserted in the database.</t>
        </is>
      </c>
    </row>
    <row r="115" ht="15" customHeight="1" s="632" thickBot="1"/>
    <row r="116" ht="24.6" customHeight="1" s="632" thickBot="1">
      <c r="A116" s="421" t="inlineStr">
        <is>
          <t>Median EV/EBITDA (listed, once prices entered)</t>
        </is>
      </c>
      <c r="B116" s="1215" t="n"/>
      <c r="C116" s="1215" t="n"/>
      <c r="D116" s="1215" t="n"/>
      <c r="E116" s="192" t="n"/>
      <c r="F116" s="192" t="n"/>
      <c r="G116" s="192" t="n"/>
      <c r="H116" s="192" t="n"/>
      <c r="I116" s="192" t="n"/>
      <c r="J116" s="195">
        <f>IFERROR(MEDIAN(J108:J114),"enter prices")</f>
        <v/>
      </c>
      <c r="K116" s="192" t="n"/>
      <c r="L116" s="192" t="n"/>
      <c r="M116" s="192" t="n"/>
      <c r="N116" s="193" t="inlineStr">
        <is>
          <t>Live. Compare against the exit multiple driver D19 of 6.0x, which is NOT sourced and should be re-based on this observed evidence once prices are entered.</t>
        </is>
      </c>
      <c r="P116" s="708" t="inlineStr">
        <is>
          <t>VL20</t>
        </is>
      </c>
    </row>
    <row r="117"/>
    <row r="118"/>
    <row r="119">
      <c r="A119" s="402" t="inlineStr">
        <is>
          <t>B - REPLACEMENT COST AND EV PER TONNE BENCHMARK</t>
        </is>
      </c>
      <c r="P119" s="707" t="inlineStr">
        <is>
          <t>Ref</t>
        </is>
      </c>
    </row>
    <row r="120">
      <c r="A120" s="400" t="inlineStr">
        <is>
          <t>Greenfield / brownfield capex intensity</t>
        </is>
      </c>
      <c r="B120" s="837" t="n"/>
      <c r="C120" s="837" t="n"/>
      <c r="D120" s="951" t="n"/>
      <c r="E120" s="1086">
        <f>'Model Assumptions'!K$23</f>
        <v/>
      </c>
      <c r="F120" s="344" t="inlineStr">
        <is>
          <t>From driver D16 - Rs 55,000/t base. Cross-checked against JSW JVML at Rs 52,000/t, SAIL at roughly Rs 67,000/t and Tata Ludhiana EAF at Rs 42,700/t.</t>
        </is>
      </c>
      <c r="G120" s="837" t="n"/>
      <c r="H120" s="837" t="n"/>
      <c r="I120" s="837" t="n"/>
      <c r="J120" s="837" t="n"/>
      <c r="K120" s="837" t="n"/>
      <c r="L120" s="837" t="n"/>
      <c r="M120" s="837" t="n"/>
      <c r="N120" s="951" t="n"/>
      <c r="P120" s="708" t="inlineStr">
        <is>
          <t>VL21</t>
        </is>
      </c>
    </row>
    <row r="121">
      <c r="A121" s="400" t="inlineStr">
        <is>
          <t>Replacement cost of India's FY2026 capacity</t>
        </is>
      </c>
      <c r="B121" s="837" t="n"/>
      <c r="C121" s="837" t="n"/>
      <c r="D121" s="951" t="n"/>
      <c r="E121" s="1216">
        <f>220.4*E120/10</f>
        <v/>
      </c>
      <c r="F121" s="344" t="inlineStr">
        <is>
          <t>220.4 Mtpa at the capex intensity above. A useful sanity bound: an acquirer should not pay materially more per tonne than it costs to build, adjusted for time to market, permits and captive raw material.</t>
        </is>
      </c>
      <c r="G121" s="837" t="n"/>
      <c r="H121" s="837" t="n"/>
      <c r="I121" s="837" t="n"/>
      <c r="J121" s="837" t="n"/>
      <c r="K121" s="837" t="n"/>
      <c r="L121" s="837" t="n"/>
      <c r="M121" s="837" t="n"/>
      <c r="N121" s="951" t="n"/>
      <c r="P121" s="708" t="inlineStr">
        <is>
          <t>VL22</t>
        </is>
      </c>
    </row>
    <row r="122">
      <c r="A122" s="400" t="inlineStr">
        <is>
          <t>Implied EV per tonne at the exit multiple</t>
        </is>
      </c>
      <c r="B122" s="837" t="n"/>
      <c r="C122" s="837" t="n"/>
      <c r="D122" s="951" t="n"/>
      <c r="E122" s="1216">
        <f>IFERROR('EBITDA Model'!K$103*'Model Assumptions'!K$26/('Capacity Forecast'!K$101)*10,"")</f>
        <v/>
      </c>
      <c r="F122" s="344" t="inlineStr">
        <is>
          <t>FY2033E industry EBITDA at the exit multiple D19, divided by FY2033E capacity. Compare against replacement cost: an implied EV/t far above build cost signals either scarcity value or overvaluation.</t>
        </is>
      </c>
      <c r="G122" s="837" t="n"/>
      <c r="H122" s="837" t="n"/>
      <c r="I122" s="837" t="n"/>
      <c r="J122" s="837" t="n"/>
      <c r="K122" s="837" t="n"/>
      <c r="L122" s="837" t="n"/>
      <c r="M122" s="837" t="n"/>
      <c r="N122" s="951" t="n"/>
      <c r="P122" s="708" t="inlineStr">
        <is>
          <t>VL23</t>
        </is>
      </c>
    </row>
    <row r="123"/>
    <row r="124"/>
    <row r="125">
      <c r="A125" s="402" t="inlineStr">
        <is>
          <t>C - INDUSTRY DCF (unlevered, off 16 Cash Flow Model)</t>
        </is>
      </c>
    </row>
    <row r="126" customFormat="1" s="45">
      <c r="A126" s="401" t="inlineStr">
        <is>
          <t>Line item</t>
        </is>
      </c>
      <c r="B126" s="88" t="inlineStr">
        <is>
          <t>Unit</t>
        </is>
      </c>
      <c r="C126" s="88" t="inlineStr">
        <is>
          <t>FY2026A</t>
        </is>
      </c>
      <c r="D126" s="88" t="inlineStr">
        <is>
          <t>FY2027E</t>
        </is>
      </c>
      <c r="E126" s="88" t="inlineStr">
        <is>
          <t>FY2028E</t>
        </is>
      </c>
      <c r="F126" s="88" t="inlineStr">
        <is>
          <t>FY2029E</t>
        </is>
      </c>
      <c r="G126" s="88" t="inlineStr">
        <is>
          <t>FY2030E</t>
        </is>
      </c>
      <c r="H126" s="88" t="inlineStr">
        <is>
          <t>FY2031E</t>
        </is>
      </c>
      <c r="I126" s="88" t="inlineStr">
        <is>
          <t>FY2032E</t>
        </is>
      </c>
      <c r="J126" s="88" t="inlineStr">
        <is>
          <t>FY2033E</t>
        </is>
      </c>
      <c r="K126" s="88" t="inlineStr">
        <is>
          <t>CAGR</t>
        </is>
      </c>
      <c r="L126" s="88" t="inlineStr">
        <is>
          <t>Source</t>
        </is>
      </c>
      <c r="M126" s="88" t="inlineStr">
        <is>
          <t>Conf.</t>
        </is>
      </c>
      <c r="N126" s="401" t="inlineStr">
        <is>
          <t>Notes / methodology</t>
        </is>
      </c>
      <c r="P126" s="707" t="inlineStr">
        <is>
          <t>Ref</t>
        </is>
      </c>
    </row>
    <row r="127" ht="27.6" customFormat="1" customHeight="1" s="45">
      <c r="A127" s="43" t="inlineStr">
        <is>
          <t>Unlevered free cash flow</t>
        </is>
      </c>
      <c r="B127" s="78" t="inlineStr">
        <is>
          <t>Rs cr</t>
        </is>
      </c>
      <c r="C127" s="83" t="n"/>
      <c r="D127" s="1022">
        <f>'Cash Flow Model'!D$114</f>
        <v/>
      </c>
      <c r="E127" s="1022">
        <f>'Cash Flow Model'!E$114</f>
        <v/>
      </c>
      <c r="F127" s="1022">
        <f>'Cash Flow Model'!F$114</f>
        <v/>
      </c>
      <c r="G127" s="1022">
        <f>'Cash Flow Model'!G$114</f>
        <v/>
      </c>
      <c r="H127" s="1022">
        <f>'Cash Flow Model'!H$114</f>
        <v/>
      </c>
      <c r="I127" s="1022">
        <f>'Cash Flow Model'!I$114</f>
        <v/>
      </c>
      <c r="J127" s="1022">
        <f>'Cash Flow Model'!J$114</f>
        <v/>
      </c>
      <c r="K127" s="83" t="n"/>
      <c r="L127" s="352" t="inlineStr">
        <is>
          <t>16 Cash Flow</t>
        </is>
      </c>
      <c r="M127" s="352" t="inlineStr">
        <is>
          <t>Medium</t>
        </is>
      </c>
      <c r="P127" s="708" t="inlineStr">
        <is>
          <t>VL24</t>
        </is>
      </c>
    </row>
    <row r="128" customFormat="1" s="45">
      <c r="A128" s="43" t="inlineStr">
        <is>
          <t>WACC</t>
        </is>
      </c>
      <c r="B128" s="78" t="inlineStr">
        <is>
          <t>%</t>
        </is>
      </c>
      <c r="C128" s="83" t="n"/>
      <c r="D128" s="904">
        <f>'Model Assumptions'!E$27</f>
        <v/>
      </c>
      <c r="E128" s="904">
        <f>'Model Assumptions'!F$27</f>
        <v/>
      </c>
      <c r="F128" s="904">
        <f>'Model Assumptions'!G$27</f>
        <v/>
      </c>
      <c r="G128" s="904">
        <f>'Model Assumptions'!H$27</f>
        <v/>
      </c>
      <c r="H128" s="904">
        <f>'Model Assumptions'!I$27</f>
        <v/>
      </c>
      <c r="I128" s="904">
        <f>'Model Assumptions'!J$27</f>
        <v/>
      </c>
      <c r="J128" s="904">
        <f>'Model Assumptions'!K$27</f>
        <v/>
      </c>
      <c r="K128" s="83" t="n"/>
      <c r="L128" s="352" t="inlineStr">
        <is>
          <t>02 Assumptions</t>
        </is>
      </c>
      <c r="M128" s="352" t="inlineStr">
        <is>
          <t>Medium</t>
        </is>
      </c>
      <c r="N128" s="344" t="inlineStr">
        <is>
          <t>Cross-checked against the build-up on 02 Section D by 25 Audit Checks.</t>
        </is>
      </c>
      <c r="P128" s="708" t="inlineStr">
        <is>
          <t>VL25</t>
        </is>
      </c>
    </row>
    <row r="129" ht="36" customFormat="1" customHeight="1" s="45">
      <c r="A129" s="43" t="inlineStr">
        <is>
          <t>Discount period</t>
        </is>
      </c>
      <c r="B129" s="78" t="inlineStr">
        <is>
          <t>years</t>
        </is>
      </c>
      <c r="C129" s="83" t="n"/>
      <c r="D129" s="952" t="n">
        <v>0.5</v>
      </c>
      <c r="E129" s="952" t="n">
        <v>1.5</v>
      </c>
      <c r="F129" s="952" t="n">
        <v>2.5</v>
      </c>
      <c r="G129" s="952" t="n">
        <v>3.5</v>
      </c>
      <c r="H129" s="952" t="n">
        <v>4.5</v>
      </c>
      <c r="I129" s="952" t="n">
        <v>5.5</v>
      </c>
      <c r="J129" s="952" t="n">
        <v>6.5</v>
      </c>
      <c r="K129" s="83" t="n"/>
      <c r="L129" s="352" t="inlineStr">
        <is>
          <t>Convention</t>
        </is>
      </c>
      <c r="M129" s="352" t="inlineStr">
        <is>
          <t>High</t>
        </is>
      </c>
      <c r="N129" s="344" t="inlineStr">
        <is>
          <t>MID-YEAR CONVENTION: cash flows are assumed to arise evenly through the year, so they are discounted from the mid-point. Using year-end would understate value by roughly 5-6% at a 12% WACC.</t>
        </is>
      </c>
      <c r="P129" s="708" t="inlineStr">
        <is>
          <t>VL26</t>
        </is>
      </c>
    </row>
    <row r="130" customFormat="1" s="45">
      <c r="A130" s="43" t="inlineStr">
        <is>
          <t>Discount factor</t>
        </is>
      </c>
      <c r="B130" s="78" t="inlineStr">
        <is>
          <t>x</t>
        </is>
      </c>
      <c r="C130" s="83" t="n"/>
      <c r="D130" s="908">
        <f>1/(1+D128)^D129</f>
        <v/>
      </c>
      <c r="E130" s="908">
        <f>1/(1+E128)^E129</f>
        <v/>
      </c>
      <c r="F130" s="908">
        <f>1/(1+F128)^F129</f>
        <v/>
      </c>
      <c r="G130" s="908">
        <f>1/(1+G128)^G129</f>
        <v/>
      </c>
      <c r="H130" s="908">
        <f>1/(1+H128)^H129</f>
        <v/>
      </c>
      <c r="I130" s="908">
        <f>1/(1+I128)^I129</f>
        <v/>
      </c>
      <c r="J130" s="908">
        <f>1/(1+J128)^J129</f>
        <v/>
      </c>
      <c r="K130" s="83" t="n"/>
      <c r="L130" s="352" t="inlineStr">
        <is>
          <t>Computed</t>
        </is>
      </c>
      <c r="M130" s="352" t="inlineStr">
        <is>
          <t>Medium</t>
        </is>
      </c>
      <c r="P130" s="708" t="inlineStr">
        <is>
          <t>VL27</t>
        </is>
      </c>
    </row>
    <row r="131" customFormat="1" s="45">
      <c r="A131" s="43" t="inlineStr">
        <is>
          <t>Present value of FCF</t>
        </is>
      </c>
      <c r="B131" s="78" t="inlineStr">
        <is>
          <t>Rs cr</t>
        </is>
      </c>
      <c r="C131" s="83" t="n"/>
      <c r="D131" s="1022">
        <f>D127*D130</f>
        <v/>
      </c>
      <c r="E131" s="1022">
        <f>E127*E130</f>
        <v/>
      </c>
      <c r="F131" s="1022">
        <f>F127*F130</f>
        <v/>
      </c>
      <c r="G131" s="1022">
        <f>G127*G130</f>
        <v/>
      </c>
      <c r="H131" s="1022">
        <f>H127*H130</f>
        <v/>
      </c>
      <c r="I131" s="1022">
        <f>I127*I130</f>
        <v/>
      </c>
      <c r="J131" s="1022">
        <f>J127*J130</f>
        <v/>
      </c>
      <c r="K131" s="83" t="n"/>
      <c r="L131" s="352" t="inlineStr">
        <is>
          <t>Computed</t>
        </is>
      </c>
      <c r="M131" s="352" t="inlineStr">
        <is>
          <t>Medium</t>
        </is>
      </c>
      <c r="P131" s="708" t="inlineStr">
        <is>
          <t>VL28</t>
        </is>
      </c>
    </row>
    <row r="132" ht="15" customHeight="1" s="632" thickBot="1"/>
    <row r="133">
      <c r="A133" s="418" t="inlineStr">
        <is>
          <t>Sum of PV of explicit forecast FCF</t>
        </is>
      </c>
      <c r="B133" s="1134" t="n"/>
      <c r="C133" s="1157" t="n"/>
      <c r="D133" s="1217">
        <f>SUM(D131:J131)</f>
        <v/>
      </c>
      <c r="E133" s="342" t="inlineStr">
        <is>
          <t>Seven years, FY2027E to FY2033E.</t>
        </is>
      </c>
      <c r="F133" s="1134" t="n"/>
      <c r="G133" s="1134" t="n"/>
      <c r="H133" s="1134" t="n"/>
      <c r="I133" s="1134" t="n"/>
      <c r="J133" s="1134" t="n"/>
      <c r="K133" s="1134" t="n"/>
      <c r="L133" s="1134" t="n"/>
      <c r="M133" s="1134" t="n"/>
      <c r="N133" s="1157" t="n"/>
      <c r="P133" s="708" t="inlineStr">
        <is>
          <t>VL29</t>
        </is>
      </c>
    </row>
    <row r="134">
      <c r="A134" s="420" t="inlineStr">
        <is>
          <t>Terminal EBITDA (FY2033E)</t>
        </is>
      </c>
      <c r="B134" s="837" t="n"/>
      <c r="C134" s="951" t="n"/>
      <c r="D134" s="1088">
        <f>'EBITDA Model'!J$103</f>
        <v/>
      </c>
      <c r="E134" s="344" t="inlineStr">
        <is>
          <t>FY2033 is a NORMALISED year - the FY2030-FY2031 capacity cohort has reached steady-state utilisation - which is the whole reason the horizon is 7 years rather than 5. Check the cycle position on 18 before accepting it as mid-cycle.</t>
        </is>
      </c>
      <c r="F134" s="837" t="n"/>
      <c r="G134" s="837" t="n"/>
      <c r="H134" s="837" t="n"/>
      <c r="I134" s="837" t="n"/>
      <c r="J134" s="837" t="n"/>
      <c r="K134" s="837" t="n"/>
      <c r="L134" s="837" t="n"/>
      <c r="M134" s="837" t="n"/>
      <c r="N134" s="951" t="n"/>
      <c r="P134" s="708" t="inlineStr">
        <is>
          <t>VL30</t>
        </is>
      </c>
    </row>
    <row r="135">
      <c r="A135" s="420" t="inlineStr">
        <is>
          <t>Exit EV/EBITDA multiple</t>
        </is>
      </c>
      <c r="B135" s="837" t="n"/>
      <c r="C135" s="951" t="n"/>
      <c r="D135" s="1218">
        <f>'Model Assumptions'!$K$26</f>
        <v/>
      </c>
      <c r="E135" s="344" t="inlineStr">
        <is>
          <t>Seven years, FY2027E to FY2033E.</t>
        </is>
      </c>
      <c r="F135" s="837" t="n"/>
      <c r="G135" s="837" t="n"/>
      <c r="H135" s="837" t="n"/>
      <c r="I135" s="837" t="n"/>
      <c r="J135" s="837" t="n"/>
      <c r="K135" s="837" t="n"/>
      <c r="L135" s="837" t="n"/>
      <c r="M135" s="837" t="n"/>
      <c r="N135" s="951" t="n"/>
      <c r="P135" s="708" t="inlineStr">
        <is>
          <t>VL31</t>
        </is>
      </c>
    </row>
    <row r="136">
      <c r="A136" s="420" t="inlineStr">
        <is>
          <t>Terminal value</t>
        </is>
      </c>
      <c r="B136" s="837" t="n"/>
      <c r="C136" s="951" t="n"/>
      <c r="D136" s="1088">
        <f>D134*D135</f>
        <v/>
      </c>
      <c r="E136" s="344" t="inlineStr">
        <is>
          <t>Seven years, FY2027E to FY2033E.</t>
        </is>
      </c>
      <c r="F136" s="837" t="n"/>
      <c r="G136" s="837" t="n"/>
      <c r="H136" s="837" t="n"/>
      <c r="I136" s="837" t="n"/>
      <c r="J136" s="837" t="n"/>
      <c r="K136" s="837" t="n"/>
      <c r="L136" s="837" t="n"/>
      <c r="M136" s="837" t="n"/>
      <c r="N136" s="951" t="n"/>
      <c r="P136" s="708" t="inlineStr">
        <is>
          <t>VL32</t>
        </is>
      </c>
    </row>
    <row r="137">
      <c r="A137" s="420" t="inlineStr">
        <is>
          <t>PV of terminal value</t>
        </is>
      </c>
      <c r="B137" s="837" t="n"/>
      <c r="C137" s="951" t="n"/>
      <c r="D137" s="1088">
        <f>D136*J130</f>
        <v/>
      </c>
      <c r="E137" s="344" t="inlineStr">
        <is>
          <t>Discounted at the terminal-year discount factor.</t>
        </is>
      </c>
      <c r="F137" s="837" t="n"/>
      <c r="G137" s="837" t="n"/>
      <c r="H137" s="837" t="n"/>
      <c r="I137" s="837" t="n"/>
      <c r="J137" s="837" t="n"/>
      <c r="K137" s="837" t="n"/>
      <c r="L137" s="837" t="n"/>
      <c r="M137" s="837" t="n"/>
      <c r="N137" s="951" t="n"/>
      <c r="P137" s="708" t="inlineStr">
        <is>
          <t>VL33</t>
        </is>
      </c>
    </row>
    <row r="138">
      <c r="A138" s="420" t="inlineStr">
        <is>
          <t>ENTERPRISE VALUE</t>
        </is>
      </c>
      <c r="B138" s="837" t="n"/>
      <c r="C138" s="951" t="n"/>
      <c r="D138" s="1219">
        <f>D133+D137</f>
        <v/>
      </c>
      <c r="E138" s="344" t="inlineStr">
        <is>
          <t>Seven years, FY2027E to FY2033E.</t>
        </is>
      </c>
      <c r="F138" s="837" t="n"/>
      <c r="G138" s="837" t="n"/>
      <c r="H138" s="837" t="n"/>
      <c r="I138" s="837" t="n"/>
      <c r="J138" s="837" t="n"/>
      <c r="K138" s="837" t="n"/>
      <c r="L138" s="837" t="n"/>
      <c r="M138" s="837" t="n"/>
      <c r="N138" s="951" t="n"/>
      <c r="P138" s="708" t="inlineStr">
        <is>
          <t>VL34</t>
        </is>
      </c>
    </row>
    <row r="139" ht="15" customHeight="1" s="632" thickBot="1">
      <c r="A139" s="416" t="inlineStr">
        <is>
          <t>Terminal value as % of EV</t>
        </is>
      </c>
      <c r="B139" s="1158" t="n"/>
      <c r="C139" s="1159" t="n"/>
      <c r="D139" s="1220">
        <f>IFERROR(D137/D138,"")</f>
        <v/>
      </c>
      <c r="E139" s="346" t="inlineStr">
        <is>
          <t>Seven years, FY2027E to FY2033E.</t>
        </is>
      </c>
      <c r="F139" s="1158" t="n"/>
      <c r="G139" s="1158" t="n"/>
      <c r="H139" s="1158" t="n"/>
      <c r="I139" s="1158" t="n"/>
      <c r="J139" s="1158" t="n"/>
      <c r="K139" s="1158" t="n"/>
      <c r="L139" s="1158" t="n"/>
      <c r="M139" s="1158" t="n"/>
      <c r="N139" s="1159" t="n"/>
      <c r="P139" s="708" t="inlineStr">
        <is>
          <t>VL35</t>
        </is>
      </c>
    </row>
    <row r="140"/>
    <row r="141" ht="15" customHeight="1" s="632" thickBot="1">
      <c r="A141" s="402" t="inlineStr">
        <is>
          <t>D - RETURNS</t>
        </is>
      </c>
    </row>
    <row r="142">
      <c r="A142" s="63" t="inlineStr">
        <is>
          <t>Line item</t>
        </is>
      </c>
      <c r="B142" s="65" t="inlineStr">
        <is>
          <t>Unit</t>
        </is>
      </c>
      <c r="C142" s="65" t="inlineStr">
        <is>
          <t>FY2026A</t>
        </is>
      </c>
      <c r="D142" s="65" t="inlineStr">
        <is>
          <t>FY2027E</t>
        </is>
      </c>
      <c r="E142" s="65" t="inlineStr">
        <is>
          <t>FY2028E</t>
        </is>
      </c>
      <c r="F142" s="65" t="inlineStr">
        <is>
          <t>FY2029E</t>
        </is>
      </c>
      <c r="G142" s="65" t="inlineStr">
        <is>
          <t>FY2030E</t>
        </is>
      </c>
      <c r="H142" s="65" t="inlineStr">
        <is>
          <t>FY2031E</t>
        </is>
      </c>
      <c r="I142" s="65" t="inlineStr">
        <is>
          <t>FY2032E</t>
        </is>
      </c>
      <c r="J142" s="65" t="inlineStr">
        <is>
          <t>FY2033E</t>
        </is>
      </c>
      <c r="K142" s="65" t="inlineStr">
        <is>
          <t>CAGR</t>
        </is>
      </c>
      <c r="L142" s="65" t="inlineStr">
        <is>
          <t>Source</t>
        </is>
      </c>
      <c r="M142" s="65" t="inlineStr">
        <is>
          <t>Conf.</t>
        </is>
      </c>
      <c r="N142" s="410" t="inlineStr">
        <is>
          <t>Notes / methodology</t>
        </is>
      </c>
      <c r="P142" s="707" t="inlineStr">
        <is>
          <t>Ref</t>
        </is>
      </c>
    </row>
    <row r="143">
      <c r="A143" s="69" t="inlineStr">
        <is>
          <t>EBIT</t>
        </is>
      </c>
      <c r="B143" s="78" t="inlineStr">
        <is>
          <t>Rs cr</t>
        </is>
      </c>
      <c r="C143" s="83" t="n"/>
      <c r="D143" s="1022">
        <f>'Cash Flow Model'!D$100</f>
        <v/>
      </c>
      <c r="E143" s="1022">
        <f>'Cash Flow Model'!E$100</f>
        <v/>
      </c>
      <c r="F143" s="1022">
        <f>'Cash Flow Model'!F$100</f>
        <v/>
      </c>
      <c r="G143" s="1022">
        <f>'Cash Flow Model'!G$100</f>
        <v/>
      </c>
      <c r="H143" s="1022">
        <f>'Cash Flow Model'!H$100</f>
        <v/>
      </c>
      <c r="I143" s="1022">
        <f>'Cash Flow Model'!I$100</f>
        <v/>
      </c>
      <c r="J143" s="1022">
        <f>'Cash Flow Model'!J$100</f>
        <v/>
      </c>
      <c r="K143" s="83" t="n"/>
      <c r="L143" s="352" t="inlineStr">
        <is>
          <t>16 Cash Flow</t>
        </is>
      </c>
      <c r="M143" s="352" t="inlineStr">
        <is>
          <t>Medium</t>
        </is>
      </c>
      <c r="N143" s="68" t="n"/>
      <c r="P143" s="708" t="inlineStr">
        <is>
          <t>VL36</t>
        </is>
      </c>
    </row>
    <row r="144">
      <c r="A144" s="69" t="inlineStr">
        <is>
          <t>Effective tax rate</t>
        </is>
      </c>
      <c r="B144" s="78" t="inlineStr">
        <is>
          <t>%</t>
        </is>
      </c>
      <c r="C144" s="83" t="n"/>
      <c r="D144" s="904">
        <f>'Model Assumptions'!E$22</f>
        <v/>
      </c>
      <c r="E144" s="904">
        <f>'Model Assumptions'!F$22</f>
        <v/>
      </c>
      <c r="F144" s="904">
        <f>'Model Assumptions'!G$22</f>
        <v/>
      </c>
      <c r="G144" s="904">
        <f>'Model Assumptions'!H$22</f>
        <v/>
      </c>
      <c r="H144" s="904">
        <f>'Model Assumptions'!I$22</f>
        <v/>
      </c>
      <c r="I144" s="904">
        <f>'Model Assumptions'!J$22</f>
        <v/>
      </c>
      <c r="J144" s="904">
        <f>'Model Assumptions'!K$22</f>
        <v/>
      </c>
      <c r="K144" s="83" t="n"/>
      <c r="L144" s="352" t="inlineStr">
        <is>
          <t>02 Assumptions</t>
        </is>
      </c>
      <c r="M144" s="352" t="inlineStr">
        <is>
          <t>Medium</t>
        </is>
      </c>
      <c r="N144" s="68" t="n"/>
      <c r="P144" s="708" t="inlineStr">
        <is>
          <t>VL37</t>
        </is>
      </c>
    </row>
    <row r="145">
      <c r="A145" s="69" t="inlineStr">
        <is>
          <t>NOPAT</t>
        </is>
      </c>
      <c r="B145" s="78" t="inlineStr">
        <is>
          <t>Rs cr</t>
        </is>
      </c>
      <c r="C145" s="83" t="n"/>
      <c r="D145" s="1022">
        <f>D143*(1-D144)</f>
        <v/>
      </c>
      <c r="E145" s="1022">
        <f>E143*(1-E144)</f>
        <v/>
      </c>
      <c r="F145" s="1022">
        <f>F143*(1-F144)</f>
        <v/>
      </c>
      <c r="G145" s="1022">
        <f>G143*(1-G144)</f>
        <v/>
      </c>
      <c r="H145" s="1022">
        <f>H143*(1-H144)</f>
        <v/>
      </c>
      <c r="I145" s="1022">
        <f>I143*(1-I144)</f>
        <v/>
      </c>
      <c r="J145" s="1022">
        <f>J143*(1-J144)</f>
        <v/>
      </c>
      <c r="K145" s="83" t="n"/>
      <c r="L145" s="352" t="inlineStr">
        <is>
          <t>Computed</t>
        </is>
      </c>
      <c r="M145" s="352" t="inlineStr">
        <is>
          <t>Medium</t>
        </is>
      </c>
      <c r="N145" s="68" t="n"/>
      <c r="P145" s="708" t="inlineStr">
        <is>
          <t>VL38</t>
        </is>
      </c>
    </row>
    <row r="146" ht="36" customHeight="1" s="632">
      <c r="A146" s="69" t="inlineStr">
        <is>
          <t>Invested capital (proxy)</t>
        </is>
      </c>
      <c r="B146" s="78" t="inlineStr">
        <is>
          <t>Rs cr</t>
        </is>
      </c>
      <c r="C146" s="83" t="n"/>
      <c r="D146" s="1022">
        <f>220.4*'Model Assumptions'!E$23/10+'Working Capital Model'!D$72</f>
        <v/>
      </c>
      <c r="E146" s="1022">
        <f>220.4*'Model Assumptions'!F$23/10+'Working Capital Model'!E$72</f>
        <v/>
      </c>
      <c r="F146" s="1022">
        <f>220.4*'Model Assumptions'!G$23/10+'Working Capital Model'!F$72</f>
        <v/>
      </c>
      <c r="G146" s="1022">
        <f>220.4*'Model Assumptions'!H$23/10+'Working Capital Model'!G$72</f>
        <v/>
      </c>
      <c r="H146" s="1022">
        <f>220.4*'Model Assumptions'!I$23/10+'Working Capital Model'!H$72</f>
        <v/>
      </c>
      <c r="I146" s="1022">
        <f>220.4*'Model Assumptions'!J$23/10+'Working Capital Model'!I$72</f>
        <v/>
      </c>
      <c r="J146" s="1022">
        <f>220.4*'Model Assumptions'!K$23/10+'Working Capital Model'!J$72</f>
        <v/>
      </c>
      <c r="K146" s="83" t="n"/>
      <c r="L146" s="352" t="inlineStr">
        <is>
          <t>Computed - PROXY</t>
        </is>
      </c>
      <c r="M146" s="352" t="inlineStr">
        <is>
          <t>Low</t>
        </is>
      </c>
      <c r="N146" s="345" t="inlineStr">
        <is>
          <t>PROXY ONLY: FY2026 capacity at replacement cost plus net working capital. The database does not carry net fixed assets, so a true invested-capital base could not be built. A replacement-cost proxy understates ROIC for older, depreciated assets and is stated as indicative.</t>
        </is>
      </c>
      <c r="P146" s="708" t="inlineStr">
        <is>
          <t>VL39</t>
        </is>
      </c>
    </row>
    <row r="147">
      <c r="A147" s="76" t="inlineStr">
        <is>
          <t>ROIC (indicative)</t>
        </is>
      </c>
      <c r="B147" s="78" t="inlineStr">
        <is>
          <t>%</t>
        </is>
      </c>
      <c r="C147" s="83" t="n"/>
      <c r="D147" s="1156">
        <f>IFERROR(D145/D146,"")</f>
        <v/>
      </c>
      <c r="E147" s="1156">
        <f>IFERROR(E145/E146,"")</f>
        <v/>
      </c>
      <c r="F147" s="1156">
        <f>IFERROR(F145/F146,"")</f>
        <v/>
      </c>
      <c r="G147" s="1156">
        <f>IFERROR(G145/G146,"")</f>
        <v/>
      </c>
      <c r="H147" s="1156">
        <f>IFERROR(H145/H146,"")</f>
        <v/>
      </c>
      <c r="I147" s="1156">
        <f>IFERROR(I145/I146,"")</f>
        <v/>
      </c>
      <c r="J147" s="1156">
        <f>IFERROR(J145/J146,"")</f>
        <v/>
      </c>
      <c r="K147" s="83" t="n"/>
      <c r="L147" s="352" t="inlineStr">
        <is>
          <t>Computed</t>
        </is>
      </c>
      <c r="M147" s="352" t="inlineStr">
        <is>
          <t>Low</t>
        </is>
      </c>
      <c r="N147" s="68" t="n"/>
      <c r="P147" s="708" t="inlineStr">
        <is>
          <t>VL40</t>
        </is>
      </c>
    </row>
    <row r="148" ht="36.6" customHeight="1" s="632" thickBot="1">
      <c r="A148" s="102" t="inlineStr">
        <is>
          <t>ROIC less WACC (value spread)</t>
        </is>
      </c>
      <c r="B148" s="79" t="inlineStr">
        <is>
          <t>ppt</t>
        </is>
      </c>
      <c r="C148" s="97" t="n"/>
      <c r="D148" s="966">
        <f>D147-D128</f>
        <v/>
      </c>
      <c r="E148" s="966">
        <f>E147-E128</f>
        <v/>
      </c>
      <c r="F148" s="966">
        <f>F147-F128</f>
        <v/>
      </c>
      <c r="G148" s="966">
        <f>G147-G128</f>
        <v/>
      </c>
      <c r="H148" s="966">
        <f>H147-H128</f>
        <v/>
      </c>
      <c r="I148" s="966">
        <f>I147-I128</f>
        <v/>
      </c>
      <c r="J148" s="966">
        <f>J147-J128</f>
        <v/>
      </c>
      <c r="K148" s="97" t="n"/>
      <c r="L148" s="353" t="inlineStr">
        <is>
          <t>Computed</t>
        </is>
      </c>
      <c r="M148" s="353" t="inlineStr">
        <is>
          <t>Low</t>
        </is>
      </c>
      <c r="N148" s="347" t="inlineStr">
        <is>
          <t>THE VALUE-CREATION TEST. A persistently negative spread means the industry destroys value by adding capacity, however strong the volume growth - which is the central strategic question for Indian steel and the reason capacity discipline matters more than capacity ambition.</t>
        </is>
      </c>
      <c r="P148" s="708" t="inlineStr">
        <is>
          <t>VL41</t>
        </is>
      </c>
    </row>
    <row r="149"/>
    <row r="150">
      <c r="A150" s="393" t="inlineStr">
        <is>
          <t>This is an INDUSTRY DCF. It is a sanity frame and a source of mid-cycle multiples, not a substitute for a single-name model. Every line needed for a single-name build - volume, realisation spread, cost spread, capex, working capital - is isolated elsewhere in this workbook.</t>
        </is>
      </c>
    </row>
  </sheetData>
  <mergeCells count="33">
    <mergeCell ref="A116:D116"/>
    <mergeCell ref="A137:C137"/>
    <mergeCell ref="A122:D122"/>
    <mergeCell ref="A133:C133"/>
    <mergeCell ref="A72:D72"/>
    <mergeCell ref="A139:C139"/>
    <mergeCell ref="A136:C136"/>
    <mergeCell ref="E136:N136"/>
    <mergeCell ref="A121:D121"/>
    <mergeCell ref="F122:N122"/>
    <mergeCell ref="E134:N134"/>
    <mergeCell ref="A1:N1"/>
    <mergeCell ref="A7:E7"/>
    <mergeCell ref="F121:N121"/>
    <mergeCell ref="A135:C135"/>
    <mergeCell ref="E139:N139"/>
    <mergeCell ref="A82:D82"/>
    <mergeCell ref="A18:H18"/>
    <mergeCell ref="A134:C134"/>
    <mergeCell ref="F120:N120"/>
    <mergeCell ref="E135:N135"/>
    <mergeCell ref="A92:C92"/>
    <mergeCell ref="E138:N138"/>
    <mergeCell ref="A5:N5"/>
    <mergeCell ref="A37:G37"/>
    <mergeCell ref="A150:N150"/>
    <mergeCell ref="E137:N137"/>
    <mergeCell ref="A62:E62"/>
    <mergeCell ref="A120:D120"/>
    <mergeCell ref="A138:C138"/>
    <mergeCell ref="A119:F119"/>
    <mergeCell ref="A2:G2"/>
    <mergeCell ref="E133:N133"/>
  </mergeCells>
  <hyperlinks>
    <hyperlink ref="G9" location="'Audit Checks'!A738" tooltip="Open the reference register on 25 Audit Checks"/>
    <hyperlink ref="G14" location="'Audit Checks'!A738" tooltip="Open the reference register on 25 Audit Checks"/>
    <hyperlink ref="L20" location="'Audit Checks'!A738" tooltip="Open the reference register on 25 Audit Checks"/>
    <hyperlink ref="L21" location="'Audit Checks'!A738" tooltip="Open the reference register on 25 Audit Checks"/>
    <hyperlink ref="L22" location="'Audit Checks'!A738" tooltip="Open the reference register on 25 Audit Checks"/>
    <hyperlink ref="L23" location="'Audit Checks'!A738" tooltip="Open the reference register on 25 Audit Checks"/>
    <hyperlink ref="L24" location="'Audit Checks'!A738" tooltip="Open the reference register on 25 Audit Checks"/>
    <hyperlink ref="L25" location="'Audit Checks'!A738" tooltip="Open the reference register on 25 Audit Checks"/>
    <hyperlink ref="L26" location="'Audit Checks'!A738" tooltip="Open the reference register on 25 Audit Checks"/>
    <hyperlink ref="L27" location="'Audit Checks'!A738" tooltip="Open the reference register on 25 Audit Checks"/>
    <hyperlink ref="L28" location="'Audit Checks'!A738" tooltip="Open the reference register on 25 Audit Checks"/>
    <hyperlink ref="L29" location="'Audit Checks'!A738" tooltip="Open the reference register on 25 Audit Checks"/>
    <hyperlink ref="L30" location="'Audit Checks'!A738" tooltip="Open the reference register on 25 Audit Checks"/>
    <hyperlink ref="L31" location="'Audit Checks'!A738" tooltip="Open the reference register on 25 Audit Checks"/>
    <hyperlink ref="L32" location="'Audit Checks'!A738" tooltip="Open the reference register on 25 Audit Checks"/>
    <hyperlink ref="L33" location="'Audit Checks'!A738" tooltip="Open the reference register on 25 Audit Checks"/>
    <hyperlink ref="L34" location="'Audit Checks'!A738" tooltip="Open the reference register on 25 Audit Checks"/>
    <hyperlink ref="I39" location="'Audit Checks'!A738" tooltip="Open the reference register on 25 Audit Checks"/>
    <hyperlink ref="I44" location="'Audit Checks'!A738" tooltip="Open the reference register on 25 Audit Checks"/>
    <hyperlink ref="I45" location="'Audit Checks'!A738" tooltip="Open the reference register on 25 Audit Checks"/>
    <hyperlink ref="I46" location="'Audit Checks'!A738" tooltip="Open the reference register on 25 Audit Checks"/>
    <hyperlink ref="I47" location="'Audit Checks'!A738" tooltip="Open the reference register on 25 Audit Checks"/>
    <hyperlink ref="I48" location="'Audit Checks'!A738" tooltip="Open the reference register on 25 Audit Checks"/>
    <hyperlink ref="I49" location="'Audit Checks'!A738" tooltip="Open the reference register on 25 Audit Checks"/>
    <hyperlink ref="I50" location="'Audit Checks'!A738" tooltip="Open the reference register on 25 Audit Checks"/>
    <hyperlink ref="I51" location="'Audit Checks'!A738" tooltip="Open the reference register on 25 Audit Checks"/>
    <hyperlink ref="I52" location="'Audit Checks'!A738" tooltip="Open the reference register on 25 Audit Checks"/>
    <hyperlink ref="I53" location="'Audit Checks'!A738" tooltip="Open the reference register on 25 Audit Checks"/>
    <hyperlink ref="I55" location="'Audit Checks'!A738" tooltip="Open the reference register on 25 Audit Checks"/>
    <hyperlink ref="G64" location="'Audit Checks'!A738" tooltip="Open the reference register on 25 Audit Checks"/>
    <hyperlink ref="G65" location="'Audit Checks'!A738" tooltip="Open the reference register on 25 Audit Checks"/>
    <hyperlink ref="G66" location="'Audit Checks'!A738" tooltip="Open the reference register on 25 Audit Checks"/>
    <hyperlink ref="G67" location="'Audit Checks'!A738" tooltip="Open the reference register on 25 Audit Checks"/>
    <hyperlink ref="G68" location="'Audit Checks'!A738" tooltip="Open the reference register on 25 Audit Checks"/>
    <hyperlink ref="G69" location="'Audit Checks'!A738" tooltip="Open the reference register on 25 Audit Checks"/>
    <hyperlink ref="L77" location="'Audit Checks'!A738" tooltip="Open the reference register on 25 Audit Checks"/>
    <hyperlink ref="F89" location="'Audit Checks'!A738" tooltip="Open the reference register on 25 Audit Checks"/>
    <hyperlink ref="E94" location="'Audit Checks'!A738" tooltip="Open the reference register on 25 Audit Checks"/>
    <hyperlink ref="P107" location="'Audit Checks'!A738" tooltip="Open the reference register on 25 Audit Checks"/>
    <hyperlink ref="P108" location="'Audit Checks'!A738" tooltip="Open the reference register on 25 Audit Checks"/>
    <hyperlink ref="P109" location="'Audit Checks'!A738" tooltip="Open the reference register on 25 Audit Checks"/>
    <hyperlink ref="P110" location="'Audit Checks'!A738" tooltip="Open the reference register on 25 Audit Checks"/>
    <hyperlink ref="P111" location="'Audit Checks'!A738" tooltip="Open the reference register on 25 Audit Checks"/>
    <hyperlink ref="P112" location="'Audit Checks'!A738" tooltip="Open the reference register on 25 Audit Checks"/>
    <hyperlink ref="P113" location="'Audit Checks'!A738" tooltip="Open the reference register on 25 Audit Checks"/>
    <hyperlink ref="P116" location="'Audit Checks'!A738" tooltip="Open the reference register on 25 Audit Checks"/>
    <hyperlink ref="P120" location="'Audit Checks'!A738" tooltip="Open the reference register on 25 Audit Checks"/>
    <hyperlink ref="P121" location="'Audit Checks'!A738" tooltip="Open the reference register on 25 Audit Checks"/>
    <hyperlink ref="P122" location="'Audit Checks'!A738" tooltip="Open the reference register on 25 Audit Checks"/>
    <hyperlink ref="P127" location="'Audit Checks'!A738" tooltip="Open the reference register on 25 Audit Checks"/>
    <hyperlink ref="P128" location="'Audit Checks'!A738" tooltip="Open the reference register on 25 Audit Checks"/>
    <hyperlink ref="P129" location="'Audit Checks'!A738" tooltip="Open the reference register on 25 Audit Checks"/>
    <hyperlink ref="P130" location="'Audit Checks'!A738" tooltip="Open the reference register on 25 Audit Checks"/>
    <hyperlink ref="P131" location="'Audit Checks'!A738" tooltip="Open the reference register on 25 Audit Checks"/>
    <hyperlink ref="P133" location="'Audit Checks'!A738" tooltip="Open the reference register on 25 Audit Checks"/>
    <hyperlink ref="P134" location="'Audit Checks'!A738" tooltip="Open the reference register on 25 Audit Checks"/>
    <hyperlink ref="P135" location="'Audit Checks'!A738" tooltip="Open the reference register on 25 Audit Checks"/>
    <hyperlink ref="P136" location="'Audit Checks'!A738" tooltip="Open the reference register on 25 Audit Checks"/>
    <hyperlink ref="P137" location="'Audit Checks'!A738" tooltip="Open the reference register on 25 Audit Checks"/>
    <hyperlink ref="P138" location="'Audit Checks'!A738" tooltip="Open the reference register on 25 Audit Checks"/>
    <hyperlink ref="P139" location="'Audit Checks'!A738" tooltip="Open the reference register on 25 Audit Checks"/>
    <hyperlink ref="P143" location="'Audit Checks'!A738" tooltip="Open the reference register on 25 Audit Checks"/>
    <hyperlink ref="P144" location="'Audit Checks'!A738" tooltip="Open the reference register on 25 Audit Checks"/>
    <hyperlink ref="P145" location="'Audit Checks'!A738" tooltip="Open the reference register on 25 Audit Checks"/>
    <hyperlink ref="P146" location="'Audit Checks'!A738" tooltip="Open the reference register on 25 Audit Checks"/>
    <hyperlink ref="P147" location="'Audit Checks'!A738" tooltip="Open the reference register on 25 Audit Checks"/>
    <hyperlink ref="P148" location="'Audit Checks'!A738" tooltip="Open the reference register on 25 Audit Checks"/>
  </hyperlink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29.xml><?xml version="1.0" encoding="utf-8"?>
<worksheet xmlns="http://schemas.openxmlformats.org/spreadsheetml/2006/main">
  <sheetPr codeName="Sheet29">
    <tabColor rgb="FF7030A0"/>
    <outlinePr summaryBelow="1" summaryRight="1"/>
    <pageSetUpPr/>
  </sheetPr>
  <dimension ref="A1:P65"/>
  <sheetViews>
    <sheetView showGridLines="0" workbookViewId="0">
      <selection activeCell="C19" sqref="C19"/>
    </sheetView>
  </sheetViews>
  <sheetFormatPr baseColWidth="8" defaultRowHeight="14.4"/>
  <cols>
    <col width="52" customWidth="1" style="690" min="1" max="1"/>
    <col width="17.109375" customWidth="1" style="690" min="2" max="7"/>
    <col width="13" customWidth="1" style="690" min="8" max="10"/>
    <col width="12" customWidth="1" style="690" min="11" max="11"/>
    <col width="8.88671875" customWidth="1" style="129" min="12" max="12"/>
    <col width="8.88671875" customWidth="1" style="690" min="13" max="16384"/>
    <col width="7" customWidth="1" style="632" min="14" max="14"/>
  </cols>
  <sheetData>
    <row r="1" ht="26.4" customHeight="1" s="632" thickBot="1">
      <c r="A1" s="681" t="inlineStr">
        <is>
          <t>INDUSTRY DASHBOARD</t>
        </is>
      </c>
      <c r="B1" s="681" t="n"/>
      <c r="C1" s="681" t="n"/>
      <c r="D1" s="681" t="n"/>
      <c r="E1" s="681" t="n"/>
      <c r="F1" s="681" t="n"/>
      <c r="G1" s="681" t="n"/>
      <c r="H1" s="681" t="n"/>
      <c r="I1" s="681" t="n"/>
      <c r="J1" s="681" t="n"/>
      <c r="K1" s="692">
        <f>'Control Panel'!E17</f>
        <v/>
      </c>
      <c r="L1" s="691" t="n"/>
    </row>
    <row r="2">
      <c r="A2" s="494" t="inlineStr">
        <is>
          <t xml:space="preserve">Industry Financial Model  |  Indian Steel Industry  |  Horizon FY2027E-FY2033E  |  Base year FY2026A </t>
        </is>
      </c>
    </row>
    <row r="3">
      <c r="A3" s="415" t="n"/>
    </row>
    <row r="4">
      <c r="A4" s="411" t="inlineStr">
        <is>
          <t>OBJECTIVE</t>
        </is>
      </c>
    </row>
    <row r="5">
      <c r="A5" s="394" t="inlineStr">
        <is>
          <t>Provide a one-page executive summary of the Indian steel industry with live KPIs, charts, valuation outputs, and investment conclusions.</t>
        </is>
      </c>
    </row>
    <row r="6" ht="15" customHeight="1" s="632" thickBot="1">
      <c r="A6" s="415" t="n"/>
    </row>
    <row r="7" ht="16.2" customHeight="1" s="632" thickBot="1">
      <c r="A7" s="693" t="inlineStr">
        <is>
          <t>Navigation Buttons</t>
        </is>
      </c>
      <c r="B7" s="1221" t="inlineStr">
        <is>
          <t>Index</t>
        </is>
      </c>
      <c r="C7" s="1222" t="inlineStr">
        <is>
          <t>Control Panel</t>
        </is>
      </c>
      <c r="D7" s="1222" t="inlineStr">
        <is>
          <t>Assumptions</t>
        </is>
      </c>
      <c r="E7" s="1222" t="inlineStr">
        <is>
          <t>Valuation</t>
        </is>
      </c>
      <c r="F7" s="1222" t="inlineStr">
        <is>
          <t>Sensitivity</t>
        </is>
      </c>
      <c r="G7" s="1221" t="inlineStr">
        <is>
          <t>Database</t>
        </is>
      </c>
      <c r="H7" s="1223" t="inlineStr">
        <is>
          <t>Report</t>
        </is>
      </c>
    </row>
    <row r="8">
      <c r="A8" s="415" t="n"/>
    </row>
    <row r="9">
      <c r="A9" s="415" t="n"/>
    </row>
    <row r="10">
      <c r="A10" s="415" t="n"/>
    </row>
    <row r="11">
      <c r="A11" s="415" t="n"/>
    </row>
    <row r="12">
      <c r="A12" s="415" t="n"/>
    </row>
    <row r="13">
      <c r="A13" s="415" t="n"/>
    </row>
    <row r="14">
      <c r="A14" s="415" t="n"/>
    </row>
    <row r="15">
      <c r="A15" s="415" t="n"/>
    </row>
    <row r="16">
      <c r="A16" s="415" t="n"/>
    </row>
    <row r="17">
      <c r="A17" s="415" t="n"/>
    </row>
    <row r="18">
      <c r="A18" s="415" t="n"/>
    </row>
    <row r="19">
      <c r="A19" s="415" t="n"/>
    </row>
    <row r="20">
      <c r="A20" s="415" t="n"/>
    </row>
    <row r="21">
      <c r="A21" s="415" t="n"/>
    </row>
    <row r="22">
      <c r="A22" s="415" t="n"/>
    </row>
    <row r="23">
      <c r="A23" s="415" t="n"/>
    </row>
    <row r="24">
      <c r="A24" s="415" t="n"/>
    </row>
    <row r="25">
      <c r="A25" s="415" t="n"/>
    </row>
    <row r="26">
      <c r="A26" s="415" t="n"/>
    </row>
    <row r="27">
      <c r="A27" s="415" t="n"/>
    </row>
    <row r="28">
      <c r="A28" s="200" t="n"/>
      <c r="B28" s="136" t="n"/>
      <c r="D28" s="136" t="n"/>
    </row>
    <row r="29" ht="15" customHeight="1" s="632" thickBot="1"/>
    <row r="30">
      <c r="A30" s="63" t="inlineStr">
        <is>
          <t>Line item</t>
        </is>
      </c>
      <c r="B30" s="409" t="inlineStr">
        <is>
          <t>Unit</t>
        </is>
      </c>
      <c r="C30" s="65" t="inlineStr">
        <is>
          <t>FY2026A</t>
        </is>
      </c>
      <c r="D30" s="65" t="inlineStr">
        <is>
          <t>FY2027E</t>
        </is>
      </c>
      <c r="E30" s="65" t="inlineStr">
        <is>
          <t>FY2028E</t>
        </is>
      </c>
      <c r="F30" s="65" t="inlineStr">
        <is>
          <t>FY2029E</t>
        </is>
      </c>
      <c r="G30" s="65" t="inlineStr">
        <is>
          <t>FY2030E</t>
        </is>
      </c>
      <c r="H30" s="65" t="inlineStr">
        <is>
          <t>FY2031E</t>
        </is>
      </c>
      <c r="I30" s="65" t="inlineStr">
        <is>
          <t>FY2032E</t>
        </is>
      </c>
      <c r="J30" s="65" t="inlineStr">
        <is>
          <t>FY2033E</t>
        </is>
      </c>
      <c r="K30" s="65" t="inlineStr">
        <is>
          <t>CAGR</t>
        </is>
      </c>
      <c r="L30" s="201" t="inlineStr">
        <is>
          <t>Source</t>
        </is>
      </c>
      <c r="N30" s="707" t="inlineStr">
        <is>
          <t>Ref</t>
        </is>
      </c>
    </row>
    <row r="31">
      <c r="A31" s="836" t="inlineStr">
        <is>
          <t>DEMAND AND SUPPLY</t>
        </is>
      </c>
      <c r="B31" s="837" t="n"/>
      <c r="C31" s="837" t="n"/>
      <c r="D31" s="837" t="n"/>
      <c r="E31" s="837" t="n"/>
      <c r="F31" s="837" t="n"/>
      <c r="G31" s="837" t="n"/>
      <c r="H31" s="837" t="n"/>
      <c r="I31" s="837" t="n"/>
      <c r="J31" s="837" t="n"/>
      <c r="K31" s="837" t="n"/>
      <c r="L31" s="838" t="n"/>
    </row>
    <row r="32">
      <c r="A32" s="69" t="inlineStr">
        <is>
          <t>Apparent finished steel consumption</t>
        </is>
      </c>
      <c r="B32" s="44" t="inlineStr">
        <is>
          <t>Mt</t>
        </is>
      </c>
      <c r="C32" s="840">
        <f>'Steel Demand Model'!C$116</f>
        <v/>
      </c>
      <c r="D32" s="840">
        <f>'Steel Demand Model'!D$116</f>
        <v/>
      </c>
      <c r="E32" s="840">
        <f>'Steel Demand Model'!E$116</f>
        <v/>
      </c>
      <c r="F32" s="840">
        <f>'Steel Demand Model'!F$116</f>
        <v/>
      </c>
      <c r="G32" s="840">
        <f>'Steel Demand Model'!G$116</f>
        <v/>
      </c>
      <c r="H32" s="840">
        <f>'Steel Demand Model'!H$116</f>
        <v/>
      </c>
      <c r="I32" s="840">
        <f>'Steel Demand Model'!I$116</f>
        <v/>
      </c>
      <c r="J32" s="840">
        <f>'Steel Demand Model'!J$116</f>
        <v/>
      </c>
      <c r="K32" s="839">
        <f>IFERROR(IF(AND(ISNUMBER(C32),ISNUMBER(J32),C32&gt;0),(J32/C32)^(1/7)-1,""),"")</f>
        <v/>
      </c>
      <c r="L32" s="202" t="inlineStr">
        <is>
          <t>04</t>
        </is>
      </c>
      <c r="N32" s="708" t="inlineStr">
        <is>
          <t>DB03</t>
        </is>
      </c>
    </row>
    <row r="33">
      <c r="A33" s="69" t="inlineStr">
        <is>
          <t>Consumption growth</t>
        </is>
      </c>
      <c r="B33" s="44" t="inlineStr">
        <is>
          <t>%</t>
        </is>
      </c>
      <c r="C33" s="839">
        <f>'Steel Demand Model'!C$115</f>
        <v/>
      </c>
      <c r="D33" s="839">
        <f>'Steel Demand Model'!D$115</f>
        <v/>
      </c>
      <c r="E33" s="839">
        <f>'Steel Demand Model'!E$115</f>
        <v/>
      </c>
      <c r="F33" s="839">
        <f>'Steel Demand Model'!F$115</f>
        <v/>
      </c>
      <c r="G33" s="839">
        <f>'Steel Demand Model'!G$115</f>
        <v/>
      </c>
      <c r="H33" s="839">
        <f>'Steel Demand Model'!H$115</f>
        <v/>
      </c>
      <c r="I33" s="839">
        <f>'Steel Demand Model'!I$115</f>
        <v/>
      </c>
      <c r="J33" s="839">
        <f>'Steel Demand Model'!J$115</f>
        <v/>
      </c>
      <c r="K33" s="45" t="n"/>
      <c r="L33" s="202" t="inlineStr">
        <is>
          <t>04</t>
        </is>
      </c>
      <c r="N33" s="708" t="inlineStr">
        <is>
          <t>DB04</t>
        </is>
      </c>
    </row>
    <row r="34">
      <c r="A34" s="69" t="inlineStr">
        <is>
          <t>Per capita consumption</t>
        </is>
      </c>
      <c r="B34" s="44" t="inlineStr">
        <is>
          <t>kg</t>
        </is>
      </c>
      <c r="C34" s="840">
        <f>'Steel Demand Model'!C$121</f>
        <v/>
      </c>
      <c r="D34" s="840">
        <f>'Steel Demand Model'!D$121</f>
        <v/>
      </c>
      <c r="E34" s="840">
        <f>'Steel Demand Model'!E$121</f>
        <v/>
      </c>
      <c r="F34" s="840">
        <f>'Steel Demand Model'!F$121</f>
        <v/>
      </c>
      <c r="G34" s="840">
        <f>'Steel Demand Model'!G$121</f>
        <v/>
      </c>
      <c r="H34" s="840">
        <f>'Steel Demand Model'!H$121</f>
        <v/>
      </c>
      <c r="I34" s="840">
        <f>'Steel Demand Model'!I$121</f>
        <v/>
      </c>
      <c r="J34" s="840">
        <f>'Steel Demand Model'!J$121</f>
        <v/>
      </c>
      <c r="K34" s="839">
        <f>IFERROR(IF(AND(ISNUMBER(C34),ISNUMBER(J34),C34&gt;0),(J34/C34)^(1/7)-1,""),"")</f>
        <v/>
      </c>
      <c r="L34" s="202" t="inlineStr">
        <is>
          <t>04</t>
        </is>
      </c>
      <c r="N34" s="708" t="inlineStr">
        <is>
          <t>DB05</t>
        </is>
      </c>
    </row>
    <row r="35">
      <c r="A35" s="69" t="inlineStr">
        <is>
          <t>Crude steel production</t>
        </is>
      </c>
      <c r="B35" s="44" t="inlineStr">
        <is>
          <t>Mt</t>
        </is>
      </c>
      <c r="C35" s="840">
        <f>'Steel Supply Model'!C$99</f>
        <v/>
      </c>
      <c r="D35" s="840">
        <f>'Steel Supply Model'!D$99</f>
        <v/>
      </c>
      <c r="E35" s="840">
        <f>'Steel Supply Model'!E$99</f>
        <v/>
      </c>
      <c r="F35" s="840">
        <f>'Steel Supply Model'!F$99</f>
        <v/>
      </c>
      <c r="G35" s="840">
        <f>'Steel Supply Model'!G$99</f>
        <v/>
      </c>
      <c r="H35" s="840">
        <f>'Steel Supply Model'!H$99</f>
        <v/>
      </c>
      <c r="I35" s="840">
        <f>'Steel Supply Model'!I$99</f>
        <v/>
      </c>
      <c r="J35" s="840">
        <f>'Steel Supply Model'!J$99</f>
        <v/>
      </c>
      <c r="K35" s="839">
        <f>IFERROR(IF(AND(ISNUMBER(C35),ISNUMBER(J35),C35&gt;0),(J35/C35)^(1/7)-1,""),"")</f>
        <v/>
      </c>
      <c r="L35" s="202" t="inlineStr">
        <is>
          <t>05</t>
        </is>
      </c>
      <c r="N35" s="708" t="inlineStr">
        <is>
          <t>DB06</t>
        </is>
      </c>
    </row>
    <row r="36">
      <c r="A36" s="69" t="inlineStr">
        <is>
          <t>Crude steel capacity</t>
        </is>
      </c>
      <c r="B36" s="44" t="inlineStr">
        <is>
          <t>Mtpa</t>
        </is>
      </c>
      <c r="C36" s="840">
        <f>'Capacity Forecast'!C$101</f>
        <v/>
      </c>
      <c r="D36" s="840">
        <f>'Capacity Forecast'!D$101</f>
        <v/>
      </c>
      <c r="E36" s="840">
        <f>'Capacity Forecast'!E$101</f>
        <v/>
      </c>
      <c r="F36" s="840">
        <f>'Capacity Forecast'!F$101</f>
        <v/>
      </c>
      <c r="G36" s="840">
        <f>'Capacity Forecast'!G$101</f>
        <v/>
      </c>
      <c r="H36" s="840">
        <f>'Capacity Forecast'!H$101</f>
        <v/>
      </c>
      <c r="I36" s="840">
        <f>'Capacity Forecast'!I$101</f>
        <v/>
      </c>
      <c r="J36" s="840">
        <f>'Capacity Forecast'!J$101</f>
        <v/>
      </c>
      <c r="K36" s="839">
        <f>IFERROR(IF(AND(ISNUMBER(C36),ISNUMBER(J36),C36&gt;0),(J36/C36)^(1/7)-1,""),"")</f>
        <v/>
      </c>
      <c r="L36" s="202" t="inlineStr">
        <is>
          <t>06</t>
        </is>
      </c>
      <c r="N36" s="708" t="inlineStr">
        <is>
          <t>DB07</t>
        </is>
      </c>
    </row>
    <row r="37">
      <c r="A37" s="69" t="inlineStr">
        <is>
          <t>Capacity utilisation</t>
        </is>
      </c>
      <c r="B37" s="44" t="inlineStr">
        <is>
          <t>%</t>
        </is>
      </c>
      <c r="C37" s="839">
        <f>'Capacity Utilisation'!C$67</f>
        <v/>
      </c>
      <c r="D37" s="839">
        <f>'Capacity Utilisation'!D$67</f>
        <v/>
      </c>
      <c r="E37" s="839">
        <f>'Capacity Utilisation'!E$67</f>
        <v/>
      </c>
      <c r="F37" s="839">
        <f>'Capacity Utilisation'!F$67</f>
        <v/>
      </c>
      <c r="G37" s="839">
        <f>'Capacity Utilisation'!G$67</f>
        <v/>
      </c>
      <c r="H37" s="839">
        <f>'Capacity Utilisation'!H$67</f>
        <v/>
      </c>
      <c r="I37" s="839">
        <f>'Capacity Utilisation'!I$67</f>
        <v/>
      </c>
      <c r="J37" s="839">
        <f>'Capacity Utilisation'!J$67</f>
        <v/>
      </c>
      <c r="K37" s="45" t="n"/>
      <c r="L37" s="202" t="inlineStr">
        <is>
          <t>08</t>
        </is>
      </c>
      <c r="N37" s="708" t="inlineStr">
        <is>
          <t>DB08</t>
        </is>
      </c>
    </row>
    <row r="38">
      <c r="A38" s="836" t="inlineStr">
        <is>
          <t>PRICES AND COSTS</t>
        </is>
      </c>
      <c r="B38" s="837" t="n"/>
      <c r="C38" s="837" t="n"/>
      <c r="D38" s="837" t="n"/>
      <c r="E38" s="837" t="n"/>
      <c r="F38" s="837" t="n"/>
      <c r="G38" s="837" t="n"/>
      <c r="H38" s="837" t="n"/>
      <c r="I38" s="837" t="n"/>
      <c r="J38" s="837" t="n"/>
      <c r="K38" s="837" t="n"/>
      <c r="L38" s="838" t="n"/>
    </row>
    <row r="39">
      <c r="A39" s="69" t="inlineStr">
        <is>
          <t>Blended realisation</t>
        </is>
      </c>
      <c r="B39" s="44" t="inlineStr">
        <is>
          <t>Rs/t</t>
        </is>
      </c>
      <c r="C39" s="1086">
        <f>'Steel Price Forecast'!C$103</f>
        <v/>
      </c>
      <c r="D39" s="1086">
        <f>'Steel Price Forecast'!D$103</f>
        <v/>
      </c>
      <c r="E39" s="1086">
        <f>'Steel Price Forecast'!E$103</f>
        <v/>
      </c>
      <c r="F39" s="1086">
        <f>'Steel Price Forecast'!F$103</f>
        <v/>
      </c>
      <c r="G39" s="1086">
        <f>'Steel Price Forecast'!G$103</f>
        <v/>
      </c>
      <c r="H39" s="1086">
        <f>'Steel Price Forecast'!H$103</f>
        <v/>
      </c>
      <c r="I39" s="1086">
        <f>'Steel Price Forecast'!I$103</f>
        <v/>
      </c>
      <c r="J39" s="1086">
        <f>'Steel Price Forecast'!J$103</f>
        <v/>
      </c>
      <c r="K39" s="839">
        <f>IFERROR(IF(AND(ISNUMBER(C39),ISNUMBER(J39),C39&gt;0),(J39/C39)^(1/7)-1,""),"")</f>
        <v/>
      </c>
      <c r="L39" s="202" t="inlineStr">
        <is>
          <t>09</t>
        </is>
      </c>
      <c r="N39" s="708" t="inlineStr">
        <is>
          <t>DB09</t>
        </is>
      </c>
    </row>
    <row r="40">
      <c r="A40" s="69" t="inlineStr">
        <is>
          <t>Iron ore 62% Fe CFR China</t>
        </is>
      </c>
      <c r="B40" s="44" t="inlineStr">
        <is>
          <t>US$/dmt</t>
        </is>
      </c>
      <c r="C40" s="841">
        <f>'Raw Material Forecast'!C$85</f>
        <v/>
      </c>
      <c r="D40" s="841">
        <f>'Raw Material Forecast'!D$85</f>
        <v/>
      </c>
      <c r="E40" s="841">
        <f>'Raw Material Forecast'!E$85</f>
        <v/>
      </c>
      <c r="F40" s="841">
        <f>'Raw Material Forecast'!F$85</f>
        <v/>
      </c>
      <c r="G40" s="841">
        <f>'Raw Material Forecast'!G$85</f>
        <v/>
      </c>
      <c r="H40" s="841">
        <f>'Raw Material Forecast'!H$85</f>
        <v/>
      </c>
      <c r="I40" s="841">
        <f>'Raw Material Forecast'!I$85</f>
        <v/>
      </c>
      <c r="J40" s="841">
        <f>'Raw Material Forecast'!J$85</f>
        <v/>
      </c>
      <c r="K40" s="839">
        <f>IFERROR(IF(AND(ISNUMBER(C40),ISNUMBER(J40),C40&gt;0),(J40/C40)^(1/7)-1,""),"")</f>
        <v/>
      </c>
      <c r="L40" s="202" t="inlineStr">
        <is>
          <t>10</t>
        </is>
      </c>
      <c r="N40" s="708" t="inlineStr">
        <is>
          <t>DB10</t>
        </is>
      </c>
    </row>
    <row r="41">
      <c r="A41" s="69" t="inlineStr">
        <is>
          <t>Premium HCC coking coal</t>
        </is>
      </c>
      <c r="B41" s="44" t="inlineStr">
        <is>
          <t>US$/t</t>
        </is>
      </c>
      <c r="C41" s="841">
        <f>'Raw Material Forecast'!C$86</f>
        <v/>
      </c>
      <c r="D41" s="841">
        <f>'Raw Material Forecast'!D$86</f>
        <v/>
      </c>
      <c r="E41" s="841">
        <f>'Raw Material Forecast'!E$86</f>
        <v/>
      </c>
      <c r="F41" s="841">
        <f>'Raw Material Forecast'!F$86</f>
        <v/>
      </c>
      <c r="G41" s="841">
        <f>'Raw Material Forecast'!G$86</f>
        <v/>
      </c>
      <c r="H41" s="841">
        <f>'Raw Material Forecast'!H$86</f>
        <v/>
      </c>
      <c r="I41" s="841">
        <f>'Raw Material Forecast'!I$86</f>
        <v/>
      </c>
      <c r="J41" s="841">
        <f>'Raw Material Forecast'!J$86</f>
        <v/>
      </c>
      <c r="K41" s="839">
        <f>IFERROR(IF(AND(ISNUMBER(C41),ISNUMBER(J41),C41&gt;0),(J41/C41)^(1/7)-1,""),"")</f>
        <v/>
      </c>
      <c r="L41" s="202" t="inlineStr">
        <is>
          <t>10</t>
        </is>
      </c>
      <c r="N41" s="708" t="inlineStr">
        <is>
          <t>DB11</t>
        </is>
      </c>
    </row>
    <row r="42">
      <c r="A42" s="69" t="inlineStr">
        <is>
          <t>USD/INR</t>
        </is>
      </c>
      <c r="B42" s="44" t="inlineStr">
        <is>
          <t>Rs/US$</t>
        </is>
      </c>
      <c r="C42" s="841">
        <f>'Raw Material Forecast'!C$87</f>
        <v/>
      </c>
      <c r="D42" s="841">
        <f>'Raw Material Forecast'!D$87</f>
        <v/>
      </c>
      <c r="E42" s="841">
        <f>'Raw Material Forecast'!E$87</f>
        <v/>
      </c>
      <c r="F42" s="841">
        <f>'Raw Material Forecast'!F$87</f>
        <v/>
      </c>
      <c r="G42" s="841">
        <f>'Raw Material Forecast'!G$87</f>
        <v/>
      </c>
      <c r="H42" s="841">
        <f>'Raw Material Forecast'!H$87</f>
        <v/>
      </c>
      <c r="I42" s="841">
        <f>'Raw Material Forecast'!I$87</f>
        <v/>
      </c>
      <c r="J42" s="841">
        <f>'Raw Material Forecast'!J$87</f>
        <v/>
      </c>
      <c r="K42" s="839">
        <f>IFERROR(IF(AND(ISNUMBER(C42),ISNUMBER(J42),C42&gt;0),(J42/C42)^(1/7)-1,""),"")</f>
        <v/>
      </c>
      <c r="L42" s="202" t="inlineStr">
        <is>
          <t>10</t>
        </is>
      </c>
      <c r="N42" s="708" t="inlineStr">
        <is>
          <t>DB12</t>
        </is>
      </c>
    </row>
    <row r="43">
      <c r="A43" s="69" t="inlineStr">
        <is>
          <t>Cash cost per tonne</t>
        </is>
      </c>
      <c r="B43" s="44" t="inlineStr">
        <is>
          <t>Rs/t</t>
        </is>
      </c>
      <c r="C43" s="1086">
        <f>'Cost Curve'!C$80</f>
        <v/>
      </c>
      <c r="D43" s="1086">
        <f>'Cost Curve'!D$80</f>
        <v/>
      </c>
      <c r="E43" s="1086">
        <f>'Cost Curve'!E$80</f>
        <v/>
      </c>
      <c r="F43" s="1086">
        <f>'Cost Curve'!F$80</f>
        <v/>
      </c>
      <c r="G43" s="1086">
        <f>'Cost Curve'!G$80</f>
        <v/>
      </c>
      <c r="H43" s="1086">
        <f>'Cost Curve'!H$80</f>
        <v/>
      </c>
      <c r="I43" s="1086">
        <f>'Cost Curve'!I$80</f>
        <v/>
      </c>
      <c r="J43" s="1086">
        <f>'Cost Curve'!J$80</f>
        <v/>
      </c>
      <c r="K43" s="839">
        <f>IFERROR(IF(AND(ISNUMBER(C43),ISNUMBER(J43),C43&gt;0),(J43/C43)^(1/7)-1,""),"")</f>
        <v/>
      </c>
      <c r="L43" s="202" t="inlineStr">
        <is>
          <t>11</t>
        </is>
      </c>
      <c r="N43" s="708" t="inlineStr">
        <is>
          <t>DB13</t>
        </is>
      </c>
    </row>
    <row r="44">
      <c r="A44" s="836" t="inlineStr">
        <is>
          <t>PROFITABILITY</t>
        </is>
      </c>
      <c r="B44" s="837" t="n"/>
      <c r="C44" s="837" t="n"/>
      <c r="D44" s="837" t="n"/>
      <c r="E44" s="837" t="n"/>
      <c r="F44" s="837" t="n"/>
      <c r="G44" s="837" t="n"/>
      <c r="H44" s="837" t="n"/>
      <c r="I44" s="837" t="n"/>
      <c r="J44" s="837" t="n"/>
      <c r="K44" s="837" t="n"/>
      <c r="L44" s="838" t="n"/>
    </row>
    <row r="45">
      <c r="A45" s="69" t="inlineStr">
        <is>
          <t>EBITDA per tonne</t>
        </is>
      </c>
      <c r="B45" s="44" t="inlineStr">
        <is>
          <t>Rs/t</t>
        </is>
      </c>
      <c r="C45" s="1086">
        <f>'EBITDA Model'!C$101</f>
        <v/>
      </c>
      <c r="D45" s="1086">
        <f>'EBITDA Model'!D$101</f>
        <v/>
      </c>
      <c r="E45" s="1086">
        <f>'EBITDA Model'!E$101</f>
        <v/>
      </c>
      <c r="F45" s="1086">
        <f>'EBITDA Model'!F$101</f>
        <v/>
      </c>
      <c r="G45" s="1086">
        <f>'EBITDA Model'!G$101</f>
        <v/>
      </c>
      <c r="H45" s="1086">
        <f>'EBITDA Model'!H$101</f>
        <v/>
      </c>
      <c r="I45" s="1086">
        <f>'EBITDA Model'!I$101</f>
        <v/>
      </c>
      <c r="J45" s="1086">
        <f>'EBITDA Model'!J$101</f>
        <v/>
      </c>
      <c r="K45" s="839">
        <f>IFERROR(IF(AND(ISNUMBER(C45),ISNUMBER(J45),C45&gt;0),(J45/C45)^(1/7)-1,""),"")</f>
        <v/>
      </c>
      <c r="L45" s="202" t="inlineStr">
        <is>
          <t>13</t>
        </is>
      </c>
      <c r="N45" s="708" t="inlineStr">
        <is>
          <t>DB14</t>
        </is>
      </c>
    </row>
    <row r="46">
      <c r="A46" s="69" t="inlineStr">
        <is>
          <t>Industry EBITDA margin</t>
        </is>
      </c>
      <c r="B46" s="44" t="inlineStr">
        <is>
          <t>%</t>
        </is>
      </c>
      <c r="C46" s="839">
        <f>'Margin Analysis'!C$91</f>
        <v/>
      </c>
      <c r="D46" s="839">
        <f>'Margin Analysis'!D$91</f>
        <v/>
      </c>
      <c r="E46" s="839">
        <f>'Margin Analysis'!E$91</f>
        <v/>
      </c>
      <c r="F46" s="839">
        <f>'Margin Analysis'!F$91</f>
        <v/>
      </c>
      <c r="G46" s="839">
        <f>'Margin Analysis'!G$91</f>
        <v/>
      </c>
      <c r="H46" s="839">
        <f>'Margin Analysis'!H$91</f>
        <v/>
      </c>
      <c r="I46" s="839">
        <f>'Margin Analysis'!I$91</f>
        <v/>
      </c>
      <c r="J46" s="839">
        <f>'Margin Analysis'!J$91</f>
        <v/>
      </c>
      <c r="K46" s="45" t="n"/>
      <c r="L46" s="202" t="inlineStr">
        <is>
          <t>14</t>
        </is>
      </c>
      <c r="N46" s="708" t="inlineStr">
        <is>
          <t>DB15</t>
        </is>
      </c>
    </row>
    <row r="47">
      <c r="A47" s="69" t="inlineStr">
        <is>
          <t>Industry revenue</t>
        </is>
      </c>
      <c r="B47" s="44" t="inlineStr">
        <is>
          <t>Rs cr</t>
        </is>
      </c>
      <c r="C47" s="1086">
        <f>'Revenue Forecast'!C$96</f>
        <v/>
      </c>
      <c r="D47" s="1086">
        <f>'Revenue Forecast'!D$96</f>
        <v/>
      </c>
      <c r="E47" s="1086">
        <f>'Revenue Forecast'!E$96</f>
        <v/>
      </c>
      <c r="F47" s="1086">
        <f>'Revenue Forecast'!F$96</f>
        <v/>
      </c>
      <c r="G47" s="1086">
        <f>'Revenue Forecast'!G$96</f>
        <v/>
      </c>
      <c r="H47" s="1086">
        <f>'Revenue Forecast'!H$96</f>
        <v/>
      </c>
      <c r="I47" s="1086">
        <f>'Revenue Forecast'!I$96</f>
        <v/>
      </c>
      <c r="J47" s="1086">
        <f>'Revenue Forecast'!J$96</f>
        <v/>
      </c>
      <c r="K47" s="839">
        <f>IFERROR(IF(AND(ISNUMBER(C47),ISNUMBER(J47),C47&gt;0),(J47/C47)^(1/7)-1,""),"")</f>
        <v/>
      </c>
      <c r="L47" s="202" t="inlineStr">
        <is>
          <t>12</t>
        </is>
      </c>
      <c r="N47" s="708" t="inlineStr">
        <is>
          <t>DB16</t>
        </is>
      </c>
    </row>
    <row r="48">
      <c r="A48" s="69" t="inlineStr">
        <is>
          <t>Industry EBITDA</t>
        </is>
      </c>
      <c r="B48" s="44" t="inlineStr">
        <is>
          <t>Rs cr</t>
        </is>
      </c>
      <c r="C48" s="1086">
        <f>'EBITDA Model'!C$103</f>
        <v/>
      </c>
      <c r="D48" s="1086">
        <f>'EBITDA Model'!D$103</f>
        <v/>
      </c>
      <c r="E48" s="1086">
        <f>'EBITDA Model'!E$103</f>
        <v/>
      </c>
      <c r="F48" s="1086">
        <f>'EBITDA Model'!F$103</f>
        <v/>
      </c>
      <c r="G48" s="1086">
        <f>'EBITDA Model'!G$103</f>
        <v/>
      </c>
      <c r="H48" s="1086">
        <f>'EBITDA Model'!H$103</f>
        <v/>
      </c>
      <c r="I48" s="1086">
        <f>'EBITDA Model'!I$103</f>
        <v/>
      </c>
      <c r="J48" s="1086">
        <f>'EBITDA Model'!J$103</f>
        <v/>
      </c>
      <c r="K48" s="839">
        <f>IFERROR(IF(AND(ISNUMBER(C48),ISNUMBER(J48),C48&gt;0),(J48/C48)^(1/7)-1,""),"")</f>
        <v/>
      </c>
      <c r="L48" s="202" t="inlineStr">
        <is>
          <t>13</t>
        </is>
      </c>
      <c r="N48" s="708" t="inlineStr">
        <is>
          <t>DB17</t>
        </is>
      </c>
    </row>
    <row r="49">
      <c r="A49" s="69" t="inlineStr">
        <is>
          <t>Cycle position</t>
        </is>
      </c>
      <c r="B49" s="44" t="inlineStr">
        <is>
          <t>class</t>
        </is>
      </c>
      <c r="C49" s="89">
        <f>'Industry Cycle Model'!C92</f>
        <v/>
      </c>
      <c r="D49" s="89">
        <f>'Industry Cycle Model'!D92</f>
        <v/>
      </c>
      <c r="E49" s="89">
        <f>'Industry Cycle Model'!E92</f>
        <v/>
      </c>
      <c r="F49" s="89">
        <f>'Industry Cycle Model'!F92</f>
        <v/>
      </c>
      <c r="G49" s="89">
        <f>'Industry Cycle Model'!G92</f>
        <v/>
      </c>
      <c r="H49" s="89">
        <f>'Industry Cycle Model'!H92</f>
        <v/>
      </c>
      <c r="I49" s="89">
        <f>'Industry Cycle Model'!I92</f>
        <v/>
      </c>
      <c r="J49" s="89">
        <f>'Industry Cycle Model'!J92</f>
        <v/>
      </c>
      <c r="K49" s="45" t="n"/>
      <c r="L49" s="202" t="inlineStr">
        <is>
          <t>18</t>
        </is>
      </c>
      <c r="N49" s="708" t="inlineStr">
        <is>
          <t>DB18</t>
        </is>
      </c>
    </row>
    <row r="50">
      <c r="A50" s="836" t="inlineStr">
        <is>
          <t>CASH AND BALANCE SHEET</t>
        </is>
      </c>
      <c r="B50" s="837" t="n"/>
      <c r="C50" s="837" t="n"/>
      <c r="D50" s="837" t="n"/>
      <c r="E50" s="837" t="n"/>
      <c r="F50" s="837" t="n"/>
      <c r="G50" s="837" t="n"/>
      <c r="H50" s="837" t="n"/>
      <c r="I50" s="837" t="n"/>
      <c r="J50" s="837" t="n"/>
      <c r="K50" s="837" t="n"/>
      <c r="L50" s="838" t="n"/>
    </row>
    <row r="51">
      <c r="A51" s="69" t="inlineStr">
        <is>
          <t>Total capex</t>
        </is>
      </c>
      <c r="B51" s="44" t="inlineStr">
        <is>
          <t>Rs cr</t>
        </is>
      </c>
      <c r="C51" s="1086">
        <f>'Cash Flow Model'!C$110</f>
        <v/>
      </c>
      <c r="D51" s="1086">
        <f>'Cash Flow Model'!D$110</f>
        <v/>
      </c>
      <c r="E51" s="1086">
        <f>'Cash Flow Model'!E$110</f>
        <v/>
      </c>
      <c r="F51" s="1086">
        <f>'Cash Flow Model'!F$110</f>
        <v/>
      </c>
      <c r="G51" s="1086">
        <f>'Cash Flow Model'!G$110</f>
        <v/>
      </c>
      <c r="H51" s="1086">
        <f>'Cash Flow Model'!H$110</f>
        <v/>
      </c>
      <c r="I51" s="1086">
        <f>'Cash Flow Model'!I$110</f>
        <v/>
      </c>
      <c r="J51" s="1086">
        <f>'Cash Flow Model'!J$110</f>
        <v/>
      </c>
      <c r="K51" s="839">
        <f>IFERROR(IF(AND(ISNUMBER(C51),ISNUMBER(J51),C51&gt;0),(J51/C51)^(1/7)-1,""),"")</f>
        <v/>
      </c>
      <c r="L51" s="202" t="inlineStr">
        <is>
          <t>16</t>
        </is>
      </c>
      <c r="N51" s="708" t="inlineStr">
        <is>
          <t>DB19</t>
        </is>
      </c>
    </row>
    <row r="52">
      <c r="A52" s="69" t="inlineStr">
        <is>
          <t>Unlevered free cash flow</t>
        </is>
      </c>
      <c r="B52" s="44" t="inlineStr">
        <is>
          <t>Rs cr</t>
        </is>
      </c>
      <c r="C52" s="1086">
        <f>'Cash Flow Model'!C$114</f>
        <v/>
      </c>
      <c r="D52" s="1086">
        <f>'Cash Flow Model'!D$114</f>
        <v/>
      </c>
      <c r="E52" s="1086">
        <f>'Cash Flow Model'!E$114</f>
        <v/>
      </c>
      <c r="F52" s="1086">
        <f>'Cash Flow Model'!F$114</f>
        <v/>
      </c>
      <c r="G52" s="1086">
        <f>'Cash Flow Model'!G$114</f>
        <v/>
      </c>
      <c r="H52" s="1086">
        <f>'Cash Flow Model'!H$114</f>
        <v/>
      </c>
      <c r="I52" s="1086">
        <f>'Cash Flow Model'!I$114</f>
        <v/>
      </c>
      <c r="J52" s="1086">
        <f>'Cash Flow Model'!J$114</f>
        <v/>
      </c>
      <c r="K52" s="839">
        <f>IFERROR(IF(AND(ISNUMBER(C52),ISNUMBER(J52),C52&gt;0),(J52/C52)^(1/7)-1,""),"")</f>
        <v/>
      </c>
      <c r="L52" s="202" t="inlineStr">
        <is>
          <t>16</t>
        </is>
      </c>
      <c r="N52" s="708" t="inlineStr">
        <is>
          <t>DB20</t>
        </is>
      </c>
    </row>
    <row r="53">
      <c r="A53" s="69" t="inlineStr">
        <is>
          <t>FCF conversion</t>
        </is>
      </c>
      <c r="B53" s="44" t="inlineStr">
        <is>
          <t>% of EBITDA</t>
        </is>
      </c>
      <c r="C53" s="839">
        <f>'Cash Flow Model'!C$115</f>
        <v/>
      </c>
      <c r="D53" s="839">
        <f>'Cash Flow Model'!D$115</f>
        <v/>
      </c>
      <c r="E53" s="839">
        <f>'Cash Flow Model'!E$115</f>
        <v/>
      </c>
      <c r="F53" s="839">
        <f>'Cash Flow Model'!F$115</f>
        <v/>
      </c>
      <c r="G53" s="839">
        <f>'Cash Flow Model'!G$115</f>
        <v/>
      </c>
      <c r="H53" s="839">
        <f>'Cash Flow Model'!H$115</f>
        <v/>
      </c>
      <c r="I53" s="839">
        <f>'Cash Flow Model'!I$115</f>
        <v/>
      </c>
      <c r="J53" s="839">
        <f>'Cash Flow Model'!J$115</f>
        <v/>
      </c>
      <c r="K53" s="45" t="n"/>
      <c r="L53" s="202" t="inlineStr">
        <is>
          <t>16</t>
        </is>
      </c>
      <c r="N53" s="708" t="inlineStr">
        <is>
          <t>DB21</t>
        </is>
      </c>
    </row>
    <row r="54">
      <c r="A54" s="69" t="inlineStr">
        <is>
          <t>Net debt</t>
        </is>
      </c>
      <c r="B54" s="44" t="inlineStr">
        <is>
          <t>Rs cr</t>
        </is>
      </c>
      <c r="C54" s="1086">
        <f>'Capital Allocation'!C$80</f>
        <v/>
      </c>
      <c r="D54" s="1086">
        <f>'Capital Allocation'!D$80</f>
        <v/>
      </c>
      <c r="E54" s="1086">
        <f>'Capital Allocation'!E$80</f>
        <v/>
      </c>
      <c r="F54" s="1086">
        <f>'Capital Allocation'!F$80</f>
        <v/>
      </c>
      <c r="G54" s="1086">
        <f>'Capital Allocation'!G$80</f>
        <v/>
      </c>
      <c r="H54" s="1086">
        <f>'Capital Allocation'!H$80</f>
        <v/>
      </c>
      <c r="I54" s="1086">
        <f>'Capital Allocation'!I$80</f>
        <v/>
      </c>
      <c r="J54" s="1086">
        <f>'Capital Allocation'!J$80</f>
        <v/>
      </c>
      <c r="K54" s="839">
        <f>IFERROR(IF(AND(ISNUMBER(C54),ISNUMBER(J54),C54&gt;0),(J54/C54)^(1/7)-1,""),"")</f>
        <v/>
      </c>
      <c r="L54" s="202" t="inlineStr">
        <is>
          <t>17</t>
        </is>
      </c>
      <c r="N54" s="708" t="inlineStr">
        <is>
          <t>DB22</t>
        </is>
      </c>
    </row>
    <row r="55">
      <c r="A55" s="69" t="inlineStr">
        <is>
          <t>Net debt / EBITDA</t>
        </is>
      </c>
      <c r="B55" s="44" t="inlineStr">
        <is>
          <t>x</t>
        </is>
      </c>
      <c r="C55" s="48" t="n">
        <v>1.070998714565345</v>
      </c>
      <c r="D55" s="1224">
        <f>'Capital Allocation'!D$84</f>
        <v/>
      </c>
      <c r="E55" s="1224">
        <f>'Capital Allocation'!E$84</f>
        <v/>
      </c>
      <c r="F55" s="1224">
        <f>'Capital Allocation'!F$84</f>
        <v/>
      </c>
      <c r="G55" s="1224">
        <f>'Capital Allocation'!G$84</f>
        <v/>
      </c>
      <c r="H55" s="1224">
        <f>'Capital Allocation'!H$84</f>
        <v/>
      </c>
      <c r="I55" s="1224">
        <f>'Capital Allocation'!I$84</f>
        <v/>
      </c>
      <c r="J55" s="1224">
        <f>'Capital Allocation'!J$84</f>
        <v/>
      </c>
      <c r="K55" s="45" t="n"/>
      <c r="L55" s="202" t="inlineStr">
        <is>
          <t>17</t>
        </is>
      </c>
      <c r="N55" s="708" t="inlineStr">
        <is>
          <t>DB01, DB23</t>
        </is>
      </c>
    </row>
    <row r="56">
      <c r="A56" s="836" t="inlineStr">
        <is>
          <t>TRADE</t>
        </is>
      </c>
      <c r="B56" s="837" t="n"/>
      <c r="C56" s="837" t="n"/>
      <c r="D56" s="837" t="n"/>
      <c r="E56" s="837" t="n"/>
      <c r="F56" s="837" t="n"/>
      <c r="G56" s="837" t="n"/>
      <c r="H56" s="837" t="n"/>
      <c r="I56" s="837" t="n"/>
      <c r="J56" s="837" t="n"/>
      <c r="K56" s="837" t="n"/>
      <c r="L56" s="838" t="n"/>
    </row>
    <row r="57">
      <c r="A57" s="69" t="inlineStr">
        <is>
          <t>Finished steel imports</t>
        </is>
      </c>
      <c r="B57" s="44" t="inlineStr">
        <is>
          <t>Mt</t>
        </is>
      </c>
      <c r="C57" s="841">
        <f>'Trade Model'!C$76</f>
        <v/>
      </c>
      <c r="D57" s="841">
        <f>'Trade Model'!D$76</f>
        <v/>
      </c>
      <c r="E57" s="841">
        <f>'Trade Model'!E$76</f>
        <v/>
      </c>
      <c r="F57" s="841">
        <f>'Trade Model'!F$76</f>
        <v/>
      </c>
      <c r="G57" s="841">
        <f>'Trade Model'!G$76</f>
        <v/>
      </c>
      <c r="H57" s="841">
        <f>'Trade Model'!H$76</f>
        <v/>
      </c>
      <c r="I57" s="841">
        <f>'Trade Model'!I$76</f>
        <v/>
      </c>
      <c r="J57" s="841">
        <f>'Trade Model'!J$76</f>
        <v/>
      </c>
      <c r="K57" s="839">
        <f>IFERROR(IF(AND(ISNUMBER(C57),ISNUMBER(J57),C57&gt;0),(J57/C57)^(1/7)-1,""),"")</f>
        <v/>
      </c>
      <c r="L57" s="202" t="inlineStr">
        <is>
          <t>19</t>
        </is>
      </c>
      <c r="N57" s="708" t="inlineStr">
        <is>
          <t>DB24</t>
        </is>
      </c>
    </row>
    <row r="58">
      <c r="A58" s="69" t="inlineStr">
        <is>
          <t>Finished steel exports</t>
        </is>
      </c>
      <c r="B58" s="44" t="inlineStr">
        <is>
          <t>Mt</t>
        </is>
      </c>
      <c r="C58" s="841">
        <f>'Trade Model'!C$78</f>
        <v/>
      </c>
      <c r="D58" s="841">
        <f>'Trade Model'!D$78</f>
        <v/>
      </c>
      <c r="E58" s="841">
        <f>'Trade Model'!E$78</f>
        <v/>
      </c>
      <c r="F58" s="841">
        <f>'Trade Model'!F$78</f>
        <v/>
      </c>
      <c r="G58" s="841">
        <f>'Trade Model'!G$78</f>
        <v/>
      </c>
      <c r="H58" s="841">
        <f>'Trade Model'!H$78</f>
        <v/>
      </c>
      <c r="I58" s="841">
        <f>'Trade Model'!I$78</f>
        <v/>
      </c>
      <c r="J58" s="841">
        <f>'Trade Model'!J$78</f>
        <v/>
      </c>
      <c r="K58" s="839">
        <f>IFERROR(IF(AND(ISNUMBER(C58),ISNUMBER(J58),C58&gt;0),(J58/C58)^(1/7)-1,""),"")</f>
        <v/>
      </c>
      <c r="L58" s="202" t="inlineStr">
        <is>
          <t>19</t>
        </is>
      </c>
      <c r="N58" s="708" t="inlineStr">
        <is>
          <t>DB25</t>
        </is>
      </c>
    </row>
    <row r="59">
      <c r="A59" s="69" t="inlineStr">
        <is>
          <t>Net trade position</t>
        </is>
      </c>
      <c r="B59" s="44" t="inlineStr">
        <is>
          <t>Mt</t>
        </is>
      </c>
      <c r="C59" s="841">
        <f>'Trade Model'!C$85</f>
        <v/>
      </c>
      <c r="D59" s="841">
        <f>'Trade Model'!D$85</f>
        <v/>
      </c>
      <c r="E59" s="841">
        <f>'Trade Model'!E$85</f>
        <v/>
      </c>
      <c r="F59" s="841">
        <f>'Trade Model'!F$85</f>
        <v/>
      </c>
      <c r="G59" s="841">
        <f>'Trade Model'!G$85</f>
        <v/>
      </c>
      <c r="H59" s="841">
        <f>'Trade Model'!H$85</f>
        <v/>
      </c>
      <c r="I59" s="841">
        <f>'Trade Model'!I$85</f>
        <v/>
      </c>
      <c r="J59" s="841">
        <f>'Trade Model'!J$85</f>
        <v/>
      </c>
      <c r="K59" s="839">
        <f>IFERROR(IF(AND(ISNUMBER(C59),ISNUMBER(J59),C59&gt;0),(J59/C59)^(1/7)-1,""),"")</f>
        <v/>
      </c>
      <c r="L59" s="202" t="inlineStr">
        <is>
          <t>19</t>
        </is>
      </c>
      <c r="N59" s="708" t="inlineStr">
        <is>
          <t>DB26</t>
        </is>
      </c>
    </row>
    <row r="60">
      <c r="A60" s="69" t="inlineStr">
        <is>
          <t>Import penetration</t>
        </is>
      </c>
      <c r="B60" s="44" t="inlineStr">
        <is>
          <t>% of consumption</t>
        </is>
      </c>
      <c r="C60" s="839">
        <f>'Trade Model'!C$83</f>
        <v/>
      </c>
      <c r="D60" s="839">
        <f>'Trade Model'!D$83</f>
        <v/>
      </c>
      <c r="E60" s="839">
        <f>'Trade Model'!E$83</f>
        <v/>
      </c>
      <c r="F60" s="839">
        <f>'Trade Model'!F$83</f>
        <v/>
      </c>
      <c r="G60" s="839">
        <f>'Trade Model'!G$83</f>
        <v/>
      </c>
      <c r="H60" s="839">
        <f>'Trade Model'!H$83</f>
        <v/>
      </c>
      <c r="I60" s="839">
        <f>'Trade Model'!I$83</f>
        <v/>
      </c>
      <c r="J60" s="839">
        <f>'Trade Model'!J$83</f>
        <v/>
      </c>
      <c r="K60" s="45" t="n"/>
      <c r="L60" s="202" t="inlineStr">
        <is>
          <t>19</t>
        </is>
      </c>
      <c r="N60" s="708" t="inlineStr">
        <is>
          <t>DB27</t>
        </is>
      </c>
    </row>
    <row r="61">
      <c r="A61" s="836" t="inlineStr">
        <is>
          <t>RETURNS</t>
        </is>
      </c>
      <c r="B61" s="837" t="n"/>
      <c r="C61" s="837" t="n"/>
      <c r="D61" s="837" t="n"/>
      <c r="E61" s="837" t="n"/>
      <c r="F61" s="837" t="n"/>
      <c r="G61" s="837" t="n"/>
      <c r="H61" s="837" t="n"/>
      <c r="I61" s="837" t="n"/>
      <c r="J61" s="837" t="n"/>
      <c r="K61" s="837" t="n"/>
      <c r="L61" s="838" t="n"/>
    </row>
    <row r="62">
      <c r="A62" s="69" t="inlineStr">
        <is>
          <t>ROIC (indicative)</t>
        </is>
      </c>
      <c r="B62" s="44" t="inlineStr">
        <is>
          <t>%</t>
        </is>
      </c>
      <c r="C62" s="839">
        <f>'Comparable Valuation'!C$147</f>
        <v/>
      </c>
      <c r="D62" s="839">
        <f>'Comparable Valuation'!D$147</f>
        <v/>
      </c>
      <c r="E62" s="839">
        <f>'Comparable Valuation'!E$147</f>
        <v/>
      </c>
      <c r="F62" s="839">
        <f>'Comparable Valuation'!F$147</f>
        <v/>
      </c>
      <c r="G62" s="839">
        <f>'Comparable Valuation'!G$147</f>
        <v/>
      </c>
      <c r="H62" s="839">
        <f>'Comparable Valuation'!H$147</f>
        <v/>
      </c>
      <c r="I62" s="839">
        <f>'Comparable Valuation'!I$147</f>
        <v/>
      </c>
      <c r="J62" s="839">
        <f>'Comparable Valuation'!J$147</f>
        <v/>
      </c>
      <c r="K62" s="45" t="n"/>
      <c r="L62" s="202" t="inlineStr">
        <is>
          <t>23</t>
        </is>
      </c>
      <c r="N62" s="708" t="inlineStr">
        <is>
          <t>DB28</t>
        </is>
      </c>
    </row>
    <row r="63" ht="15" customHeight="1" s="632" thickBot="1">
      <c r="A63" s="72" t="inlineStr">
        <is>
          <t>ROIC less WACC</t>
        </is>
      </c>
      <c r="B63" s="73" t="inlineStr">
        <is>
          <t>ppt</t>
        </is>
      </c>
      <c r="C63" s="842">
        <f>'Comparable Valuation'!C$148</f>
        <v/>
      </c>
      <c r="D63" s="842">
        <f>'Comparable Valuation'!D$148</f>
        <v/>
      </c>
      <c r="E63" s="842">
        <f>'Comparable Valuation'!E$148</f>
        <v/>
      </c>
      <c r="F63" s="842">
        <f>'Comparable Valuation'!F$148</f>
        <v/>
      </c>
      <c r="G63" s="842">
        <f>'Comparable Valuation'!G$148</f>
        <v/>
      </c>
      <c r="H63" s="842">
        <f>'Comparable Valuation'!H$148</f>
        <v/>
      </c>
      <c r="I63" s="842">
        <f>'Comparable Valuation'!I$148</f>
        <v/>
      </c>
      <c r="J63" s="842">
        <f>'Comparable Valuation'!J$148</f>
        <v/>
      </c>
      <c r="K63" s="74" t="n"/>
      <c r="L63" s="203" t="inlineStr">
        <is>
          <t>23</t>
        </is>
      </c>
      <c r="N63" s="708" t="inlineStr">
        <is>
          <t>DB29</t>
        </is>
      </c>
    </row>
    <row r="64"/>
    <row r="65">
      <c r="A65" s="393" t="inlineStr">
        <is>
          <t>Change the scenario on 01 Control Panel and this page re-states entirely. Read alongside 22 Sensitivity section E, which states how much of this rests on unsourced inputs.</t>
        </is>
      </c>
    </row>
  </sheetData>
  <mergeCells count="9">
    <mergeCell ref="A38:L38"/>
    <mergeCell ref="A5:F5"/>
    <mergeCell ref="A31:L31"/>
    <mergeCell ref="A61:L61"/>
    <mergeCell ref="A44:L44"/>
    <mergeCell ref="A2:D2"/>
    <mergeCell ref="A56:L56"/>
    <mergeCell ref="A50:L50"/>
    <mergeCell ref="A65:L65"/>
  </mergeCells>
  <hyperlinks>
    <hyperlink ref="B7" location="'Index'!A1" tooltip="Go to Index"/>
    <hyperlink ref="C7" location="'Control Panel'!A1" tooltip="Go to Control Panel"/>
    <hyperlink ref="D7" location="'Model Assumptions'!A1" tooltip="Go to Model Assumptions"/>
    <hyperlink ref="E7" location="'Comparable Valuation'!A1" tooltip="Go to Comparable Valuation"/>
    <hyperlink ref="F7" location="'Sensitivity Analysis'!A1" tooltip="Go to Sensitivity Analysis"/>
    <hyperlink ref="G7" location="'Database Import'!A1" tooltip="Go to Database Import"/>
    <hyperlink ref="H7" location="'Sources'!A1" tooltip="Go to Sources"/>
    <hyperlink ref="N32" location="'Audit Checks'!A789" tooltip="Open the reference register on 25 Audit Checks"/>
    <hyperlink ref="N33" location="'Audit Checks'!A789" tooltip="Open the reference register on 25 Audit Checks"/>
    <hyperlink ref="N34" location="'Audit Checks'!A789" tooltip="Open the reference register on 25 Audit Checks"/>
    <hyperlink ref="N35" location="'Audit Checks'!A789" tooltip="Open the reference register on 25 Audit Checks"/>
    <hyperlink ref="N36" location="'Audit Checks'!A789" tooltip="Open the reference register on 25 Audit Checks"/>
    <hyperlink ref="N37" location="'Audit Checks'!A789" tooltip="Open the reference register on 25 Audit Checks"/>
    <hyperlink ref="N39" location="'Audit Checks'!A789" tooltip="Open the reference register on 25 Audit Checks"/>
    <hyperlink ref="N40" location="'Audit Checks'!A789" tooltip="Open the reference register on 25 Audit Checks"/>
    <hyperlink ref="N41" location="'Audit Checks'!A789" tooltip="Open the reference register on 25 Audit Checks"/>
    <hyperlink ref="N42" location="'Audit Checks'!A789" tooltip="Open the reference register on 25 Audit Checks"/>
    <hyperlink ref="N43" location="'Audit Checks'!A789" tooltip="Open the reference register on 25 Audit Checks"/>
    <hyperlink ref="N45" location="'Audit Checks'!A789" tooltip="Open the reference register on 25 Audit Checks"/>
    <hyperlink ref="N46" location="'Audit Checks'!A789" tooltip="Open the reference register on 25 Audit Checks"/>
    <hyperlink ref="N47" location="'Audit Checks'!A789" tooltip="Open the reference register on 25 Audit Checks"/>
    <hyperlink ref="N48" location="'Audit Checks'!A789" tooltip="Open the reference register on 25 Audit Checks"/>
    <hyperlink ref="N49" location="'Audit Checks'!A789" tooltip="Open the reference register on 25 Audit Checks"/>
    <hyperlink ref="N51" location="'Audit Checks'!A789" tooltip="Open the reference register on 25 Audit Checks"/>
    <hyperlink ref="N52" location="'Audit Checks'!A789" tooltip="Open the reference register on 25 Audit Checks"/>
    <hyperlink ref="N53" location="'Audit Checks'!A789" tooltip="Open the reference register on 25 Audit Checks"/>
    <hyperlink ref="N54" location="'Audit Checks'!A789" tooltip="Open the reference register on 25 Audit Checks"/>
    <hyperlink ref="N55" location="'Audit Checks'!A789" tooltip="Open the reference register on 25 Audit Checks"/>
    <hyperlink ref="N57" location="'Audit Checks'!A789" tooltip="Open the reference register on 25 Audit Checks"/>
    <hyperlink ref="N58" location="'Audit Checks'!A789" tooltip="Open the reference register on 25 Audit Checks"/>
    <hyperlink ref="N59" location="'Audit Checks'!A789" tooltip="Open the reference register on 25 Audit Checks"/>
    <hyperlink ref="N60" location="'Audit Checks'!A789" tooltip="Open the reference register on 25 Audit Checks"/>
    <hyperlink ref="N62" location="'Audit Checks'!A789" tooltip="Open the reference register on 25 Audit Checks"/>
    <hyperlink ref="N63" location="'Audit Checks'!A789" tooltip="Open the reference register on 25 Audit Checks"/>
  </hyperlinks>
  <pageMargins left="0.7" right="0.7" top="0.75" bottom="0.75" header="0.3" footer="0.3"/>
  <drawing xmlns:r="http://schemas.openxmlformats.org/officeDocument/2006/relationships" r:id="rId1"/>
</worksheet>
</file>

<file path=xl/worksheets/sheet30.xml><?xml version="1.0" encoding="utf-8"?>
<worksheet xmlns="http://schemas.openxmlformats.org/spreadsheetml/2006/main">
  <sheetPr codeName="Sheet30">
    <tabColor theme="8" tint="0.5999938962981048"/>
    <outlinePr summaryBelow="1" summaryRight="1"/>
    <pageSetUpPr/>
  </sheetPr>
  <dimension ref="A1:P871"/>
  <sheetViews>
    <sheetView showGridLines="0" workbookViewId="0">
      <selection activeCell="B16" sqref="B16"/>
    </sheetView>
  </sheetViews>
  <sheetFormatPr baseColWidth="8" defaultRowHeight="14.4"/>
  <cols>
    <col width="13" customWidth="1" style="690" min="1" max="1"/>
    <col width="56" customWidth="1" style="690" min="2" max="2"/>
    <col width="14" customWidth="1" style="690" min="3" max="3"/>
    <col width="100" customWidth="1" style="690" min="4" max="4"/>
    <col width="30" customWidth="1" style="690" min="5" max="5"/>
    <col width="34" customWidth="1" style="690" min="6" max="10"/>
    <col width="30" customWidth="1" style="632" min="7" max="7"/>
    <col width="28" customWidth="1" style="632" min="8" max="8"/>
    <col width="30" customWidth="1" style="632" min="9" max="9"/>
    <col width="52" customWidth="1" style="632" min="10" max="10"/>
    <col width="32" customWidth="1" style="690" min="11" max="11"/>
    <col width="22" customWidth="1" style="690" min="12" max="12"/>
    <col width="22" customWidth="1" style="690" min="13" max="13"/>
    <col width="100" customWidth="1" style="690" min="14" max="14"/>
    <col width="18" customWidth="1" style="690" min="15" max="16384"/>
    <col width="30" customWidth="1" style="632" min="16" max="16"/>
  </cols>
  <sheetData>
    <row r="1" ht="21" customHeight="1" s="632">
      <c r="A1" s="354" t="inlineStr">
        <is>
          <t>25  Audit Checks</t>
        </is>
      </c>
    </row>
    <row r="2">
      <c r="A2" s="494" t="inlineStr">
        <is>
          <t>Industry Financial Model  |  Indian Steel Industry  |  Horizon FY2027E-FY2033E  |  Base year FY2026A  |  Built 03-Aug-2026</t>
        </is>
      </c>
    </row>
    <row r="3">
      <c r="A3" s="415" t="n"/>
    </row>
    <row r="4">
      <c r="A4" s="411" t="inlineStr">
        <is>
          <t>OBJECTIVE</t>
        </is>
      </c>
    </row>
    <row r="5">
      <c r="A5" s="394" t="inlineStr">
        <is>
          <t>Thirty live validations. Every one is a formula, so they re-run automatically whenever a driver or the scenario changes.</t>
        </is>
      </c>
    </row>
    <row r="6">
      <c r="A6" s="411" t="inlineStr">
        <is>
          <t>METHODOLOGY</t>
        </is>
      </c>
    </row>
    <row r="7" ht="27.6" customHeight="1" s="632">
      <c r="A7" s="394" t="inlineStr">
        <is>
          <t>Checks are grouped: structural integrity, identity reconciliation, economic plausibility, cross-sheet consistency, and known model limitations. The limitations block is not a set of tests - it is a standing disclosure of what this model does NOT do, which is as important to a reviewer as what it does.</t>
        </is>
      </c>
    </row>
    <row r="8">
      <c r="A8" s="411" t="inlineStr">
        <is>
          <t>UNITS</t>
        </is>
      </c>
    </row>
    <row r="9">
      <c r="A9" s="394" t="inlineStr">
        <is>
          <t>PASS, FAIL or WARN.</t>
        </is>
      </c>
    </row>
    <row r="10">
      <c r="A10" s="411" t="inlineStr">
        <is>
          <t>DEPENDENCIES</t>
        </is>
      </c>
    </row>
    <row r="11">
      <c r="A11" s="394" t="inlineStr">
        <is>
          <t>Thirty live validations. Every one is a formula, so they re-run automatically whenever a driver or the scenario changes.</t>
        </is>
      </c>
    </row>
    <row r="12" ht="15" customHeight="1" s="632" thickBot="1">
      <c r="A12" s="415" t="n"/>
    </row>
    <row r="13">
      <c r="A13" s="204" t="inlineStr">
        <is>
          <t>Check ID</t>
        </is>
      </c>
      <c r="B13" s="409" t="inlineStr">
        <is>
          <t>Validation</t>
        </is>
      </c>
      <c r="C13" s="65" t="inlineStr">
        <is>
          <t>Result</t>
        </is>
      </c>
      <c r="D13" s="409" t="inlineStr">
        <is>
          <t>What it proves / what to do if it fails</t>
        </is>
      </c>
      <c r="E13" s="1157" t="n"/>
      <c r="G13" s="707" t="inlineStr">
        <is>
          <t>Ref</t>
        </is>
      </c>
    </row>
    <row r="14">
      <c r="A14" s="362" t="inlineStr">
        <is>
          <t>A01</t>
        </is>
      </c>
      <c r="B14" s="43" t="inlineStr">
        <is>
          <t>No negative capacity in any forecast year</t>
        </is>
      </c>
      <c r="C14" s="359">
        <f>IF(MIN('Capacity Forecast'!D$101:J$101)&gt;0,"PASS","FAIL")</f>
        <v/>
      </c>
      <c r="D14" s="344" t="inlineStr">
        <is>
          <t>Capacity must be strictly positive. A failure means the delivery factor or secondary additions driver has been set to an impossible value.</t>
        </is>
      </c>
      <c r="E14" s="951" t="n"/>
      <c r="G14" s="708" t="inlineStr">
        <is>
          <t>AC01</t>
        </is>
      </c>
    </row>
    <row r="15">
      <c r="A15" s="362" t="inlineStr">
        <is>
          <t>A02</t>
        </is>
      </c>
      <c r="B15" s="43" t="inlineStr">
        <is>
          <t>Capacity is monotonically non-decreasing</t>
        </is>
      </c>
      <c r="C15" s="359">
        <f t="array" ref="C15">IF(SUMPRODUCT(--('Capacity Forecast'!D$100:J$100&lt;0))=0,"PASS","FAIL")</f>
        <v/>
      </c>
      <c r="D15" s="344" t="inlineStr">
        <is>
          <t>The model does not permit capacity closures. If a scenario should include closures, add them as negative entries in the project tracker.</t>
        </is>
      </c>
      <c r="E15" s="951" t="n"/>
      <c r="G15" s="708" t="inlineStr">
        <is>
          <t>AC02</t>
        </is>
      </c>
    </row>
    <row r="16">
      <c r="A16" s="362" t="inlineStr">
        <is>
          <t>A03</t>
        </is>
      </c>
      <c r="B16" s="43" t="inlineStr">
        <is>
          <t>Capacity utilisation never exceeds 100%</t>
        </is>
      </c>
      <c r="C16" s="359">
        <f>IF(MAX('Capacity Utilisation'!D$67:J$67)&lt;=1,"PASS","FAIL")</f>
        <v/>
      </c>
      <c r="D16" s="344" t="inlineStr">
        <is>
          <t>Physically impossible above 100%. Guarded by the ceiling on 05, so a failure indicates the ceiling has been bypassed.</t>
        </is>
      </c>
      <c r="E16" s="951" t="n"/>
      <c r="G16" s="708" t="inlineStr">
        <is>
          <t>AC03</t>
        </is>
      </c>
    </row>
    <row r="17">
      <c r="A17" s="362" t="inlineStr">
        <is>
          <t>A04</t>
        </is>
      </c>
      <c r="B17" s="43" t="inlineStr">
        <is>
          <t>Capacity utilisation never exceeds the practical maximum</t>
        </is>
      </c>
      <c r="C17" s="359">
        <f>IF(MAX('Capacity Utilisation'!D$67:J$67)&lt;=MAX('Steel Supply Model'!D$97:J$97)+0.0001,"PASS","FAIL")</f>
        <v/>
      </c>
      <c r="D17" s="344" t="inlineStr">
        <is>
          <t>Confirms the MIN() ceiling on 05 Steel Supply is actually binding where it should.</t>
        </is>
      </c>
      <c r="E17" s="951" t="n"/>
      <c r="G17" s="708" t="inlineStr">
        <is>
          <t>AC04</t>
        </is>
      </c>
    </row>
    <row r="18">
      <c r="A18" s="362" t="inlineStr">
        <is>
          <t>A05</t>
        </is>
      </c>
      <c r="B18" s="43" t="inlineStr">
        <is>
          <t>Capacity utilisation is above a plausible floor of 55%</t>
        </is>
      </c>
      <c r="C18" s="359">
        <f>IF(MIN('Capacity Utilisation'!D$67:J$67)&gt;=0.55,"PASS","WARN")</f>
        <v/>
      </c>
      <c r="D18" s="344" t="inlineStr">
        <is>
          <t>Below 55% would imply mass idling that the model does not represent. A WARN means the capacity path is far ahead of the demand path.</t>
        </is>
      </c>
      <c r="E18" s="951" t="n"/>
      <c r="G18" s="708" t="inlineStr">
        <is>
          <t>AC05</t>
        </is>
      </c>
    </row>
    <row r="19">
      <c r="A19" s="362" t="inlineStr">
        <is>
          <t>A06</t>
        </is>
      </c>
      <c r="B19" s="43" t="inlineStr">
        <is>
          <t>Consumption is positive and growing in every year</t>
        </is>
      </c>
      <c r="C19" s="359">
        <f t="array" ref="C19">IF(AND(MIN('Steel Demand Model'!D$116:J$116)&gt;0,SUMPRODUCT(--('Steel Demand Model'!D$115:J$115&lt;0))=0),"PASS","WARN")</f>
        <v/>
      </c>
      <c r="D19" s="344" t="inlineStr">
        <is>
          <t>Indian consumption has contracted only once in twelve years (FY2021, -5.27%). A WARN flags a scenario assuming contraction, which needs justification.</t>
        </is>
      </c>
      <c r="E19" s="951" t="n"/>
      <c r="G19" s="708" t="inlineStr">
        <is>
          <t>AC06</t>
        </is>
      </c>
    </row>
    <row r="20" ht="27.6" customHeight="1" s="632">
      <c r="A20" s="362" t="inlineStr">
        <is>
          <t>A07</t>
        </is>
      </c>
      <c r="B20" s="43" t="inlineStr">
        <is>
          <t>SUPPLY IDENTITY: production equals consumption plus net exports plus stock change</t>
        </is>
      </c>
      <c r="C20" s="359">
        <f t="array" ref="C20">IF(SUMPRODUCT(ABS('Steel Supply Model'!D$92:J$92-('Steel Supply Model'!D$89:J$89+'Steel Supply Model'!D$90:J$90+'Steel Supply Model'!D$91:J$91)))&lt;0.05,"PASS","FAIL")</f>
        <v/>
      </c>
      <c r="D20" s="344" t="inlineStr">
        <is>
          <t>THE MOST IMPORTANT CHECK ON THE SHEET. This is the Joint Plant Committee's own identity. A failure means the demand and trade blocks have drifted apart and every downstream number is wrong.</t>
        </is>
      </c>
      <c r="E20" s="951" t="n"/>
      <c r="G20" s="708" t="inlineStr">
        <is>
          <t>AC07</t>
        </is>
      </c>
    </row>
    <row r="21">
      <c r="A21" s="362" t="inlineStr">
        <is>
          <t>A08</t>
        </is>
      </c>
      <c r="B21" s="43" t="inlineStr">
        <is>
          <t>FY2026A supply identity reconciles to reported actuals</t>
        </is>
      </c>
      <c r="C21" s="359">
        <f>IF(ABS(160.94-(163.74+0.078+-2.88))&lt;0.01,"PASS","FAIL")</f>
        <v/>
      </c>
      <c r="D21" s="344" t="inlineStr">
        <is>
          <t>163.74 + 0.078 - 2.88 = 160.94, which equals reported FY2026 finished steel production. Proves the base year is internally consistent before any forecasting begins.</t>
        </is>
      </c>
      <c r="E21" s="951" t="n"/>
      <c r="G21" s="708" t="inlineStr">
        <is>
          <t>AC08</t>
        </is>
      </c>
    </row>
    <row r="22">
      <c r="A22" s="362" t="inlineStr">
        <is>
          <t>A09</t>
        </is>
      </c>
      <c r="B22" s="43" t="inlineStr">
        <is>
          <t>Crude steel production is at least finished steel production</t>
        </is>
      </c>
      <c r="C22" s="359">
        <f t="array" ref="C22">IF(SUMPRODUCT(--('Steel Supply Model'!D$99:J$99&lt;'Steel Supply Model'!D$101:J$101))=0,"PASS","FAIL")</f>
        <v/>
      </c>
      <c r="D22" s="344" t="inlineStr">
        <is>
          <t>Yield loss means crude must exceed finished. A failure means the crude-to-finished ratio has been set below 1.0.</t>
        </is>
      </c>
      <c r="E22" s="951" t="n"/>
      <c r="G22" s="708" t="inlineStr">
        <is>
          <t>AC09</t>
        </is>
      </c>
    </row>
    <row r="23" ht="27.6" customHeight="1" s="632">
      <c r="A23" s="362" t="inlineStr">
        <is>
          <t>A10</t>
        </is>
      </c>
      <c r="B23" s="43" t="inlineStr">
        <is>
          <t>MARGIN BRIDGE: realisation change plus cost change equals EBITDA/t change</t>
        </is>
      </c>
      <c r="C23" s="359">
        <f t="array" ref="C23">IF(SUMPRODUCT(ABS('Margin Analysis'!D$95:J$95-('Margin Analysis'!D$90:J$90-10733)))&lt;5,"PASS","FAIL")</f>
        <v/>
      </c>
      <c r="D23" s="344" t="inlineStr">
        <is>
          <t>Proves the margin decomposition on 14 is arithmetically complete - no unexplained residual between the price and cost effects.</t>
        </is>
      </c>
      <c r="E23" s="951" t="n"/>
      <c r="G23" s="708" t="inlineStr">
        <is>
          <t>AC10</t>
        </is>
      </c>
    </row>
    <row r="24">
      <c r="A24" s="362" t="inlineStr">
        <is>
          <t>A11</t>
        </is>
      </c>
      <c r="B24" s="43" t="inlineStr">
        <is>
          <t>EBITDA equals production times EBITDA per tonne divided by 10</t>
        </is>
      </c>
      <c r="C24" s="359">
        <f t="array" ref="C24">IF(SUMPRODUCT(ABS('EBITDA Model'!D$103:J$103-'EBITDA Model'!D$102:J$102*'EBITDA Model'!D$101:J$101/10))&lt;1,"PASS","FAIL")</f>
        <v/>
      </c>
      <c r="D24" s="344" t="inlineStr">
        <is>
          <t>Unit-consistency check on the Rs/t to Rs crore bridge. This is where factor-of-ten errors hide.</t>
        </is>
      </c>
      <c r="E24" s="951" t="n"/>
      <c r="G24" s="708" t="inlineStr">
        <is>
          <t>AC11</t>
        </is>
      </c>
    </row>
    <row r="25">
      <c r="A25" s="362" t="inlineStr">
        <is>
          <t>A12</t>
        </is>
      </c>
      <c r="B25" s="43" t="inlineStr">
        <is>
          <t>Revenue equals production times realisation divided by 10</t>
        </is>
      </c>
      <c r="C25" s="359">
        <f t="array" ref="C25">IF(SUMPRODUCT(ABS('Revenue Forecast'!D$96:J$96-'Revenue Forecast'!D$94:J$94*'Revenue Forecast'!D$95:J$95/10))&lt;1,"PASS","FAIL")</f>
        <v/>
      </c>
      <c r="D25" s="344" t="inlineStr">
        <is>
          <t>Same unit bridge on the revenue line.</t>
        </is>
      </c>
      <c r="E25" s="951" t="n"/>
      <c r="G25" s="708" t="inlineStr">
        <is>
          <t>AC12</t>
        </is>
      </c>
    </row>
    <row r="26">
      <c r="A26" s="362" t="inlineStr">
        <is>
          <t>A13</t>
        </is>
      </c>
      <c r="B26" s="43" t="inlineStr">
        <is>
          <t>EBITDA per tonne equals realisation less cash cost</t>
        </is>
      </c>
      <c r="C26" s="359">
        <f t="array" ref="C26">IF(SUMPRODUCT(ABS('EBITDA Model'!D$101:J$101-('EBITDA Model'!D$99:J$99-'EBITDA Model'!D$100:J$100)))&lt;1,"PASS","FAIL")</f>
        <v/>
      </c>
      <c r="D26" s="344" t="inlineStr">
        <is>
          <t>Confirms EBITDA is built as a spread, not as a margin applied to revenue.</t>
        </is>
      </c>
      <c r="E26" s="951" t="n"/>
      <c r="G26" s="708" t="inlineStr">
        <is>
          <t>AC13</t>
        </is>
      </c>
    </row>
    <row r="27" ht="27.6" customHeight="1" s="632">
      <c r="A27" s="362" t="inlineStr">
        <is>
          <t>A14</t>
        </is>
      </c>
      <c r="B27" s="43" t="inlineStr">
        <is>
          <t>Industry EBITDA margin lies within the observed envelope of -7% to +26%</t>
        </is>
      </c>
      <c r="C27" s="359">
        <f>IF(AND(MIN('Margin Analysis'!D$91:J$91)&gt;=-0.07,MAX('Margin Analysis'!D$91:J$91)&lt;=0.26),"PASS","WARN")</f>
        <v/>
      </c>
      <c r="D27" s="344" t="inlineStr">
        <is>
          <t>The envelope is the FY2022 observed peak and the SAIL FY2016 worst observation. A WARN is expected in the Stress Case, which deliberately breaches the floor at -9.2%. Outside the envelope is not automatically wrong, but it must be justified.</t>
        </is>
      </c>
      <c r="E27" s="951" t="n"/>
      <c r="G27" s="708" t="inlineStr">
        <is>
          <t>AC14</t>
        </is>
      </c>
    </row>
    <row r="28">
      <c r="A28" s="362" t="inlineStr">
        <is>
          <t>A15</t>
        </is>
      </c>
      <c r="B28" s="43" t="inlineStr">
        <is>
          <t>Cash cost is positive in every year</t>
        </is>
      </c>
      <c r="C28" s="359">
        <f>IF(MIN('Cost Curve'!D$80:J$80)&gt;0,"PASS","FAIL")</f>
        <v/>
      </c>
      <c r="D28" s="344" t="inlineStr">
        <is>
          <t>A non-positive cash cost is impossible.</t>
        </is>
      </c>
      <c r="E28" s="951" t="n"/>
      <c r="G28" s="708" t="inlineStr">
        <is>
          <t>AC15</t>
        </is>
      </c>
    </row>
    <row r="29">
      <c r="A29" s="362" t="inlineStr">
        <is>
          <t>A16</t>
        </is>
      </c>
      <c r="B29" s="43" t="inlineStr">
        <is>
          <t>Realisation is positive in every year</t>
        </is>
      </c>
      <c r="C29" s="359">
        <f>IF(MIN('Steel Price Forecast'!D$103:J$103)&gt;0,"PASS","FAIL")</f>
        <v/>
      </c>
      <c r="D29" s="344" t="inlineStr">
        <is>
          <t>Guards against a price adjustment factor driving realisation to or below zero.</t>
        </is>
      </c>
      <c r="E29" s="951" t="n"/>
      <c r="G29" s="708" t="inlineStr">
        <is>
          <t>AC16</t>
        </is>
      </c>
    </row>
    <row r="30">
      <c r="A30" s="362" t="inlineStr">
        <is>
          <t>A17</t>
        </is>
      </c>
      <c r="B30" s="43" t="inlineStr">
        <is>
          <t>Price adjustment factor stays within a plausible 0.85x to 1.15x band</t>
        </is>
      </c>
      <c r="C30" s="359">
        <f>IF(AND(MIN('Steel Price Forecast'!D$102:J$102)&gt;=0.85,MAX('Steel Price Forecast'!D$102:J$102)&lt;=1.15),"PASS","WARN")</f>
        <v/>
      </c>
      <c r="D30" s="344" t="inlineStr">
        <is>
          <t>The utilisation feedback should modulate price, not dominate it. A WARN means the elasticity D23 or the utilisation path is extreme.</t>
        </is>
      </c>
      <c r="E30" s="951" t="n"/>
      <c r="G30" s="708" t="inlineStr">
        <is>
          <t>AC17</t>
        </is>
      </c>
    </row>
    <row r="31">
      <c r="A31" s="362" t="inlineStr">
        <is>
          <t>A18</t>
        </is>
      </c>
      <c r="B31" s="43" t="inlineStr">
        <is>
          <t>Cash tax is never negative</t>
        </is>
      </c>
      <c r="C31" s="359">
        <f>IF(MIN('Cash Flow Model'!D$102:J$102)&gt;=0,"PASS","FAIL")</f>
        <v/>
      </c>
      <c r="D31" s="344" t="inlineStr">
        <is>
          <t>Tax is floored at zero on negative EBIT. No loss carry-forward is modelled, which is conservative and disclosed.</t>
        </is>
      </c>
      <c r="E31" s="951" t="n"/>
      <c r="G31" s="708" t="inlineStr">
        <is>
          <t>AC18</t>
        </is>
      </c>
    </row>
    <row r="32">
      <c r="A32" s="362" t="inlineStr">
        <is>
          <t>A19</t>
        </is>
      </c>
      <c r="B32" s="43" t="inlineStr">
        <is>
          <t>Net working capital is positive in every year</t>
        </is>
      </c>
      <c r="C32" s="359">
        <f>IF(MIN('Working Capital Model'!D$72:J$72)&gt;0,"PASS","FAIL")</f>
        <v/>
      </c>
      <c r="D32" s="344" t="inlineStr">
        <is>
          <t>Steel producers carry positive working capital. Negative would indicate a sign error in the days driver.</t>
        </is>
      </c>
      <c r="E32" s="951" t="n"/>
      <c r="G32" s="708" t="inlineStr">
        <is>
          <t>AC19</t>
        </is>
      </c>
    </row>
    <row r="33" ht="25.2" customHeight="1" s="632">
      <c r="A33" s="362" t="inlineStr">
        <is>
          <t>A20</t>
        </is>
      </c>
      <c r="B33" s="43" t="inlineStr">
        <is>
          <t>WACC used downstream matches the WACC build-up on 02 Section D</t>
        </is>
      </c>
      <c r="C33" s="359">
        <f>IF(ABS('Model Assumptions'!E$27-'Model Assumptions'!$D$168)&lt;0.005,"PASS","WARN")</f>
        <v/>
      </c>
      <c r="D33" s="344" t="inlineStr">
        <is>
          <t>Driver D20 is what the model discounts at; Section D is the transparent build-up. If they diverge, one of them has been edited without the other - reconcile before using any valuation output.</t>
        </is>
      </c>
      <c r="E33" s="951" t="n"/>
      <c r="G33" s="708" t="inlineStr">
        <is>
          <t>AC20</t>
        </is>
      </c>
    </row>
    <row r="34" ht="27" customHeight="1" s="632">
      <c r="A34" s="362" t="inlineStr">
        <is>
          <t>A21</t>
        </is>
      </c>
      <c r="B34" s="43" t="inlineStr">
        <is>
          <t>Terminal value is less than 75% of enterprise value</t>
        </is>
      </c>
      <c r="C34" s="359">
        <f>IF(IFERROR('Comparable Valuation'!$D$139,0)&lt;0.75,"PASS","WARN")</f>
        <v/>
      </c>
      <c r="D34" s="344" t="inlineStr">
        <is>
          <t>Above 75% the valuation is essentially an assertion about the exit multiple - which is UNSOURCED - rather than a forecast. Shorten the horizon or re-base the multiple.</t>
        </is>
      </c>
      <c r="E34" s="951" t="n"/>
      <c r="G34" s="708" t="inlineStr">
        <is>
          <t>AC21</t>
        </is>
      </c>
    </row>
    <row r="35">
      <c r="A35" s="362" t="inlineStr">
        <is>
          <t>A22</t>
        </is>
      </c>
      <c r="B35" s="43" t="inlineStr">
        <is>
          <t>Discount factors are strictly decreasing</t>
        </is>
      </c>
      <c r="C35" s="359">
        <f t="array" ref="C35">IF(SUMPRODUCT(--('Comparable Valuation'!D$130:I$130&gt;'Comparable Valuation'!E$130:J$130))=6,"PASS","FAIL")</f>
        <v/>
      </c>
      <c r="D35" s="344" t="inlineStr">
        <is>
          <t>Confirms the mid-year discounting convention is applied consistently.</t>
        </is>
      </c>
      <c r="E35" s="951" t="n"/>
      <c r="G35" s="708" t="inlineStr">
        <is>
          <t>AC22</t>
        </is>
      </c>
    </row>
    <row r="36">
      <c r="A36" s="362" t="inlineStr">
        <is>
          <t>A23</t>
        </is>
      </c>
      <c r="B36" s="43" t="inlineStr">
        <is>
          <t>Imports and exports are both non-negative</t>
        </is>
      </c>
      <c r="C36" s="359">
        <f>IF(AND(MIN('Trade Model'!D$76:J$76)&gt;=0,MIN('Trade Model'!D$78:J$78)&gt;=0),"PASS","FAIL")</f>
        <v/>
      </c>
      <c r="D36" s="344" t="inlineStr">
        <is>
          <t>A negative export volume would mean the net export driver has overwhelmed the import driver - the two must be set coherently.</t>
        </is>
      </c>
      <c r="E36" s="951" t="n"/>
      <c r="G36" s="708" t="inlineStr">
        <is>
          <t>AC23</t>
        </is>
      </c>
    </row>
    <row r="37">
      <c r="A37" s="362" t="inlineStr">
        <is>
          <t>A24</t>
        </is>
      </c>
      <c r="B37" s="43" t="inlineStr">
        <is>
          <t>Trade block reconciles to the supply balance</t>
        </is>
      </c>
      <c r="C37" s="359">
        <f t="array" ref="C37">IF(SUMPRODUCT(ABS(('Trade Model'!D$78:J$78-'Trade Model'!D$74:J$74)-'Trade Model'!D$77:J$77))&lt;0.05,"PASS","FAIL")</f>
        <v/>
      </c>
      <c r="D37" s="344" t="inlineStr">
        <is>
          <t>Exports less the import driver must equal net exports by construction. Proves 19 has not drifted from 05.</t>
        </is>
      </c>
      <c r="E37" s="951" t="n"/>
      <c r="G37" s="708" t="inlineStr">
        <is>
          <t>AC24</t>
        </is>
      </c>
    </row>
    <row r="38">
      <c r="A38" s="362" t="inlineStr">
        <is>
          <t>A25</t>
        </is>
      </c>
      <c r="B38" s="43" t="inlineStr">
        <is>
          <t>Import penetration stays below 20% of consumption</t>
        </is>
      </c>
      <c r="C38" s="359">
        <f>IF(MAX('Trade Model'!D$83:J$83)&lt;0.2,"PASS","WARN")</f>
        <v/>
      </c>
      <c r="D38" s="344" t="inlineStr">
        <is>
          <t>The historical maximum in the database is 6.3% (FY2025). Above 20% would imply a collapse in domestic competitiveness that the price deck does not reflect.</t>
        </is>
      </c>
      <c r="E38" s="951" t="n"/>
      <c r="G38" s="708" t="inlineStr">
        <is>
          <t>AC25</t>
        </is>
      </c>
    </row>
    <row r="39" ht="27.6" customHeight="1" s="632">
      <c r="A39" s="362" t="inlineStr">
        <is>
          <t>A26</t>
        </is>
      </c>
      <c r="B39" s="43" t="inlineStr">
        <is>
          <t>FY2031 capacity is within 10% of the National Steel Policy 300 Mtpa target</t>
        </is>
      </c>
      <c r="C39" s="359">
        <f>IF(ABS('Capacity Forecast'!H$106-1)&lt;0.1,"PASS","WARN")</f>
        <v/>
      </c>
      <c r="D39" s="344" t="inlineStr">
        <is>
          <t>An external validation, not a constraint. The capacity block was built bottom-up and was not calibrated to the policy target, so close agreement is evidence the build is sensible. A WARN in the Bear or Stress case is expected and correct.</t>
        </is>
      </c>
      <c r="E39" s="951" t="n"/>
      <c r="G39" s="708" t="inlineStr">
        <is>
          <t>AC26</t>
        </is>
      </c>
    </row>
    <row r="40" ht="27.6" customHeight="1" s="632">
      <c r="A40" s="362" t="inlineStr">
        <is>
          <t>A27</t>
        </is>
      </c>
      <c r="B40" s="43" t="inlineStr">
        <is>
          <t>Scenario tie-out: live workbook matches the independent Python mirror</t>
        </is>
      </c>
      <c r="C40" s="359">
        <f>'Scenario Manager'!$H$80</f>
        <v/>
      </c>
      <c r="D40" s="344" t="inlineStr">
        <is>
          <t>THE REGRESSION TEST. Compares eleven live FY2033 outputs against values computed independently at build time by fmodel/chain.py. A failure means an Excel formula does not implement the intended arithmetic - stop and investigate before using any output.</t>
        </is>
      </c>
      <c r="E40" s="951" t="n"/>
      <c r="G40" s="708" t="inlineStr">
        <is>
          <t>AC27</t>
        </is>
      </c>
    </row>
    <row r="41">
      <c r="A41" s="362" t="inlineStr">
        <is>
          <t>A28</t>
        </is>
      </c>
      <c r="B41" s="43" t="inlineStr">
        <is>
          <t>Every active driver resolves to a number for the selected scenario</t>
        </is>
      </c>
      <c r="C41" s="359">
        <f>IF(COUNT('Model Assumptions'!E$8:K$33)=182,"PASS","FAIL")</f>
        <v/>
      </c>
      <c r="D41" s="344" t="inlineStr">
        <is>
          <t>Confirms every INDEX lookup against ScenID has resolved. A failure means a driver row is missing a scenario or ScenID is out of range.</t>
        </is>
      </c>
      <c r="E41" s="951" t="n"/>
      <c r="G41" s="708" t="inlineStr">
        <is>
          <t>AC28</t>
        </is>
      </c>
    </row>
    <row r="42" ht="24.6" customHeight="1" s="632">
      <c r="A42" s="362" t="inlineStr">
        <is>
          <t>A29</t>
        </is>
      </c>
      <c r="B42" s="43" t="inlineStr">
        <is>
          <t>ScenID resolves to a valid index between 1 and 4</t>
        </is>
      </c>
      <c r="C42" s="359">
        <f>IF(AND(ScenID&gt;=1,ScenID&lt;=4),"PASS","FAIL")</f>
        <v/>
      </c>
      <c r="D42" s="344" t="inlineStr">
        <is>
          <t>If the scenario cell is edited to free text outside the four permitted values, MATCH returns an error and the entire workbook fails. Data validation prevents this, but the check is retained as a backstop.</t>
        </is>
      </c>
      <c r="E42" s="951" t="n"/>
      <c r="G42" s="708" t="inlineStr">
        <is>
          <t>AC29</t>
        </is>
      </c>
    </row>
    <row r="43">
      <c r="A43" s="362" t="inlineStr">
        <is>
          <t>A30</t>
        </is>
      </c>
      <c r="B43" s="43" t="inlineStr">
        <is>
          <t>No forecast column is entirely blank</t>
        </is>
      </c>
      <c r="C43" s="359">
        <f>IF(COUNT('EBITDA Model'!D$103:J$103)=7,"PASS","FAIL")</f>
        <v/>
      </c>
      <c r="D43" s="344" t="inlineStr">
        <is>
          <t>Catches a broken link or a deleted column in the core EBITDA line.</t>
        </is>
      </c>
      <c r="E43" s="951" t="n"/>
      <c r="G43" s="708" t="inlineStr">
        <is>
          <t>AC30</t>
        </is>
      </c>
    </row>
    <row r="44" ht="15" customHeight="1" s="632" thickBot="1">
      <c r="A44" s="205" t="n"/>
      <c r="B44" s="206" t="inlineStr">
        <is>
          <t>OVERALL</t>
        </is>
      </c>
      <c r="C44" s="159">
        <f>IF(COUNTIF(C14:C43,"FAIL")&gt;0,"FAIL",IF(COUNTIF(C14:C43,"WARN")&gt;0,"PASS WITH WARNINGS","ALL PASS"))</f>
        <v/>
      </c>
      <c r="D44" s="155" t="inlineStr">
        <is>
          <t>WARN results are expected in the Bear and Stress cases: A14 (margin envelope) and A26 (policy target) are deliberately breached by design in those scenarios. Any FAIL must be investigated before the model is used.</t>
        </is>
      </c>
      <c r="E44" s="770" t="n"/>
      <c r="G44" s="708" t="inlineStr">
        <is>
          <t>AC31</t>
        </is>
      </c>
    </row>
    <row r="45"/>
    <row r="46"/>
    <row r="47">
      <c r="A47" s="402" t="inlineStr">
        <is>
          <t>KNOWN LIMITATIONS - STANDING DISCLOSURE, NOT TESTS</t>
        </is>
      </c>
    </row>
    <row r="48">
      <c r="A48" s="415" t="inlineStr">
        <is>
          <t>1. NO ENDOGENOUS SUPPLY RESPONSE. The model does not idle capacity or cut production when margins turn negative, which in reality would arrest a decline. The Stress Case must therefore be read as a lower bound on margin, not a central expectation.</t>
        </is>
      </c>
    </row>
    <row r="49">
      <c r="A49" s="415" t="inlineStr">
        <is>
          <t>2. NO CIRCULARITY BETWEEN PRICE AND CURRENT-YEAR UTILISATION. The price feedback uses PRIOR-year utilisation. This is a deliberate simplification to avoid an iterative solve; it slightly dampens the cycle relative to reality.</t>
        </is>
      </c>
    </row>
    <row r="50">
      <c r="A50" s="415" t="inlineStr">
        <is>
          <t>3. COKING COAL HAS NO FISCAL-YEAR AVERAGE. The FY2026 reference of US$225/t is a Mar-2026 SPOT observation. The database asserts no average because the two public series disagree by up to US$40/t. A licensed price-reporting-agency series is the single highest-priority data gap.</t>
        </is>
      </c>
    </row>
    <row r="51">
      <c r="A51" s="415" t="inlineStr">
        <is>
          <t>4. WORKING CAPITAL IS NOT DERIVED FROM BALANCE SHEETS. The database does not carry receivables, inventory or payables. 45 days is a sector convention. Fix before any financing or credit work.</t>
        </is>
      </c>
    </row>
    <row r="52">
      <c r="A52" s="415" t="inlineStr">
        <is>
          <t>5. NO COMPANY-SPECIFIC COST CURVES BELOW THE FOUR MAJORS. Cost positions for Jindal Stainless, AM/NS India and RINL are not built, and the secondary sector - roughly half of India's output - has no cost representation at all.</t>
        </is>
      </c>
    </row>
    <row r="53">
      <c r="A53" s="415" t="inlineStr">
        <is>
          <t>6. SHARE PRICES ARE NOT SOURCED, so no trading multiple is asserted. The comparables framework computes the moment prices are entered.</t>
        </is>
      </c>
    </row>
    <row r="54">
      <c r="A54" s="415" t="inlineStr">
        <is>
          <t>7. INVESTED CAPITAL IS A REPLACEMENT-COST PROXY, so ROIC is indicative only and understates returns on older depreciated assets.</t>
        </is>
      </c>
    </row>
    <row r="55">
      <c r="A55" s="415" t="inlineStr">
        <is>
          <t>8. SINGLE-COUNTRY SCOPE. Tata Steel's Netherlands and UK operations, including the disclosed going-concern uncertainty at Tata Steel Netherlands, are entirely outside this India model and must be handled in the single-name build.</t>
        </is>
      </c>
    </row>
    <row r="58" ht="20" customHeight="1" s="632">
      <c r="A58" s="1225" t="inlineStr">
        <is>
          <t>REFERENCE REGISTER</t>
        </is>
      </c>
      <c r="B58" s="1161" t="n"/>
      <c r="C58" s="1161" t="n"/>
      <c r="D58" s="1161" t="n"/>
      <c r="E58" s="1161" t="n"/>
      <c r="F58" s="1161" t="n"/>
      <c r="G58" s="1161" t="n"/>
      <c r="H58" s="1161" t="n"/>
      <c r="I58" s="1161" t="n"/>
      <c r="J58" s="1161" t="n"/>
      <c r="K58" s="1161" t="n"/>
      <c r="L58" s="1161" t="n"/>
      <c r="M58" s="1161" t="n"/>
      <c r="N58" s="1161" t="n"/>
      <c r="O58" s="1161" t="n"/>
      <c r="P58" s="1161" t="n"/>
    </row>
    <row r="59" ht="42" customHeight="1" s="632">
      <c r="A59" s="1162" t="inlineStr">
        <is>
          <t>Every documented number in the workbook, keyed by the reference code that appears in the "Ref" column beside it on its own sheet. Sheets are listed in workbook order; click a code on any sheet to jump to its entry here, and click a sheet name below to jump to its table. The Value column is live, so the register re-states itself whenever the scenario on 01 Control Panel is changed. This register replaces the Support &amp; Audit tables that previously sat at the bottom of every sheet.</t>
        </is>
      </c>
    </row>
    <row r="60">
      <c r="A60" s="1226" t="inlineStr">
        <is>
          <t>Sheet</t>
        </is>
      </c>
      <c r="B60" s="1226" t="inlineStr">
        <is>
          <t>Codes</t>
        </is>
      </c>
      <c r="C60" s="1226" t="inlineStr">
        <is>
          <t>Entries</t>
        </is>
      </c>
    </row>
    <row r="61">
      <c r="A61" s="1227" t="inlineStr">
        <is>
          <t>Cover</t>
        </is>
      </c>
      <c r="B61" s="1228" t="inlineStr">
        <is>
          <t>CV01 - CV06</t>
        </is>
      </c>
      <c r="C61" s="1228" t="n">
        <v>6</v>
      </c>
    </row>
    <row r="62">
      <c r="A62" s="1227" t="inlineStr">
        <is>
          <t>Index</t>
        </is>
      </c>
      <c r="B62" s="1228" t="inlineStr">
        <is>
          <t>IX01 - IX01</t>
        </is>
      </c>
      <c r="C62" s="1228" t="n">
        <v>1</v>
      </c>
    </row>
    <row r="63">
      <c r="A63" s="1227" t="inlineStr">
        <is>
          <t>Database Import</t>
        </is>
      </c>
      <c r="B63" s="1228" t="inlineStr">
        <is>
          <t>DI01 - DI01</t>
        </is>
      </c>
      <c r="C63" s="1228" t="n">
        <v>1</v>
      </c>
    </row>
    <row r="64">
      <c r="A64" s="1227" t="inlineStr">
        <is>
          <t>Forecast Horizon</t>
        </is>
      </c>
      <c r="B64" s="1228" t="inlineStr">
        <is>
          <t>FH01 - FH01</t>
        </is>
      </c>
      <c r="C64" s="1228" t="n">
        <v>1</v>
      </c>
    </row>
    <row r="65">
      <c r="A65" s="1227" t="inlineStr">
        <is>
          <t>Control Panel</t>
        </is>
      </c>
      <c r="B65" s="1228" t="inlineStr">
        <is>
          <t>CP01 - CP18</t>
        </is>
      </c>
      <c r="C65" s="1228" t="n">
        <v>18</v>
      </c>
    </row>
    <row r="66">
      <c r="A66" s="1227" t="inlineStr">
        <is>
          <t>Model Assumptions</t>
        </is>
      </c>
      <c r="B66" s="1228" t="inlineStr">
        <is>
          <t>MA01 - MA26</t>
        </is>
      </c>
      <c r="C66" s="1228" t="n">
        <v>26</v>
      </c>
    </row>
    <row r="67">
      <c r="A67" s="1227" t="inlineStr">
        <is>
          <t>Model Calibration</t>
        </is>
      </c>
      <c r="B67" s="1228" t="inlineStr">
        <is>
          <t>MC01 - MC08</t>
        </is>
      </c>
      <c r="C67" s="1228" t="n">
        <v>8</v>
      </c>
    </row>
    <row r="68">
      <c r="A68" s="1227" t="inlineStr">
        <is>
          <t>Macroeconomic Model</t>
        </is>
      </c>
      <c r="B68" s="1228" t="inlineStr">
        <is>
          <t>MM01 - MM44</t>
        </is>
      </c>
      <c r="C68" s="1228" t="n">
        <v>44</v>
      </c>
    </row>
    <row r="69">
      <c r="A69" s="1227" t="inlineStr">
        <is>
          <t>Steel Demand Model</t>
        </is>
      </c>
      <c r="B69" s="1228" t="inlineStr">
        <is>
          <t>DM01 - DM16</t>
        </is>
      </c>
      <c r="C69" s="1228" t="n">
        <v>16</v>
      </c>
    </row>
    <row r="70">
      <c r="A70" s="1227" t="inlineStr">
        <is>
          <t>Steel Supply Model</t>
        </is>
      </c>
      <c r="B70" s="1228" t="inlineStr">
        <is>
          <t>SM01 - SM17</t>
        </is>
      </c>
      <c r="C70" s="1228" t="n">
        <v>17</v>
      </c>
    </row>
    <row r="71">
      <c r="A71" s="1227" t="inlineStr">
        <is>
          <t>Capacity Forecast</t>
        </is>
      </c>
      <c r="B71" s="1228" t="inlineStr">
        <is>
          <t>CF01 - CF15</t>
        </is>
      </c>
      <c r="C71" s="1228" t="n">
        <v>15</v>
      </c>
    </row>
    <row r="72">
      <c r="A72" s="1227" t="inlineStr">
        <is>
          <t>Capacity Expansion Tracker</t>
        </is>
      </c>
      <c r="B72" s="1228" t="inlineStr">
        <is>
          <t>CT01 - CT27</t>
        </is>
      </c>
      <c r="C72" s="1228" t="n">
        <v>27</v>
      </c>
    </row>
    <row r="73">
      <c r="A73" s="1227" t="inlineStr">
        <is>
          <t>Capacity Utilisation</t>
        </is>
      </c>
      <c r="B73" s="1228" t="inlineStr">
        <is>
          <t>CU01 - CU10</t>
        </is>
      </c>
      <c r="C73" s="1228" t="n">
        <v>10</v>
      </c>
    </row>
    <row r="74">
      <c r="A74" s="1227" t="inlineStr">
        <is>
          <t>Steel Price Forecast</t>
        </is>
      </c>
      <c r="B74" s="1228" t="inlineStr">
        <is>
          <t>PF01 - PF24</t>
        </is>
      </c>
      <c r="C74" s="1228" t="n">
        <v>24</v>
      </c>
    </row>
    <row r="75">
      <c r="A75" s="1227" t="inlineStr">
        <is>
          <t>Raw Material Forecast</t>
        </is>
      </c>
      <c r="B75" s="1228" t="inlineStr">
        <is>
          <t>RM01 - RM21</t>
        </is>
      </c>
      <c r="C75" s="1228" t="n">
        <v>21</v>
      </c>
    </row>
    <row r="76">
      <c r="A76" s="1227" t="inlineStr">
        <is>
          <t>Cost Curve</t>
        </is>
      </c>
      <c r="B76" s="1228" t="inlineStr">
        <is>
          <t>CC01 - CC15</t>
        </is>
      </c>
      <c r="C76" s="1228" t="n">
        <v>15</v>
      </c>
    </row>
    <row r="77">
      <c r="A77" s="1227" t="inlineStr">
        <is>
          <t>Revenue Forecast</t>
        </is>
      </c>
      <c r="B77" s="1228" t="inlineStr">
        <is>
          <t>RF01 - RF26</t>
        </is>
      </c>
      <c r="C77" s="1228" t="n">
        <v>26</v>
      </c>
    </row>
    <row r="78">
      <c r="A78" s="1227" t="inlineStr">
        <is>
          <t>EBITDA Model</t>
        </is>
      </c>
      <c r="B78" s="1228" t="inlineStr">
        <is>
          <t>EM01 - EM27</t>
        </is>
      </c>
      <c r="C78" s="1228" t="n">
        <v>27</v>
      </c>
    </row>
    <row r="79">
      <c r="A79" s="1227" t="inlineStr">
        <is>
          <t>Margin Analysis</t>
        </is>
      </c>
      <c r="B79" s="1228" t="inlineStr">
        <is>
          <t>MG01 - MG18</t>
        </is>
      </c>
      <c r="C79" s="1228" t="n">
        <v>18</v>
      </c>
    </row>
    <row r="80">
      <c r="A80" s="1227" t="inlineStr">
        <is>
          <t>Working Capital Model</t>
        </is>
      </c>
      <c r="B80" s="1228" t="inlineStr">
        <is>
          <t>WC01 - WC09</t>
        </is>
      </c>
      <c r="C80" s="1228" t="n">
        <v>9</v>
      </c>
    </row>
    <row r="81">
      <c r="A81" s="1227" t="inlineStr">
        <is>
          <t>Cash Flow Model</t>
        </is>
      </c>
      <c r="B81" s="1228" t="inlineStr">
        <is>
          <t>CX01 - CX22</t>
        </is>
      </c>
      <c r="C81" s="1228" t="n">
        <v>22</v>
      </c>
    </row>
    <row r="82">
      <c r="A82" s="1227" t="inlineStr">
        <is>
          <t>Capital Allocation</t>
        </is>
      </c>
      <c r="B82" s="1228" t="inlineStr">
        <is>
          <t>CA01 - CA17</t>
        </is>
      </c>
      <c r="C82" s="1228" t="n">
        <v>17</v>
      </c>
    </row>
    <row r="83">
      <c r="A83" s="1227" t="inlineStr">
        <is>
          <t>Industry Cycle Model</t>
        </is>
      </c>
      <c r="B83" s="1228" t="inlineStr">
        <is>
          <t>IC01 - IC17</t>
        </is>
      </c>
      <c r="C83" s="1228" t="n">
        <v>17</v>
      </c>
    </row>
    <row r="84">
      <c r="A84" s="1227" t="inlineStr">
        <is>
          <t>Trade Model</t>
        </is>
      </c>
      <c r="B84" s="1228" t="inlineStr">
        <is>
          <t>TM01 - TM18</t>
        </is>
      </c>
      <c r="C84" s="1228" t="n">
        <v>18</v>
      </c>
    </row>
    <row r="85">
      <c r="A85" s="1227" t="inlineStr">
        <is>
          <t>ESG Model</t>
        </is>
      </c>
      <c r="B85" s="1228" t="inlineStr">
        <is>
          <t>ES01 - ES40</t>
        </is>
      </c>
      <c r="C85" s="1228" t="n">
        <v>40</v>
      </c>
    </row>
    <row r="86">
      <c r="A86" s="1227" t="inlineStr">
        <is>
          <t>Scenario Manager</t>
        </is>
      </c>
      <c r="B86" s="1228" t="inlineStr">
        <is>
          <t>SC01 - SC21</t>
        </is>
      </c>
      <c r="C86" s="1228" t="n">
        <v>21</v>
      </c>
    </row>
    <row r="87">
      <c r="A87" s="1227" t="inlineStr">
        <is>
          <t>Sensitivity Analysis</t>
        </is>
      </c>
      <c r="B87" s="1228" t="inlineStr">
        <is>
          <t>SA01 - SA43</t>
        </is>
      </c>
      <c r="C87" s="1228" t="n">
        <v>43</v>
      </c>
    </row>
    <row r="88">
      <c r="A88" s="1227" t="inlineStr">
        <is>
          <t>Comparable Valuation</t>
        </is>
      </c>
      <c r="B88" s="1228" t="inlineStr">
        <is>
          <t>VL01 - VL46</t>
        </is>
      </c>
      <c r="C88" s="1228" t="n">
        <v>46</v>
      </c>
    </row>
    <row r="89">
      <c r="A89" s="1227" t="inlineStr">
        <is>
          <t>Industry Dashboard</t>
        </is>
      </c>
      <c r="B89" s="1228" t="inlineStr">
        <is>
          <t>DB01 - DB29</t>
        </is>
      </c>
      <c r="C89" s="1228" t="n">
        <v>29</v>
      </c>
    </row>
    <row r="90">
      <c r="A90" s="1227" t="inlineStr">
        <is>
          <t>Audit Checks</t>
        </is>
      </c>
      <c r="B90" s="1228" t="inlineStr">
        <is>
          <t>AC01 - AC31</t>
        </is>
      </c>
      <c r="C90" s="1228" t="n">
        <v>31</v>
      </c>
    </row>
    <row r="91">
      <c r="A91" s="1227" t="inlineStr">
        <is>
          <t>Sources</t>
        </is>
      </c>
      <c r="B91" s="1228" t="inlineStr">
        <is>
          <t>SR01 - SR12</t>
        </is>
      </c>
      <c r="C91" s="1228" t="n">
        <v>12</v>
      </c>
    </row>
    <row r="93" ht="18" customHeight="1" s="632">
      <c r="A93" s="1229" t="inlineStr">
        <is>
          <t>Cover  -  6 documented items  (CV01 - CV06)</t>
        </is>
      </c>
      <c r="B93" s="1161" t="n"/>
      <c r="C93" s="1161" t="n"/>
      <c r="D93" s="1161" t="n"/>
      <c r="E93" s="1161" t="n"/>
      <c r="F93" s="1161" t="n"/>
      <c r="G93" s="1161" t="n"/>
      <c r="H93" s="1161" t="n"/>
      <c r="I93" s="1161" t="n"/>
      <c r="J93" s="1161" t="n"/>
      <c r="K93" s="1161" t="n"/>
      <c r="L93" s="1161" t="n"/>
      <c r="M93" s="1161" t="n"/>
      <c r="N93" s="1161" t="n"/>
      <c r="O93" s="1161" t="n"/>
      <c r="P93" s="1161" t="n"/>
    </row>
    <row r="94" ht="24" customHeight="1" s="632">
      <c r="A94" s="1230" t="inlineStr">
        <is>
          <t>This workbook is an integrated industry financial model, not a set of independent forecasts. Real GDP growth and a demand elasticity drive volume; volume against capacity drives utilisation; utilisation feeds back into realisation with a one-year lag; realisation less cash cost drives margin, cash flow and valuation. The table below records the coverage universe and the model metadata on this page.</t>
        </is>
      </c>
    </row>
    <row r="95" ht="30" customHeight="1" s="632">
      <c r="A95" s="1231" t="inlineStr">
        <is>
          <t>Code</t>
        </is>
      </c>
      <c r="B95" s="1231" t="inlineStr">
        <is>
          <t>Model Item</t>
        </is>
      </c>
      <c r="C95" s="1231" t="inlineStr">
        <is>
          <t>Value</t>
        </is>
      </c>
      <c r="D95" s="1231" t="inlineStr">
        <is>
          <t>Unit</t>
        </is>
      </c>
      <c r="E95" s="1231" t="inlineStr">
        <is>
          <t>Calculation Method</t>
        </is>
      </c>
      <c r="F95" s="1231" t="inlineStr">
        <is>
          <t>Formula Used</t>
        </is>
      </c>
      <c r="G95" s="1231" t="inlineStr">
        <is>
          <t>Primary Source</t>
        </is>
      </c>
      <c r="H95" s="1231" t="inlineStr">
        <is>
          <t>Secondary Source</t>
        </is>
      </c>
      <c r="I95" s="1231" t="inlineStr">
        <is>
          <t>Assumption</t>
        </is>
      </c>
      <c r="J95" s="1231" t="inlineStr">
        <is>
          <t>Reasoning</t>
        </is>
      </c>
      <c r="K95" s="1231" t="inlineStr">
        <is>
          <t>Cross-check</t>
        </is>
      </c>
      <c r="L95" s="1231" t="inlineStr">
        <is>
          <t>Confidence Level</t>
        </is>
      </c>
      <c r="M95" s="1231" t="inlineStr">
        <is>
          <t>Linked Sheet</t>
        </is>
      </c>
      <c r="N95" s="1231" t="inlineStr">
        <is>
          <t>Update Frequency</t>
        </is>
      </c>
      <c r="O95" s="1231" t="inlineStr">
        <is>
          <t>Last Available Date</t>
        </is>
      </c>
      <c r="P95" s="1231" t="inlineStr">
        <is>
          <t>Comments</t>
        </is>
      </c>
    </row>
    <row r="96" ht="46" customHeight="1" s="632">
      <c r="A96" s="1232" t="inlineStr">
        <is>
          <t>CV01</t>
        </is>
      </c>
      <c r="B96" s="1233" t="inlineStr">
        <is>
          <t>CONVENTION - Blue font: Manual input</t>
        </is>
      </c>
      <c r="C96" s="1233" t="n"/>
      <c r="D96" s="1234" t="inlineStr">
        <is>
          <t>formatting convention</t>
        </is>
      </c>
      <c r="E96" s="1233" t="inlineStr">
        <is>
          <t>Institutional modelling convention</t>
        </is>
      </c>
      <c r="F96" s="1233" t="inlineStr">
        <is>
          <t>n/a</t>
        </is>
      </c>
      <c r="G96" s="1233" t="inlineStr">
        <is>
          <t>Model owner specification</t>
        </is>
      </c>
      <c r="H96" s="1233" t="inlineStr">
        <is>
          <t>n/a</t>
        </is>
      </c>
      <c r="I96" s="1233" t="inlineStr">
        <is>
          <t>Applied without exception throughout the workbook.</t>
        </is>
      </c>
      <c r="J96" s="1233" t="inlineStr">
        <is>
          <t>A value a user is expected to review or change. Structural parameters held constant across years and scenarios, modelled estimates whose basis is stated in the register, and the handful of deliberate zeros that are modelling statements rather than placeholders, are all blue.</t>
        </is>
      </c>
      <c r="K96" s="1233" t="inlineStr">
        <is>
          <t>Verified by tools/audit.py: every blank cell inside a designed table carries a red missing-data fill and a documented reason in the register</t>
        </is>
      </c>
      <c r="L96" s="1234" t="inlineStr">
        <is>
          <t>High</t>
        </is>
      </c>
      <c r="M96" s="1233" t="inlineStr">
        <is>
          <t>All sheets</t>
        </is>
      </c>
      <c r="N96" s="1233" t="inlineStr">
        <is>
          <t>n/a</t>
        </is>
      </c>
      <c r="O96" s="1234" t="inlineStr">
        <is>
          <t>n/a</t>
        </is>
      </c>
      <c r="P96" s="1233" t="inlineStr">
        <is>
          <t>Read this before reading any number.</t>
        </is>
      </c>
    </row>
    <row r="97" ht="46" customHeight="1" s="632">
      <c r="A97" s="1232" t="inlineStr">
        <is>
          <t>CV02</t>
        </is>
      </c>
      <c r="B97" s="1235" t="inlineStr">
        <is>
          <t>CONVENTION - Black font: Formula computed on this sheet</t>
        </is>
      </c>
      <c r="C97" s="1235" t="n"/>
      <c r="D97" s="1236" t="inlineStr">
        <is>
          <t>formatting convention</t>
        </is>
      </c>
      <c r="E97" s="1235" t="inlineStr">
        <is>
          <t>Institutional modelling convention</t>
        </is>
      </c>
      <c r="F97" s="1235" t="inlineStr">
        <is>
          <t>n/a</t>
        </is>
      </c>
      <c r="G97" s="1235" t="inlineStr">
        <is>
          <t>Model owner specification</t>
        </is>
      </c>
      <c r="H97" s="1235" t="inlineStr">
        <is>
          <t>n/a</t>
        </is>
      </c>
      <c r="I97" s="1235" t="inlineStr">
        <is>
          <t>Applied without exception throughout the workbook.</t>
        </is>
      </c>
      <c r="J97" s="1235" t="inlineStr">
        <is>
          <t>Arithmetic performed in the cell itself. Every bridge, reconciliation, ratio and classification is black.</t>
        </is>
      </c>
      <c r="K97" s="1235" t="inlineStr">
        <is>
          <t>Verified by tools/audit.py: every blank cell inside a designed table carries a red missing-data fill and a documented reason in the register</t>
        </is>
      </c>
      <c r="L97" s="1236" t="inlineStr">
        <is>
          <t>High</t>
        </is>
      </c>
      <c r="M97" s="1235" t="inlineStr">
        <is>
          <t>All sheets</t>
        </is>
      </c>
      <c r="N97" s="1235" t="inlineStr">
        <is>
          <t>n/a</t>
        </is>
      </c>
      <c r="O97" s="1236" t="inlineStr">
        <is>
          <t>n/a</t>
        </is>
      </c>
      <c r="P97" s="1235" t="inlineStr">
        <is>
          <t>Read this before reading any number.</t>
        </is>
      </c>
    </row>
    <row r="98" ht="46" customHeight="1" s="632">
      <c r="A98" s="1232" t="inlineStr">
        <is>
          <t>CV03</t>
        </is>
      </c>
      <c r="B98" s="1233" t="inlineStr">
        <is>
          <t>CONVENTION - Green font: Link to another sheet</t>
        </is>
      </c>
      <c r="C98" s="1233" t="n"/>
      <c r="D98" s="1234" t="inlineStr">
        <is>
          <t>formatting convention</t>
        </is>
      </c>
      <c r="E98" s="1233" t="inlineStr">
        <is>
          <t>Institutional modelling convention</t>
        </is>
      </c>
      <c r="F98" s="1233" t="inlineStr">
        <is>
          <t>n/a</t>
        </is>
      </c>
      <c r="G98" s="1233" t="inlineStr">
        <is>
          <t>Model owner specification</t>
        </is>
      </c>
      <c r="H98" s="1233" t="inlineStr">
        <is>
          <t>n/a</t>
        </is>
      </c>
      <c r="I98" s="1233" t="inlineStr">
        <is>
          <t>Applied without exception throughout the workbook.</t>
        </is>
      </c>
      <c r="J98" s="1233" t="inlineStr">
        <is>
          <t>The value exists in exactly one place in the workbook and is read from there. Roughly two thirds of the model is green, which is the point: nothing is re-keyed.</t>
        </is>
      </c>
      <c r="K98" s="1233" t="inlineStr">
        <is>
          <t>Verified by tools/audit.py: every blank cell inside a designed table carries a red missing-data fill and a documented reason in the register</t>
        </is>
      </c>
      <c r="L98" s="1234" t="inlineStr">
        <is>
          <t>High</t>
        </is>
      </c>
      <c r="M98" s="1233" t="inlineStr">
        <is>
          <t>All sheets</t>
        </is>
      </c>
      <c r="N98" s="1233" t="inlineStr">
        <is>
          <t>n/a</t>
        </is>
      </c>
      <c r="O98" s="1234" t="inlineStr">
        <is>
          <t>n/a</t>
        </is>
      </c>
      <c r="P98" s="1233" t="inlineStr">
        <is>
          <t>Read this before reading any number.</t>
        </is>
      </c>
    </row>
    <row r="99" ht="46" customHeight="1" s="632">
      <c r="A99" s="1232" t="inlineStr">
        <is>
          <t>CV04</t>
        </is>
      </c>
      <c r="B99" s="1235" t="inlineStr">
        <is>
          <t>CONVENTION - Orange fill: Sourced from an external workbook - Master Industry Database.xlsx</t>
        </is>
      </c>
      <c r="C99" s="1235" t="n"/>
      <c r="D99" s="1236" t="inlineStr">
        <is>
          <t>formatting convention</t>
        </is>
      </c>
      <c r="E99" s="1235" t="inlineStr">
        <is>
          <t>Institutional modelling convention</t>
        </is>
      </c>
      <c r="F99" s="1235" t="inlineStr">
        <is>
          <t>n/a</t>
        </is>
      </c>
      <c r="G99" s="1235" t="inlineStr">
        <is>
          <t>Model owner specification</t>
        </is>
      </c>
      <c r="H99" s="1235" t="inlineStr">
        <is>
          <t>n/a</t>
        </is>
      </c>
      <c r="I99" s="1235" t="inlineStr">
        <is>
          <t>Applied without exception throughout the workbook.</t>
        </is>
      </c>
      <c r="J99" s="1235" t="inlineStr">
        <is>
          <t>Historical actuals and company-level data imported from the database. These are the cells to convert to external references when the two workbooks are reconnected. The exact intended external formula is recorded against each one in the reference register on 25 Audit Checks.</t>
        </is>
      </c>
      <c r="K99" s="1235" t="inlineStr">
        <is>
          <t>Verified by tools/audit.py: every blank cell inside a designed table carries a red missing-data fill and a documented reason in the register</t>
        </is>
      </c>
      <c r="L99" s="1236" t="inlineStr">
        <is>
          <t>High</t>
        </is>
      </c>
      <c r="M99" s="1235" t="inlineStr">
        <is>
          <t>All sheets</t>
        </is>
      </c>
      <c r="N99" s="1235" t="inlineStr">
        <is>
          <t>n/a</t>
        </is>
      </c>
      <c r="O99" s="1236" t="inlineStr">
        <is>
          <t>n/a</t>
        </is>
      </c>
      <c r="P99" s="1235" t="inlineStr">
        <is>
          <t>Read this before reading any number.</t>
        </is>
      </c>
    </row>
    <row r="100" ht="46" customHeight="1" s="632">
      <c r="A100" s="1232" t="inlineStr">
        <is>
          <t>CV05</t>
        </is>
      </c>
      <c r="B100" s="1233" t="inlineStr">
        <is>
          <t>CONVENTION - Red fill: Missing data - no source and no defensible estimate</t>
        </is>
      </c>
      <c r="C100" s="1233" t="n"/>
      <c r="D100" s="1234" t="inlineStr">
        <is>
          <t>formatting convention</t>
        </is>
      </c>
      <c r="E100" s="1233" t="inlineStr">
        <is>
          <t>Institutional modelling convention</t>
        </is>
      </c>
      <c r="F100" s="1233" t="inlineStr">
        <is>
          <t>n/a</t>
        </is>
      </c>
      <c r="G100" s="1233" t="inlineStr">
        <is>
          <t>Model owner specification</t>
        </is>
      </c>
      <c r="H100" s="1233" t="inlineStr">
        <is>
          <t>n/a</t>
        </is>
      </c>
      <c r="I100" s="1233" t="inlineStr">
        <is>
          <t>Applied without exception throughout the workbook.</t>
        </is>
      </c>
      <c r="J100" s="1233" t="inlineStr">
        <is>
          <t>Nothing is asserted in these cells. Every red group has an entry in the reference register stating precisely why the data could not be obtained and what to enter instead. They are gaps that are disclosed, not gaps that are hidden - and they are now the exception rather than the rule, because anything that could be modelled from a documented driver has been modelled instead of left blank.</t>
        </is>
      </c>
      <c r="K100" s="1233" t="inlineStr">
        <is>
          <t>Verified by tools/audit.py: every blank cell inside a designed table carries a red missing-data fill and a documented reason in the register</t>
        </is>
      </c>
      <c r="L100" s="1234" t="inlineStr">
        <is>
          <t>High</t>
        </is>
      </c>
      <c r="M100" s="1233" t="inlineStr">
        <is>
          <t>All sheets</t>
        </is>
      </c>
      <c r="N100" s="1233" t="inlineStr">
        <is>
          <t>n/a</t>
        </is>
      </c>
      <c r="O100" s="1234" t="inlineStr">
        <is>
          <t>n/a</t>
        </is>
      </c>
      <c r="P100" s="1233" t="inlineStr">
        <is>
          <t>Read this before reading any number.</t>
        </is>
      </c>
    </row>
    <row r="101" ht="46" customHeight="1" s="632">
      <c r="A101" s="1232" t="inlineStr">
        <is>
          <t>CV06</t>
        </is>
      </c>
      <c r="B101" s="1235" t="inlineStr">
        <is>
          <t>CONVENTION - Ref column: The reference code beside each table</t>
        </is>
      </c>
      <c r="C101" s="1235" t="n"/>
      <c r="D101" s="1236" t="inlineStr">
        <is>
          <t>formatting convention</t>
        </is>
      </c>
      <c r="E101" s="1235" t="inlineStr">
        <is>
          <t>Institutional modelling convention</t>
        </is>
      </c>
      <c r="F101" s="1235" t="inlineStr">
        <is>
          <t>n/a</t>
        </is>
      </c>
      <c r="G101" s="1235" t="inlineStr">
        <is>
          <t>Model owner specification</t>
        </is>
      </c>
      <c r="H101" s="1235" t="inlineStr">
        <is>
          <t>n/a</t>
        </is>
      </c>
      <c r="I101" s="1235" t="inlineStr">
        <is>
          <t>Applied without exception throughout the workbook.</t>
        </is>
      </c>
      <c r="J101" s="1235" t="inlineStr">
        <is>
          <t>Each documented row carries a short code in a narrow Ref column to the right of its table. The code is a hyperlink: click it to jump to that row's full entry - method, formula, source, assumption, reasoning, cross-check, confidence and refresh frequency - in the reference register on 25 Audit Checks.</t>
        </is>
      </c>
      <c r="K101" s="1235" t="inlineStr">
        <is>
          <t>Verified by tools/audit.py: every blank cell inside a designed table carries a red missing-data fill and a documented reason in the register</t>
        </is>
      </c>
      <c r="L101" s="1236" t="inlineStr">
        <is>
          <t>High</t>
        </is>
      </c>
      <c r="M101" s="1235" t="inlineStr">
        <is>
          <t>All sheets</t>
        </is>
      </c>
      <c r="N101" s="1235" t="inlineStr">
        <is>
          <t>n/a</t>
        </is>
      </c>
      <c r="O101" s="1236" t="inlineStr">
        <is>
          <t>n/a</t>
        </is>
      </c>
      <c r="P101" s="1235" t="inlineStr">
        <is>
          <t>Read this before reading any number.</t>
        </is>
      </c>
    </row>
    <row r="104" ht="18" customHeight="1" s="632">
      <c r="A104" s="1229" t="inlineStr">
        <is>
          <t>Index  -  1 documented items  (IX01 - IX01)</t>
        </is>
      </c>
      <c r="B104" s="1161" t="n"/>
      <c r="C104" s="1161" t="n"/>
      <c r="D104" s="1161" t="n"/>
      <c r="E104" s="1161" t="n"/>
      <c r="F104" s="1161" t="n"/>
      <c r="G104" s="1161" t="n"/>
      <c r="H104" s="1161" t="n"/>
      <c r="I104" s="1161" t="n"/>
      <c r="J104" s="1161" t="n"/>
      <c r="K104" s="1161" t="n"/>
      <c r="L104" s="1161" t="n"/>
      <c r="M104" s="1161" t="n"/>
      <c r="N104" s="1161" t="n"/>
      <c r="O104" s="1161" t="n"/>
      <c r="P104" s="1161" t="n"/>
    </row>
    <row r="105" ht="24" customHeight="1" s="632">
      <c r="A105" s="1230" t="inlineStr">
        <is>
          <t>Every sheet in the workbook, its role, and where its numbers come from. Sheet names in column B are live hyperlinks.</t>
        </is>
      </c>
    </row>
    <row r="106" ht="30" customHeight="1" s="632">
      <c r="A106" s="1231" t="inlineStr">
        <is>
          <t>Code</t>
        </is>
      </c>
      <c r="B106" s="1231" t="inlineStr">
        <is>
          <t>Model Item</t>
        </is>
      </c>
      <c r="C106" s="1231" t="inlineStr">
        <is>
          <t>Value</t>
        </is>
      </c>
      <c r="D106" s="1231" t="inlineStr">
        <is>
          <t>Unit</t>
        </is>
      </c>
      <c r="E106" s="1231" t="inlineStr">
        <is>
          <t>Calculation Method</t>
        </is>
      </c>
      <c r="F106" s="1231" t="inlineStr">
        <is>
          <t>Formula Used</t>
        </is>
      </c>
      <c r="G106" s="1231" t="inlineStr">
        <is>
          <t>Primary Source</t>
        </is>
      </c>
      <c r="H106" s="1231" t="inlineStr">
        <is>
          <t>Secondary Source</t>
        </is>
      </c>
      <c r="I106" s="1231" t="inlineStr">
        <is>
          <t>Assumption</t>
        </is>
      </c>
      <c r="J106" s="1231" t="inlineStr">
        <is>
          <t>Reasoning</t>
        </is>
      </c>
      <c r="K106" s="1231" t="inlineStr">
        <is>
          <t>Cross-check</t>
        </is>
      </c>
      <c r="L106" s="1231" t="inlineStr">
        <is>
          <t>Confidence Level</t>
        </is>
      </c>
      <c r="M106" s="1231" t="inlineStr">
        <is>
          <t>Linked Sheet</t>
        </is>
      </c>
      <c r="N106" s="1231" t="inlineStr">
        <is>
          <t>Update Frequency</t>
        </is>
      </c>
      <c r="O106" s="1231" t="inlineStr">
        <is>
          <t>Last Available Date</t>
        </is>
      </c>
      <c r="P106" s="1231" t="inlineStr">
        <is>
          <t>Comments</t>
        </is>
      </c>
    </row>
    <row r="107" ht="46" customHeight="1" s="632">
      <c r="A107" s="1232" t="inlineStr">
        <is>
          <t>IX01</t>
        </is>
      </c>
      <c r="B107" s="1233" t="inlineStr">
        <is>
          <t>Sheet navigation hyperlinks</t>
        </is>
      </c>
      <c r="C107" s="1233" t="n"/>
      <c r="D107" s="1234" t="inlineStr">
        <is>
          <t>n/a</t>
        </is>
      </c>
      <c r="E107" s="1233" t="inlineStr">
        <is>
          <t>Internal workbook hyperlinks</t>
        </is>
      </c>
      <c r="F107" s="1233" t="inlineStr">
        <is>
          <t>location = 'Sheet Name'!A1</t>
        </is>
      </c>
      <c r="G107" s="1233" t="inlineStr">
        <is>
          <t>n/a</t>
        </is>
      </c>
      <c r="H107" s="1233" t="inlineStr">
        <is>
          <t>n/a</t>
        </is>
      </c>
      <c r="I107" s="1233" t="inlineStr">
        <is>
          <t>None.</t>
        </is>
      </c>
      <c r="J107" s="1233" t="inlineStr">
        <is>
          <t>The index instructed the reader to "click a sheet name to navigate" but the names carried no hyperlinks. All 31 are now linked.</t>
        </is>
      </c>
      <c r="K107" s="1233" t="inlineStr">
        <is>
          <t>Every target verified against the workbook sheet list</t>
        </is>
      </c>
      <c r="L107" s="1234" t="inlineStr">
        <is>
          <t>High</t>
        </is>
      </c>
      <c r="M107" s="1233" t="inlineStr">
        <is>
          <t>All sheets</t>
        </is>
      </c>
      <c r="N107" s="1233" t="inlineStr">
        <is>
          <t>On any sheet rename</t>
        </is>
      </c>
      <c r="O107" s="1234" t="inlineStr">
        <is>
          <t>n/a</t>
        </is>
      </c>
      <c r="P107" s="1233" t="inlineStr">
        <is>
          <t>Hyperlinks only - no formatting changed apart from the underline that signals a link.</t>
        </is>
      </c>
    </row>
    <row r="110" ht="18" customHeight="1" s="632">
      <c r="A110" s="1229" t="inlineStr">
        <is>
          <t>Database Import  -  1 documented items  (DI01 - DI01)</t>
        </is>
      </c>
      <c r="B110" s="1161" t="n"/>
      <c r="C110" s="1161" t="n"/>
      <c r="D110" s="1161" t="n"/>
      <c r="E110" s="1161" t="n"/>
      <c r="F110" s="1161" t="n"/>
      <c r="G110" s="1161" t="n"/>
      <c r="H110" s="1161" t="n"/>
      <c r="I110" s="1161" t="n"/>
      <c r="J110" s="1161" t="n"/>
      <c r="K110" s="1161" t="n"/>
      <c r="L110" s="1161" t="n"/>
      <c r="M110" s="1161" t="n"/>
      <c r="N110" s="1161" t="n"/>
      <c r="O110" s="1161" t="n"/>
      <c r="P110" s="1161" t="n"/>
    </row>
    <row r="111" ht="24" customHeight="1" s="632">
      <c r="A111" s="1230" t="inlineStr">
        <is>
          <t>What is imported from Master Industry Database.xlsx, how many records each dataset carries, and the external reference formula that should replace each RED cell when the two workbooks are reconnected.</t>
        </is>
      </c>
    </row>
    <row r="112" ht="30" customHeight="1" s="632">
      <c r="A112" s="1231" t="inlineStr">
        <is>
          <t>Code</t>
        </is>
      </c>
      <c r="B112" s="1231" t="inlineStr">
        <is>
          <t>Model Item</t>
        </is>
      </c>
      <c r="C112" s="1231" t="inlineStr">
        <is>
          <t>Value</t>
        </is>
      </c>
      <c r="D112" s="1231" t="inlineStr">
        <is>
          <t>Unit</t>
        </is>
      </c>
      <c r="E112" s="1231" t="inlineStr">
        <is>
          <t>Calculation Method</t>
        </is>
      </c>
      <c r="F112" s="1231" t="inlineStr">
        <is>
          <t>Formula Used</t>
        </is>
      </c>
      <c r="G112" s="1231" t="inlineStr">
        <is>
          <t>Primary Source</t>
        </is>
      </c>
      <c r="H112" s="1231" t="inlineStr">
        <is>
          <t>Secondary Source</t>
        </is>
      </c>
      <c r="I112" s="1231" t="inlineStr">
        <is>
          <t>Assumption</t>
        </is>
      </c>
      <c r="J112" s="1231" t="inlineStr">
        <is>
          <t>Reasoning</t>
        </is>
      </c>
      <c r="K112" s="1231" t="inlineStr">
        <is>
          <t>Cross-check</t>
        </is>
      </c>
      <c r="L112" s="1231" t="inlineStr">
        <is>
          <t>Confidence Level</t>
        </is>
      </c>
      <c r="M112" s="1231" t="inlineStr">
        <is>
          <t>Linked Sheet</t>
        </is>
      </c>
      <c r="N112" s="1231" t="inlineStr">
        <is>
          <t>Update Frequency</t>
        </is>
      </c>
      <c r="O112" s="1231" t="inlineStr">
        <is>
          <t>Last Available Date</t>
        </is>
      </c>
      <c r="P112" s="1231" t="inlineStr">
        <is>
          <t>Comments</t>
        </is>
      </c>
    </row>
    <row r="113" ht="46" customHeight="1" s="632">
      <c r="A113" s="1232" t="inlineStr">
        <is>
          <t>DI01</t>
        </is>
      </c>
      <c r="B113" s="1233" t="inlineStr">
        <is>
          <t>Imported dataset record counts</t>
        </is>
      </c>
      <c r="C113" s="1237">
        <f>SUM('Database Import'!D20:D32)</f>
        <v/>
      </c>
      <c r="D113" s="1234" t="inlineStr">
        <is>
          <t>rows</t>
        </is>
      </c>
      <c r="E113" s="1233" t="inlineStr">
        <is>
          <t>Counted from Master Industry Database.xlsx at build time</t>
        </is>
      </c>
      <c r="F113" s="1233" t="inlineStr">
        <is>
          <t>'='[Master Industry Database.xlsx]&lt;sheet&gt;'! record count</t>
        </is>
      </c>
      <c r="G113" s="1233" t="inlineStr">
        <is>
          <t>Master Industry Database.xlsx, 03-Aug-2026 vintage</t>
        </is>
      </c>
      <c r="H113" s="1233" t="inlineStr">
        <is>
          <t>Master Industry Database Contents sheet</t>
        </is>
      </c>
      <c r="I113" s="1233" t="inlineStr">
        <is>
          <t>A record is a row carrying an entity label and at least one numeric observation.</t>
        </is>
      </c>
      <c r="J113" s="1233" t="inlineStr">
        <is>
          <t>The delivered workbook carried the placeholder "xxx" in twelve of the thirteen rows. Counts are now the actual record counts of each source sheet.</t>
        </is>
      </c>
      <c r="K113" s="1233" t="inlineStr">
        <is>
          <t>Company List row must equal 15, which is the stated coverage universe on the cover sheet</t>
        </is>
      </c>
      <c r="L113" s="1234" t="inlineStr">
        <is>
          <t>High</t>
        </is>
      </c>
      <c r="M113" s="1233" t="inlineStr">
        <is>
          <t>This sheet</t>
        </is>
      </c>
      <c r="N113" s="1233" t="inlineStr">
        <is>
          <t>On each database refresh</t>
        </is>
      </c>
      <c r="O113" s="1234" t="inlineStr">
        <is>
          <t>03-Aug-2026</t>
        </is>
      </c>
      <c r="P113" s="1233" t="inlineStr">
        <is>
          <t>RED fill marks every cell that should become an external link when the two workbooks are reconnected.</t>
        </is>
      </c>
    </row>
    <row r="116" ht="18" customHeight="1" s="632">
      <c r="A116" s="1229" t="inlineStr">
        <is>
          <t>Forecast Horizon  -  1 documented items  (FH01 - FH01)</t>
        </is>
      </c>
      <c r="B116" s="1161" t="n"/>
      <c r="C116" s="1161" t="n"/>
      <c r="D116" s="1161" t="n"/>
      <c r="E116" s="1161" t="n"/>
      <c r="F116" s="1161" t="n"/>
      <c r="G116" s="1161" t="n"/>
      <c r="H116" s="1161" t="n"/>
      <c r="I116" s="1161" t="n"/>
      <c r="J116" s="1161" t="n"/>
      <c r="K116" s="1161" t="n"/>
      <c r="L116" s="1161" t="n"/>
      <c r="M116" s="1161" t="n"/>
      <c r="N116" s="1161" t="n"/>
      <c r="O116" s="1161" t="n"/>
      <c r="P116" s="1161" t="n"/>
    </row>
    <row r="117" ht="24" customHeight="1" s="632">
      <c r="A117" s="1230" t="inlineStr">
        <is>
          <t>Why the forecast horizon is seven years. The scoring is a framework; the evidence behind each score is stated on the sheet.</t>
        </is>
      </c>
    </row>
    <row r="118" ht="30" customHeight="1" s="632">
      <c r="A118" s="1231" t="inlineStr">
        <is>
          <t>Code</t>
        </is>
      </c>
      <c r="B118" s="1231" t="inlineStr">
        <is>
          <t>Model Item</t>
        </is>
      </c>
      <c r="C118" s="1231" t="inlineStr">
        <is>
          <t>Value</t>
        </is>
      </c>
      <c r="D118" s="1231" t="inlineStr">
        <is>
          <t>Unit</t>
        </is>
      </c>
      <c r="E118" s="1231" t="inlineStr">
        <is>
          <t>Calculation Method</t>
        </is>
      </c>
      <c r="F118" s="1231" t="inlineStr">
        <is>
          <t>Formula Used</t>
        </is>
      </c>
      <c r="G118" s="1231" t="inlineStr">
        <is>
          <t>Primary Source</t>
        </is>
      </c>
      <c r="H118" s="1231" t="inlineStr">
        <is>
          <t>Secondary Source</t>
        </is>
      </c>
      <c r="I118" s="1231" t="inlineStr">
        <is>
          <t>Assumption</t>
        </is>
      </c>
      <c r="J118" s="1231" t="inlineStr">
        <is>
          <t>Reasoning</t>
        </is>
      </c>
      <c r="K118" s="1231" t="inlineStr">
        <is>
          <t>Cross-check</t>
        </is>
      </c>
      <c r="L118" s="1231" t="inlineStr">
        <is>
          <t>Confidence Level</t>
        </is>
      </c>
      <c r="M118" s="1231" t="inlineStr">
        <is>
          <t>Linked Sheet</t>
        </is>
      </c>
      <c r="N118" s="1231" t="inlineStr">
        <is>
          <t>Update Frequency</t>
        </is>
      </c>
      <c r="O118" s="1231" t="inlineStr">
        <is>
          <t>Last Available Date</t>
        </is>
      </c>
      <c r="P118" s="1231" t="inlineStr">
        <is>
          <t>Comments</t>
        </is>
      </c>
    </row>
    <row r="119" ht="46" customHeight="1" s="632">
      <c r="A119" s="1232" t="inlineStr">
        <is>
          <t>FH01</t>
        </is>
      </c>
      <c r="B119" s="1233" t="inlineStr">
        <is>
          <t>Horizon decision</t>
        </is>
      </c>
      <c r="C119" s="1238">
        <f>'Forecast Horizon'!G20</f>
        <v/>
      </c>
      <c r="D119" s="1234" t="inlineStr">
        <is>
          <t>weighted score</t>
        </is>
      </c>
      <c r="E119" s="1233" t="inlineStr">
        <is>
          <t>Live SUMPRODUCT of weights and criterion scores; verdict resolved by MAX</t>
        </is>
      </c>
      <c r="F119" s="1233" t="inlineStr">
        <is>
          <t>'=IF(G20=MAX($F$20:$H$20),"SELECTED","Rejected")</t>
        </is>
      </c>
      <c r="G119" s="1233" t="inlineStr">
        <is>
          <t>Weighted scoring of five criteria, each with its evidence stated in column I</t>
        </is>
      </c>
      <c r="H119" s="1233" t="inlineStr">
        <is>
          <t>Master Industry Database project tracker (pipeline terminates FY2031)</t>
        </is>
      </c>
      <c r="I119" s="1233" t="inlineStr">
        <is>
          <t>The five criteria and their weights are the modeller's framework; the SCORES are evidenced in column I.</t>
        </is>
      </c>
      <c r="J119" s="1233" t="inlineStr">
        <is>
          <t>Seven years wins on four of the five criteria. The dated pipeline ends FY2031, so a seven-year horizon captures 100% of commissioning plus a two-year ramp to a normalised terminal year, which is what a DCF terminal value requires.</t>
        </is>
      </c>
      <c r="K119" s="1233" t="inlineStr">
        <is>
          <t>A five-year horizon scores 2.4 and a ten-year 2.75 against 4.8 for seven years</t>
        </is>
      </c>
      <c r="L119" s="1234" t="inlineStr">
        <is>
          <t>High</t>
        </is>
      </c>
      <c r="M119" s="1233" t="inlineStr">
        <is>
          <t>This sheet</t>
        </is>
      </c>
      <c r="N119" s="1233" t="inlineStr">
        <is>
          <t>Annually</t>
        </is>
      </c>
      <c r="O119" s="1234" t="inlineStr">
        <is>
          <t>03-Aug-2026</t>
        </is>
      </c>
      <c r="P119" s="1233" t="inlineStr">
        <is>
          <t>The verdict row was blank; it is now resolved by formula rather than asserted.</t>
        </is>
      </c>
    </row>
    <row r="122" ht="18" customHeight="1" s="632">
      <c r="A122" s="1229" t="inlineStr">
        <is>
          <t>Control Panel  -  18 documented items  (CP01 - CP18)</t>
        </is>
      </c>
      <c r="B122" s="1161" t="n"/>
      <c r="C122" s="1161" t="n"/>
      <c r="D122" s="1161" t="n"/>
      <c r="E122" s="1161" t="n"/>
      <c r="F122" s="1161" t="n"/>
      <c r="G122" s="1161" t="n"/>
      <c r="H122" s="1161" t="n"/>
      <c r="I122" s="1161" t="n"/>
      <c r="J122" s="1161" t="n"/>
      <c r="K122" s="1161" t="n"/>
      <c r="L122" s="1161" t="n"/>
      <c r="M122" s="1161" t="n"/>
      <c r="N122" s="1161" t="n"/>
      <c r="O122" s="1161" t="n"/>
      <c r="P122" s="1161" t="n"/>
    </row>
    <row r="123" ht="24" customHeight="1" s="632">
      <c r="A123" s="1230" t="inlineStr">
        <is>
          <t>The six workbook status tests and the fourteen navigation links. Every status cell is a live formula that can fail - none is a hard-coded tick.</t>
        </is>
      </c>
    </row>
    <row r="124" ht="30" customHeight="1" s="632">
      <c r="A124" s="1231" t="inlineStr">
        <is>
          <t>Code</t>
        </is>
      </c>
      <c r="B124" s="1231" t="inlineStr">
        <is>
          <t>Model Item</t>
        </is>
      </c>
      <c r="C124" s="1231" t="inlineStr">
        <is>
          <t>Value</t>
        </is>
      </c>
      <c r="D124" s="1231" t="inlineStr">
        <is>
          <t>Unit</t>
        </is>
      </c>
      <c r="E124" s="1231" t="inlineStr">
        <is>
          <t>Calculation Method</t>
        </is>
      </c>
      <c r="F124" s="1231" t="inlineStr">
        <is>
          <t>Formula Used</t>
        </is>
      </c>
      <c r="G124" s="1231" t="inlineStr">
        <is>
          <t>Primary Source</t>
        </is>
      </c>
      <c r="H124" s="1231" t="inlineStr">
        <is>
          <t>Secondary Source</t>
        </is>
      </c>
      <c r="I124" s="1231" t="inlineStr">
        <is>
          <t>Assumption</t>
        </is>
      </c>
      <c r="J124" s="1231" t="inlineStr">
        <is>
          <t>Reasoning</t>
        </is>
      </c>
      <c r="K124" s="1231" t="inlineStr">
        <is>
          <t>Cross-check</t>
        </is>
      </c>
      <c r="L124" s="1231" t="inlineStr">
        <is>
          <t>Confidence Level</t>
        </is>
      </c>
      <c r="M124" s="1231" t="inlineStr">
        <is>
          <t>Linked Sheet</t>
        </is>
      </c>
      <c r="N124" s="1231" t="inlineStr">
        <is>
          <t>Update Frequency</t>
        </is>
      </c>
      <c r="O124" s="1231" t="inlineStr">
        <is>
          <t>Last Available Date</t>
        </is>
      </c>
      <c r="P124" s="1231" t="inlineStr">
        <is>
          <t>Comments</t>
        </is>
      </c>
    </row>
    <row r="125" ht="46" customHeight="1" s="632">
      <c r="A125" s="1232" t="inlineStr">
        <is>
          <t>CP01</t>
        </is>
      </c>
      <c r="B125" s="1233" t="inlineStr">
        <is>
          <t>Workbook status - Database connected</t>
        </is>
      </c>
      <c r="C125" s="1239">
        <f>IF('Control Panel'!H6="OK",1,0)</f>
        <v/>
      </c>
      <c r="D125" s="1234" t="inlineStr">
        <is>
          <t>flag</t>
        </is>
      </c>
      <c r="E125" s="1233" t="inlineStr">
        <is>
          <t>Conditional test, live</t>
        </is>
      </c>
      <c r="F125" s="1233" t="inlineStr">
        <is>
          <t>'=IF(COUNT('Model Calibration'!$D$10:$D$14)=5,"OK","CHECK")</t>
        </is>
      </c>
      <c r="G125" s="1233" t="inlineStr">
        <is>
          <t>Computed from the model itself</t>
        </is>
      </c>
      <c r="H125" s="1233" t="inlineStr">
        <is>
          <t>25 Audit Checks</t>
        </is>
      </c>
      <c r="I125" s="1233" t="inlineStr">
        <is>
          <t>None. This is a test, not an assumption.</t>
        </is>
      </c>
      <c r="J125" s="1233" t="inlineStr">
        <is>
          <t>Counts the five FY2026A industry calibration anchors imported from the Master Industry Database.</t>
        </is>
      </c>
      <c r="K125" s="1233" t="inlineStr">
        <is>
          <t>Re-evaluates on every recalculation and on every scenario change</t>
        </is>
      </c>
      <c r="L125" s="1234" t="inlineStr">
        <is>
          <t>High</t>
        </is>
      </c>
      <c r="M125" s="1233" t="inlineStr">
        <is>
          <t>Model Assumptions, Model Calibration, EBITDA Model, Audit Checks, Industry Dashboard</t>
        </is>
      </c>
      <c r="N125" s="1233" t="inlineStr">
        <is>
          <t>Live</t>
        </is>
      </c>
      <c r="O125" s="1234" t="inlineStr">
        <is>
          <t>Live</t>
        </is>
      </c>
      <c r="P125" s="1233" t="inlineStr">
        <is>
          <t>Replaced a hard-coded tick, which could never fail.</t>
        </is>
      </c>
    </row>
    <row r="126" ht="46" customHeight="1" s="632">
      <c r="A126" s="1232" t="inlineStr">
        <is>
          <t>CP02</t>
        </is>
      </c>
      <c r="B126" s="1235" t="inlineStr">
        <is>
          <t>Workbook status - Assumptions complete</t>
        </is>
      </c>
      <c r="C126" s="1240">
        <f>IF('Control Panel'!H7="OK",1,0)</f>
        <v/>
      </c>
      <c r="D126" s="1236" t="inlineStr">
        <is>
          <t>flag</t>
        </is>
      </c>
      <c r="E126" s="1235" t="inlineStr">
        <is>
          <t>Conditional test, live</t>
        </is>
      </c>
      <c r="F126" s="1235" t="inlineStr">
        <is>
          <t>'=IF(COUNT('Model Assumptions'!$E$8:$K$33)=ROWS('Model Assumptions'!$E$8:$K$33)*COLUMNS('Model Assumptions'!$E$8:$K$33),"OK","CHECK")</t>
        </is>
      </c>
      <c r="G126" s="1235" t="inlineStr">
        <is>
          <t>Computed from the model itself</t>
        </is>
      </c>
      <c r="H126" s="1235" t="inlineStr">
        <is>
          <t>25 Audit Checks</t>
        </is>
      </c>
      <c r="I126" s="1235" t="inlineStr">
        <is>
          <t>None. This is a test, not an assumption.</t>
        </is>
      </c>
      <c r="J126" s="1235" t="inlineStr">
        <is>
          <t>Every driver cell must hold a number: the count of numbers in the block must equal the number of cells in the block. SIMPLIFIED - this test previously compared the count against the hard-coded constant 182, which nobody can verify by eye; ROWS x COLUMNS states the same thing and stays correct if a driver is ever added. Identical to check A28 on 25 Audit Checks.</t>
        </is>
      </c>
      <c r="K126" s="1235" t="inlineStr">
        <is>
          <t>Re-evaluates on every recalculation and on every scenario change</t>
        </is>
      </c>
      <c r="L126" s="1236" t="inlineStr">
        <is>
          <t>High</t>
        </is>
      </c>
      <c r="M126" s="1235" t="inlineStr">
        <is>
          <t>Model Assumptions, Model Calibration, EBITDA Model, Audit Checks, Industry Dashboard</t>
        </is>
      </c>
      <c r="N126" s="1235" t="inlineStr">
        <is>
          <t>Live</t>
        </is>
      </c>
      <c r="O126" s="1236" t="inlineStr">
        <is>
          <t>Live</t>
        </is>
      </c>
      <c r="P126" s="1235" t="inlineStr">
        <is>
          <t>Replaced a hard-coded tick, which could never fail.</t>
        </is>
      </c>
    </row>
    <row r="127" ht="46" customHeight="1" s="632">
      <c r="A127" s="1232" t="inlineStr">
        <is>
          <t>CP03</t>
        </is>
      </c>
      <c r="B127" s="1233" t="inlineStr">
        <is>
          <t>Workbook status - Calibration complete</t>
        </is>
      </c>
      <c r="C127" s="1239">
        <f>IF('Control Panel'!H8="OK",1,0)</f>
        <v/>
      </c>
      <c r="D127" s="1234" t="inlineStr">
        <is>
          <t>flag</t>
        </is>
      </c>
      <c r="E127" s="1233" t="inlineStr">
        <is>
          <t>Conditional test, live</t>
        </is>
      </c>
      <c r="F127" s="1233" t="inlineStr">
        <is>
          <t>'=IF(ABS('Model Calibration'!$D$19-'Model Calibration'!$D$21-'Model Calibration'!$D$20)&lt;1,"OK","CHECK")</t>
        </is>
      </c>
      <c r="G127" s="1233" t="inlineStr">
        <is>
          <t>Computed from the model itself</t>
        </is>
      </c>
      <c r="H127" s="1233" t="inlineStr">
        <is>
          <t>25 Audit Checks</t>
        </is>
      </c>
      <c r="I127" s="1233" t="inlineStr">
        <is>
          <t>None. This is a test, not an assumption.</t>
        </is>
      </c>
      <c r="J127" s="1233" t="inlineStr">
        <is>
          <t>Realisation less cash cost must equal EBITDA per tonne at the FY2026A calibration anchors: 59,974 - 49,241 = 10,733. SIMPLIFIED - two ISNUMBER guards were removed. They did nothing useful: if a calibration anchor is ever replaced by text the subtraction fails and you want to SEE that failure, not have it quietly reported as CHECK.</t>
        </is>
      </c>
      <c r="K127" s="1233" t="inlineStr">
        <is>
          <t>Re-evaluates on every recalculation and on every scenario change</t>
        </is>
      </c>
      <c r="L127" s="1234" t="inlineStr">
        <is>
          <t>High</t>
        </is>
      </c>
      <c r="M127" s="1233" t="inlineStr">
        <is>
          <t>Model Assumptions, Model Calibration, EBITDA Model, Audit Checks, Industry Dashboard</t>
        </is>
      </c>
      <c r="N127" s="1233" t="inlineStr">
        <is>
          <t>Live</t>
        </is>
      </c>
      <c r="O127" s="1234" t="inlineStr">
        <is>
          <t>Live</t>
        </is>
      </c>
      <c r="P127" s="1233" t="inlineStr">
        <is>
          <t>Replaced a hard-coded tick, which could never fail.</t>
        </is>
      </c>
    </row>
    <row r="128" ht="46" customHeight="1" s="632">
      <c r="A128" s="1232" t="inlineStr">
        <is>
          <t>CP04</t>
        </is>
      </c>
      <c r="B128" s="1235" t="inlineStr">
        <is>
          <t>Workbook status - Forecast built</t>
        </is>
      </c>
      <c r="C128" s="1240">
        <f>IF('Control Panel'!H9="OK",1,0)</f>
        <v/>
      </c>
      <c r="D128" s="1236" t="inlineStr">
        <is>
          <t>flag</t>
        </is>
      </c>
      <c r="E128" s="1235" t="inlineStr">
        <is>
          <t>Conditional test, live</t>
        </is>
      </c>
      <c r="F128" s="1235" t="inlineStr">
        <is>
          <t>'=IF(COUNT('EBITDA Model'!$D$103:$J$103)=7,"OK","CHECK")</t>
        </is>
      </c>
      <c r="G128" s="1235" t="inlineStr">
        <is>
          <t>Computed from the model itself</t>
        </is>
      </c>
      <c r="H128" s="1235" t="inlineStr">
        <is>
          <t>25 Audit Checks</t>
        </is>
      </c>
      <c r="I128" s="1235" t="inlineStr">
        <is>
          <t>None. This is a test, not an assumption.</t>
        </is>
      </c>
      <c r="J128" s="1235" t="inlineStr">
        <is>
          <t>All seven forecast years of industry EBITDA must be numeric. The 7 is left as a literal because D103:J103 is visibly seven cells.</t>
        </is>
      </c>
      <c r="K128" s="1235" t="inlineStr">
        <is>
          <t>Re-evaluates on every recalculation and on every scenario change</t>
        </is>
      </c>
      <c r="L128" s="1236" t="inlineStr">
        <is>
          <t>High</t>
        </is>
      </c>
      <c r="M128" s="1235" t="inlineStr">
        <is>
          <t>Model Assumptions, Model Calibration, EBITDA Model, Audit Checks, Industry Dashboard</t>
        </is>
      </c>
      <c r="N128" s="1235" t="inlineStr">
        <is>
          <t>Live</t>
        </is>
      </c>
      <c r="O128" s="1236" t="inlineStr">
        <is>
          <t>Live</t>
        </is>
      </c>
      <c r="P128" s="1235" t="inlineStr">
        <is>
          <t>Replaced a hard-coded tick, which could never fail.</t>
        </is>
      </c>
    </row>
    <row r="129" ht="46" customHeight="1" s="632">
      <c r="A129" s="1232" t="inlineStr">
        <is>
          <t>CP05</t>
        </is>
      </c>
      <c r="B129" s="1233" t="inlineStr">
        <is>
          <t>Workbook status - Audit passed</t>
        </is>
      </c>
      <c r="C129" s="1239">
        <f>IF('Control Panel'!H10="OK",1,0)</f>
        <v/>
      </c>
      <c r="D129" s="1234" t="inlineStr">
        <is>
          <t>flag</t>
        </is>
      </c>
      <c r="E129" s="1233" t="inlineStr">
        <is>
          <t>Conditional test, live</t>
        </is>
      </c>
      <c r="F129" s="1233" t="inlineStr">
        <is>
          <t>'=IF('Audit Checks'!$C$44="PASS","OK",'Audit Checks'!$C$44)</t>
        </is>
      </c>
      <c r="G129" s="1233" t="inlineStr">
        <is>
          <t>Computed from the model itself</t>
        </is>
      </c>
      <c r="H129" s="1233" t="inlineStr">
        <is>
          <t>25 Audit Checks</t>
        </is>
      </c>
      <c r="I129" s="1233" t="inlineStr">
        <is>
          <t>None. This is a test, not an assumption.</t>
        </is>
      </c>
      <c r="J129" s="1233" t="inlineStr">
        <is>
          <t>Mirrors the OVERALL result of the thirty validations on 25 Audit Checks, and shows that result verbatim when it is anything other than a clean PASS. WARN is expected in the Bear and Stress cases. SIMPLIFIED - the IFERROR wrapper was removed because it masked exactly the condition you most need to see: a broken link to the audit sheet. The pass-through of the real status text is kept, because "PASS WITH WARNINGS" tells you more than "CHECK" does.</t>
        </is>
      </c>
      <c r="K129" s="1233" t="inlineStr">
        <is>
          <t>Re-evaluates on every recalculation and on every scenario change</t>
        </is>
      </c>
      <c r="L129" s="1234" t="inlineStr">
        <is>
          <t>High</t>
        </is>
      </c>
      <c r="M129" s="1233" t="inlineStr">
        <is>
          <t>Model Assumptions, Model Calibration, EBITDA Model, Audit Checks, Industry Dashboard</t>
        </is>
      </c>
      <c r="N129" s="1233" t="inlineStr">
        <is>
          <t>Live</t>
        </is>
      </c>
      <c r="O129" s="1234" t="inlineStr">
        <is>
          <t>Live</t>
        </is>
      </c>
      <c r="P129" s="1233" t="inlineStr">
        <is>
          <t>Replaced a hard-coded tick, which could never fail.</t>
        </is>
      </c>
    </row>
    <row r="130" ht="46" customHeight="1" s="632">
      <c r="A130" s="1232" t="inlineStr">
        <is>
          <t>CP06</t>
        </is>
      </c>
      <c r="B130" s="1235" t="inlineStr">
        <is>
          <t>Workbook status - Dashboard updated</t>
        </is>
      </c>
      <c r="C130" s="1240">
        <f>IF('Control Panel'!H11="OK",1,0)</f>
        <v/>
      </c>
      <c r="D130" s="1236" t="inlineStr">
        <is>
          <t>flag</t>
        </is>
      </c>
      <c r="E130" s="1235" t="inlineStr">
        <is>
          <t>Conditional test, live</t>
        </is>
      </c>
      <c r="F130" s="1235" t="inlineStr">
        <is>
          <t>'=IF(COUNT('Industry Dashboard'!$D$32:$J$32)=7,"OK","CHECK")</t>
        </is>
      </c>
      <c r="G130" s="1235" t="inlineStr">
        <is>
          <t>Computed from the model itself</t>
        </is>
      </c>
      <c r="H130" s="1235" t="inlineStr">
        <is>
          <t>25 Audit Checks</t>
        </is>
      </c>
      <c r="I130" s="1235" t="inlineStr">
        <is>
          <t>None. This is a test, not an assumption.</t>
        </is>
      </c>
      <c r="J130" s="1235" t="inlineStr">
        <is>
          <t>The dashboard demand line must be live across all seven forecast years.</t>
        </is>
      </c>
      <c r="K130" s="1235" t="inlineStr">
        <is>
          <t>Re-evaluates on every recalculation and on every scenario change</t>
        </is>
      </c>
      <c r="L130" s="1236" t="inlineStr">
        <is>
          <t>High</t>
        </is>
      </c>
      <c r="M130" s="1235" t="inlineStr">
        <is>
          <t>Model Assumptions, Model Calibration, EBITDA Model, Audit Checks, Industry Dashboard</t>
        </is>
      </c>
      <c r="N130" s="1235" t="inlineStr">
        <is>
          <t>Live</t>
        </is>
      </c>
      <c r="O130" s="1236" t="inlineStr">
        <is>
          <t>Live</t>
        </is>
      </c>
      <c r="P130" s="1235" t="inlineStr">
        <is>
          <t>Replaced a hard-coded tick, which could never fail.</t>
        </is>
      </c>
    </row>
    <row r="131" ht="46" customHeight="1" s="632">
      <c r="A131" s="1232" t="inlineStr">
        <is>
          <t>CP07</t>
        </is>
      </c>
      <c r="B131" s="1233" t="inlineStr">
        <is>
          <t>Quick navigation links</t>
        </is>
      </c>
      <c r="C131" s="1233" t="n"/>
      <c r="D131" s="1234" t="inlineStr">
        <is>
          <t>n/a</t>
        </is>
      </c>
      <c r="E131" s="1233" t="inlineStr">
        <is>
          <t>Internal workbook hyperlink</t>
        </is>
      </c>
      <c r="F131" s="1233" t="inlineStr">
        <is>
          <t>location = 'Sheet Name'!A1</t>
        </is>
      </c>
      <c r="G131" s="1233" t="inlineStr">
        <is>
          <t>n/a</t>
        </is>
      </c>
      <c r="H131" s="1233" t="inlineStr">
        <is>
          <t>n/a</t>
        </is>
      </c>
      <c r="I131" s="1233" t="inlineStr">
        <is>
          <t>None.</t>
        </is>
      </c>
      <c r="J131" s="1233" t="inlineStr">
        <is>
          <t>The fourteen navigation cells were labelled but not linked. Each now jumps to cell A1 of its target sheet.</t>
        </is>
      </c>
      <c r="K131" s="1233" t="inlineStr">
        <is>
          <t>Targets verified against the workbook sheet list</t>
        </is>
      </c>
      <c r="L131" s="1234" t="inlineStr">
        <is>
          <t>High</t>
        </is>
      </c>
      <c r="M131" s="1233" t="inlineStr">
        <is>
          <t>All model sheets</t>
        </is>
      </c>
      <c r="N131" s="1233" t="inlineStr">
        <is>
          <t>On any sheet rename</t>
        </is>
      </c>
      <c r="O131" s="1234" t="inlineStr">
        <is>
          <t>n/a</t>
        </is>
      </c>
      <c r="P131" s="1233" t="inlineStr">
        <is>
          <t>Hyperlinks only - no formatting was changed apart from the underline that signals a link.</t>
        </is>
      </c>
    </row>
    <row r="132" ht="46" customHeight="1" s="632">
      <c r="A132" s="1232" t="inlineStr">
        <is>
          <t>CP08</t>
        </is>
      </c>
      <c r="B132" s="1235" t="inlineStr">
        <is>
          <t>India finished steel consumption</t>
        </is>
      </c>
      <c r="C132" s="1241">
        <f>IF(ISNUMBER('Control Panel'!J36),'Control Panel'!J36,'Control Panel'!C36)</f>
        <v/>
      </c>
      <c r="D132" s="1236" t="inlineStr">
        <is>
          <t>Mt</t>
        </is>
      </c>
      <c r="E132" s="1235" t="inlineStr">
        <is>
          <t>Cross-sheet reference (linked, not re-entered)</t>
        </is>
      </c>
      <c r="F132" s="1235" t="inlineStr">
        <is>
          <t>'='Steel Demand Model'!D$116</t>
        </is>
      </c>
      <c r="G132" s="1235" t="inlineStr">
        <is>
          <t>04</t>
        </is>
      </c>
      <c r="H132" s="1235" t="inlineStr">
        <is>
          <t>26 Sources register; Master Industry Database source log (47 cited sources)</t>
        </is>
      </c>
      <c r="I132" s="1235" t="n"/>
      <c r="J132" s="1235" t="n"/>
      <c r="K132" s="1235" t="inlineStr">
        <is>
          <t>Reconciled by 25 Audit Checks</t>
        </is>
      </c>
      <c r="L132" s="1236" t="inlineStr">
        <is>
          <t>Medium</t>
        </is>
      </c>
      <c r="M132" s="1235" t="inlineStr">
        <is>
          <t>Steel Demand Model</t>
        </is>
      </c>
      <c r="N132" s="1235" t="inlineStr">
        <is>
          <t>Quarterly</t>
        </is>
      </c>
      <c r="O132" s="1236" t="inlineStr">
        <is>
          <t>FY2026A</t>
        </is>
      </c>
      <c r="P132" s="1235" t="inlineStr">
        <is>
          <t>Research block row 36. Value column is live and re-states on a scenario change.</t>
        </is>
      </c>
    </row>
    <row r="133" ht="46" customHeight="1" s="632">
      <c r="A133" s="1232" t="inlineStr">
        <is>
          <t>CP09</t>
        </is>
      </c>
      <c r="B133" s="1233" t="inlineStr">
        <is>
          <t>India crude steel production</t>
        </is>
      </c>
      <c r="C133" s="1242">
        <f>IF(ISNUMBER('Control Panel'!J37),'Control Panel'!J37,'Control Panel'!C37)</f>
        <v/>
      </c>
      <c r="D133" s="1234" t="inlineStr">
        <is>
          <t>Mt</t>
        </is>
      </c>
      <c r="E133" s="1233" t="inlineStr">
        <is>
          <t>Cross-sheet reference (linked, not re-entered)</t>
        </is>
      </c>
      <c r="F133" s="1233" t="inlineStr">
        <is>
          <t>'='Steel Supply Model'!D$99</t>
        </is>
      </c>
      <c r="G133" s="1233" t="inlineStr">
        <is>
          <t>05</t>
        </is>
      </c>
      <c r="H133" s="1233" t="inlineStr">
        <is>
          <t>26 Sources register; Master Industry Database source log (47 cited sources)</t>
        </is>
      </c>
      <c r="I133" s="1233" t="n"/>
      <c r="J133" s="1233" t="n"/>
      <c r="K133" s="1233" t="inlineStr">
        <is>
          <t>Reconciled by 25 Audit Checks</t>
        </is>
      </c>
      <c r="L133" s="1234" t="inlineStr">
        <is>
          <t>Medium</t>
        </is>
      </c>
      <c r="M133" s="1233" t="inlineStr">
        <is>
          <t>Steel Supply Model</t>
        </is>
      </c>
      <c r="N133" s="1233" t="inlineStr">
        <is>
          <t>Quarterly</t>
        </is>
      </c>
      <c r="O133" s="1234" t="inlineStr">
        <is>
          <t>FY2026A</t>
        </is>
      </c>
      <c r="P133" s="1233" t="inlineStr">
        <is>
          <t>Research block row 37. Value column is live and re-states on a scenario change.</t>
        </is>
      </c>
    </row>
    <row r="134" ht="46" customHeight="1" s="632">
      <c r="A134" s="1232" t="inlineStr">
        <is>
          <t>CP10</t>
        </is>
      </c>
      <c r="B134" s="1235" t="inlineStr">
        <is>
          <t>India crude steel capacity</t>
        </is>
      </c>
      <c r="C134" s="1241">
        <f>IF(ISNUMBER('Control Panel'!J38),'Control Panel'!J38,'Control Panel'!C38)</f>
        <v/>
      </c>
      <c r="D134" s="1236" t="inlineStr">
        <is>
          <t>Mtpa</t>
        </is>
      </c>
      <c r="E134" s="1235" t="inlineStr">
        <is>
          <t>Cross-sheet reference (linked, not re-entered)</t>
        </is>
      </c>
      <c r="F134" s="1235" t="inlineStr">
        <is>
          <t>'='Capacity Forecast'!D$101</t>
        </is>
      </c>
      <c r="G134" s="1235" t="inlineStr">
        <is>
          <t>06</t>
        </is>
      </c>
      <c r="H134" s="1235" t="inlineStr">
        <is>
          <t>26 Sources register; Master Industry Database source log (47 cited sources)</t>
        </is>
      </c>
      <c r="I134" s="1235" t="n"/>
      <c r="J134" s="1235" t="n"/>
      <c r="K134" s="1235" t="inlineStr">
        <is>
          <t>Reconciled by 25 Audit Checks</t>
        </is>
      </c>
      <c r="L134" s="1236" t="inlineStr">
        <is>
          <t>Medium</t>
        </is>
      </c>
      <c r="M134" s="1235" t="inlineStr">
        <is>
          <t>Capacity Forecast</t>
        </is>
      </c>
      <c r="N134" s="1235" t="inlineStr">
        <is>
          <t>Quarterly</t>
        </is>
      </c>
      <c r="O134" s="1236" t="inlineStr">
        <is>
          <t>FY2026A</t>
        </is>
      </c>
      <c r="P134" s="1235" t="inlineStr">
        <is>
          <t>Research block row 38. Value column is live and re-states on a scenario change.</t>
        </is>
      </c>
    </row>
    <row r="135" ht="46" customHeight="1" s="632">
      <c r="A135" s="1232" t="inlineStr">
        <is>
          <t>CP11</t>
        </is>
      </c>
      <c r="B135" s="1233" t="inlineStr">
        <is>
          <t>Capacity utilisation</t>
        </is>
      </c>
      <c r="C135" s="1242">
        <f>IF(ISNUMBER('Control Panel'!J39),'Control Panel'!J39,'Control Panel'!C39)</f>
        <v/>
      </c>
      <c r="D135" s="1234" t="inlineStr">
        <is>
          <t>%</t>
        </is>
      </c>
      <c r="E135" s="1233" t="inlineStr">
        <is>
          <t>Cross-sheet reference (linked, not re-entered)</t>
        </is>
      </c>
      <c r="F135" s="1233" t="inlineStr">
        <is>
          <t>'='Capacity Utilisation'!D$67</t>
        </is>
      </c>
      <c r="G135" s="1233" t="inlineStr">
        <is>
          <t>08</t>
        </is>
      </c>
      <c r="H135" s="1233" t="inlineStr">
        <is>
          <t>26 Sources register; Master Industry Database source log (47 cited sources)</t>
        </is>
      </c>
      <c r="I135" s="1233" t="n"/>
      <c r="J135" s="1233" t="n"/>
      <c r="K135" s="1233" t="inlineStr">
        <is>
          <t>Reconciled by 25 Audit Checks</t>
        </is>
      </c>
      <c r="L135" s="1234" t="inlineStr">
        <is>
          <t>Medium</t>
        </is>
      </c>
      <c r="M135" s="1233" t="inlineStr">
        <is>
          <t>Capacity Utilisation</t>
        </is>
      </c>
      <c r="N135" s="1233" t="inlineStr">
        <is>
          <t>Quarterly</t>
        </is>
      </c>
      <c r="O135" s="1234" t="inlineStr">
        <is>
          <t>FY2026A</t>
        </is>
      </c>
      <c r="P135" s="1233" t="inlineStr">
        <is>
          <t>Research block row 39. Value column is live and re-states on a scenario change.</t>
        </is>
      </c>
    </row>
    <row r="136" ht="46" customHeight="1" s="632">
      <c r="A136" s="1232" t="inlineStr">
        <is>
          <t>CP12</t>
        </is>
      </c>
      <c r="B136" s="1235" t="inlineStr">
        <is>
          <t>Blended realisation</t>
        </is>
      </c>
      <c r="C136" s="1241">
        <f>IF(ISNUMBER('Control Panel'!J40),'Control Panel'!J40,'Control Panel'!C40)</f>
        <v/>
      </c>
      <c r="D136" s="1236" t="inlineStr">
        <is>
          <t>Rs/t</t>
        </is>
      </c>
      <c r="E136" s="1235" t="inlineStr">
        <is>
          <t>Cross-sheet reference (linked, not re-entered)</t>
        </is>
      </c>
      <c r="F136" s="1235" t="inlineStr">
        <is>
          <t>'='Steel Price Forecast'!D$103</t>
        </is>
      </c>
      <c r="G136" s="1235" t="inlineStr">
        <is>
          <t>09</t>
        </is>
      </c>
      <c r="H136" s="1235" t="inlineStr">
        <is>
          <t>26 Sources register; Master Industry Database source log (47 cited sources)</t>
        </is>
      </c>
      <c r="I136" s="1235" t="n"/>
      <c r="J136" s="1235" t="n"/>
      <c r="K136" s="1235" t="inlineStr">
        <is>
          <t>Reconciled by 25 Audit Checks</t>
        </is>
      </c>
      <c r="L136" s="1236" t="inlineStr">
        <is>
          <t>Medium</t>
        </is>
      </c>
      <c r="M136" s="1235" t="inlineStr">
        <is>
          <t>Steel Price Forecast</t>
        </is>
      </c>
      <c r="N136" s="1235" t="inlineStr">
        <is>
          <t>Quarterly</t>
        </is>
      </c>
      <c r="O136" s="1236" t="inlineStr">
        <is>
          <t>FY2026A</t>
        </is>
      </c>
      <c r="P136" s="1235" t="inlineStr">
        <is>
          <t>Research block row 40. Value column is live and re-states on a scenario change.</t>
        </is>
      </c>
    </row>
    <row r="137" ht="46" customHeight="1" s="632">
      <c r="A137" s="1232" t="inlineStr">
        <is>
          <t>CP13</t>
        </is>
      </c>
      <c r="B137" s="1233" t="inlineStr">
        <is>
          <t>Cash cost per tonne</t>
        </is>
      </c>
      <c r="C137" s="1242">
        <f>IF(ISNUMBER('Control Panel'!J41),'Control Panel'!J41,'Control Panel'!C41)</f>
        <v/>
      </c>
      <c r="D137" s="1234" t="inlineStr">
        <is>
          <t>Rs/t</t>
        </is>
      </c>
      <c r="E137" s="1233" t="inlineStr">
        <is>
          <t>Cross-sheet reference (linked, not re-entered)</t>
        </is>
      </c>
      <c r="F137" s="1233" t="inlineStr">
        <is>
          <t>'='Cost Curve'!D$80</t>
        </is>
      </c>
      <c r="G137" s="1233" t="inlineStr">
        <is>
          <t>11</t>
        </is>
      </c>
      <c r="H137" s="1233" t="inlineStr">
        <is>
          <t>26 Sources register; Master Industry Database source log (47 cited sources)</t>
        </is>
      </c>
      <c r="I137" s="1233" t="n"/>
      <c r="J137" s="1233" t="n"/>
      <c r="K137" s="1233" t="inlineStr">
        <is>
          <t>Reconciled by 25 Audit Checks</t>
        </is>
      </c>
      <c r="L137" s="1234" t="inlineStr">
        <is>
          <t>Medium</t>
        </is>
      </c>
      <c r="M137" s="1233" t="inlineStr">
        <is>
          <t>Cost Curve</t>
        </is>
      </c>
      <c r="N137" s="1233" t="inlineStr">
        <is>
          <t>Quarterly</t>
        </is>
      </c>
      <c r="O137" s="1234" t="inlineStr">
        <is>
          <t>FY2026A</t>
        </is>
      </c>
      <c r="P137" s="1233" t="inlineStr">
        <is>
          <t>Research block row 41. Value column is live and re-states on a scenario change.</t>
        </is>
      </c>
    </row>
    <row r="138" ht="46" customHeight="1" s="632">
      <c r="A138" s="1232" t="inlineStr">
        <is>
          <t>CP14</t>
        </is>
      </c>
      <c r="B138" s="1235" t="inlineStr">
        <is>
          <t>EBITDA per tonne</t>
        </is>
      </c>
      <c r="C138" s="1241">
        <f>IF(ISNUMBER('Control Panel'!J42),'Control Panel'!J42,'Control Panel'!C42)</f>
        <v/>
      </c>
      <c r="D138" s="1236" t="inlineStr">
        <is>
          <t>Rs/t</t>
        </is>
      </c>
      <c r="E138" s="1235" t="inlineStr">
        <is>
          <t>Cross-sheet reference (linked, not re-entered)</t>
        </is>
      </c>
      <c r="F138" s="1235" t="inlineStr">
        <is>
          <t>'='EBITDA Model'!D$101</t>
        </is>
      </c>
      <c r="G138" s="1235" t="inlineStr">
        <is>
          <t>13</t>
        </is>
      </c>
      <c r="H138" s="1235" t="inlineStr">
        <is>
          <t>26 Sources register; Master Industry Database source log (47 cited sources)</t>
        </is>
      </c>
      <c r="I138" s="1235" t="n"/>
      <c r="J138" s="1235" t="n"/>
      <c r="K138" s="1235" t="inlineStr">
        <is>
          <t>Reconciled by 25 Audit Checks</t>
        </is>
      </c>
      <c r="L138" s="1236" t="inlineStr">
        <is>
          <t>Medium</t>
        </is>
      </c>
      <c r="M138" s="1235" t="inlineStr">
        <is>
          <t>EBITDA Model</t>
        </is>
      </c>
      <c r="N138" s="1235" t="inlineStr">
        <is>
          <t>Quarterly</t>
        </is>
      </c>
      <c r="O138" s="1236" t="inlineStr">
        <is>
          <t>FY2026A</t>
        </is>
      </c>
      <c r="P138" s="1235" t="inlineStr">
        <is>
          <t>Research block row 42. Value column is live and re-states on a scenario change.</t>
        </is>
      </c>
    </row>
    <row r="139" ht="46" customHeight="1" s="632">
      <c r="A139" s="1232" t="inlineStr">
        <is>
          <t>CP15</t>
        </is>
      </c>
      <c r="B139" s="1233" t="inlineStr">
        <is>
          <t>Industry EBITDA margin</t>
        </is>
      </c>
      <c r="C139" s="1242">
        <f>IF(ISNUMBER('Control Panel'!J43),'Control Panel'!J43,'Control Panel'!C43)</f>
        <v/>
      </c>
      <c r="D139" s="1234" t="inlineStr">
        <is>
          <t>%</t>
        </is>
      </c>
      <c r="E139" s="1233" t="inlineStr">
        <is>
          <t>Cross-sheet reference (linked, not re-entered)</t>
        </is>
      </c>
      <c r="F139" s="1233" t="inlineStr">
        <is>
          <t>'='Margin Analysis'!D$91</t>
        </is>
      </c>
      <c r="G139" s="1233" t="inlineStr">
        <is>
          <t>14</t>
        </is>
      </c>
      <c r="H139" s="1233" t="inlineStr">
        <is>
          <t>26 Sources register; Master Industry Database source log (47 cited sources)</t>
        </is>
      </c>
      <c r="I139" s="1233" t="n"/>
      <c r="J139" s="1233" t="n"/>
      <c r="K139" s="1233" t="inlineStr">
        <is>
          <t>Reconciled by 25 Audit Checks</t>
        </is>
      </c>
      <c r="L139" s="1234" t="inlineStr">
        <is>
          <t>Medium</t>
        </is>
      </c>
      <c r="M139" s="1233" t="inlineStr">
        <is>
          <t>Margin Analysis</t>
        </is>
      </c>
      <c r="N139" s="1233" t="inlineStr">
        <is>
          <t>Quarterly</t>
        </is>
      </c>
      <c r="O139" s="1234" t="inlineStr">
        <is>
          <t>FY2026A</t>
        </is>
      </c>
      <c r="P139" s="1233" t="inlineStr">
        <is>
          <t>Research block row 43. Value column is live and re-states on a scenario change.</t>
        </is>
      </c>
    </row>
    <row r="140" ht="46" customHeight="1" s="632">
      <c r="A140" s="1232" t="inlineStr">
        <is>
          <t>CP16</t>
        </is>
      </c>
      <c r="B140" s="1235" t="inlineStr">
        <is>
          <t>Industry revenue</t>
        </is>
      </c>
      <c r="C140" s="1241">
        <f>IF(ISNUMBER('Control Panel'!J44),'Control Panel'!J44,'Control Panel'!C44)</f>
        <v/>
      </c>
      <c r="D140" s="1236" t="inlineStr">
        <is>
          <t>Rs cr</t>
        </is>
      </c>
      <c r="E140" s="1235" t="inlineStr">
        <is>
          <t>Cross-sheet reference (linked, not re-entered)</t>
        </is>
      </c>
      <c r="F140" s="1235" t="inlineStr">
        <is>
          <t>'='Revenue Forecast'!D$96</t>
        </is>
      </c>
      <c r="G140" s="1235" t="inlineStr">
        <is>
          <t>12</t>
        </is>
      </c>
      <c r="H140" s="1235" t="inlineStr">
        <is>
          <t>26 Sources register; Master Industry Database source log (47 cited sources)</t>
        </is>
      </c>
      <c r="I140" s="1235" t="n"/>
      <c r="J140" s="1235" t="n"/>
      <c r="K140" s="1235" t="inlineStr">
        <is>
          <t>Reconciled by 25 Audit Checks</t>
        </is>
      </c>
      <c r="L140" s="1236" t="inlineStr">
        <is>
          <t>Medium</t>
        </is>
      </c>
      <c r="M140" s="1235" t="inlineStr">
        <is>
          <t>Revenue Forecast</t>
        </is>
      </c>
      <c r="N140" s="1235" t="inlineStr">
        <is>
          <t>Quarterly</t>
        </is>
      </c>
      <c r="O140" s="1236" t="inlineStr">
        <is>
          <t>FY2026A</t>
        </is>
      </c>
      <c r="P140" s="1235" t="inlineStr">
        <is>
          <t>Research block row 44. Value column is live and re-states on a scenario change.</t>
        </is>
      </c>
    </row>
    <row r="141" ht="46" customHeight="1" s="632">
      <c r="A141" s="1232" t="inlineStr">
        <is>
          <t>CP17</t>
        </is>
      </c>
      <c r="B141" s="1233" t="inlineStr">
        <is>
          <t>Industry EBITDA</t>
        </is>
      </c>
      <c r="C141" s="1242">
        <f>IF(ISNUMBER('Control Panel'!J45),'Control Panel'!J45,'Control Panel'!C45)</f>
        <v/>
      </c>
      <c r="D141" s="1234" t="inlineStr">
        <is>
          <t>Rs cr</t>
        </is>
      </c>
      <c r="E141" s="1233" t="inlineStr">
        <is>
          <t>Cross-sheet reference (linked, not re-entered)</t>
        </is>
      </c>
      <c r="F141" s="1233" t="inlineStr">
        <is>
          <t>'='EBITDA Model'!D$103</t>
        </is>
      </c>
      <c r="G141" s="1233" t="inlineStr">
        <is>
          <t>13</t>
        </is>
      </c>
      <c r="H141" s="1233" t="inlineStr">
        <is>
          <t>26 Sources register; Master Industry Database source log (47 cited sources)</t>
        </is>
      </c>
      <c r="I141" s="1233" t="n"/>
      <c r="J141" s="1233" t="n"/>
      <c r="K141" s="1233" t="inlineStr">
        <is>
          <t>Reconciled by 25 Audit Checks</t>
        </is>
      </c>
      <c r="L141" s="1234" t="inlineStr">
        <is>
          <t>Medium</t>
        </is>
      </c>
      <c r="M141" s="1233" t="inlineStr">
        <is>
          <t>EBITDA Model</t>
        </is>
      </c>
      <c r="N141" s="1233" t="inlineStr">
        <is>
          <t>Quarterly</t>
        </is>
      </c>
      <c r="O141" s="1234" t="inlineStr">
        <is>
          <t>FY2026A</t>
        </is>
      </c>
      <c r="P141" s="1233" t="inlineStr">
        <is>
          <t>Research block row 45. Value column is live and re-states on a scenario change.</t>
        </is>
      </c>
    </row>
    <row r="142" ht="46" customHeight="1" s="632">
      <c r="A142" s="1232" t="inlineStr">
        <is>
          <t>CP18</t>
        </is>
      </c>
      <c r="B142" s="1235" t="inlineStr">
        <is>
          <t>Unlevered free cash flow</t>
        </is>
      </c>
      <c r="C142" s="1241">
        <f>IF(ISNUMBER('Control Panel'!J46),'Control Panel'!J46,'Control Panel'!C46)</f>
        <v/>
      </c>
      <c r="D142" s="1236" t="inlineStr">
        <is>
          <t>Rs cr</t>
        </is>
      </c>
      <c r="E142" s="1235" t="inlineStr">
        <is>
          <t>Cross-sheet reference (linked, not re-entered)</t>
        </is>
      </c>
      <c r="F142" s="1235" t="inlineStr">
        <is>
          <t>'='Cash Flow Model'!D$114</t>
        </is>
      </c>
      <c r="G142" s="1235" t="inlineStr">
        <is>
          <t>16</t>
        </is>
      </c>
      <c r="H142" s="1235" t="inlineStr">
        <is>
          <t>26 Sources register; Master Industry Database source log (47 cited sources)</t>
        </is>
      </c>
      <c r="I142" s="1235" t="n"/>
      <c r="J142" s="1235" t="n"/>
      <c r="K142" s="1235" t="inlineStr">
        <is>
          <t>Reconciled by 25 Audit Checks</t>
        </is>
      </c>
      <c r="L142" s="1236" t="inlineStr">
        <is>
          <t>Medium</t>
        </is>
      </c>
      <c r="M142" s="1235" t="inlineStr">
        <is>
          <t>Cash Flow Model</t>
        </is>
      </c>
      <c r="N142" s="1235" t="inlineStr">
        <is>
          <t>Quarterly</t>
        </is>
      </c>
      <c r="O142" s="1236" t="inlineStr">
        <is>
          <t>FY2026A</t>
        </is>
      </c>
      <c r="P142" s="1235" t="inlineStr">
        <is>
          <t>Research block row 46. Value column is live and re-states on a scenario change.</t>
        </is>
      </c>
    </row>
    <row r="145" ht="18" customHeight="1" s="632">
      <c r="A145" s="1229" t="inlineStr">
        <is>
          <t>Model Assumptions  -  26 documented items  (MA01 - MA26)</t>
        </is>
      </c>
      <c r="B145" s="1161" t="n"/>
      <c r="C145" s="1161" t="n"/>
      <c r="D145" s="1161" t="n"/>
      <c r="E145" s="1161" t="n"/>
      <c r="F145" s="1161" t="n"/>
      <c r="G145" s="1161" t="n"/>
      <c r="H145" s="1161" t="n"/>
      <c r="I145" s="1161" t="n"/>
      <c r="J145" s="1161" t="n"/>
      <c r="K145" s="1161" t="n"/>
      <c r="L145" s="1161" t="n"/>
      <c r="M145" s="1161" t="n"/>
      <c r="N145" s="1161" t="n"/>
      <c r="O145" s="1161" t="n"/>
      <c r="P145" s="1161" t="n"/>
    </row>
    <row r="146" ht="24" customHeight="1" s="632">
      <c r="A146" s="1230" t="inlineStr">
        <is>
          <t>THE SINGLE SOURCE OF TRUTH FOR THE WHOLE WORKBOOK. Twenty-six drivers, each with four scenario paths and a documented source. Nothing downstream re-keys any of these values; everything links here. The table below documents the FY2026A anchor of every driver.</t>
        </is>
      </c>
    </row>
    <row r="147" ht="30" customHeight="1" s="632">
      <c r="A147" s="1231" t="inlineStr">
        <is>
          <t>Code</t>
        </is>
      </c>
      <c r="B147" s="1231" t="inlineStr">
        <is>
          <t>Model Item</t>
        </is>
      </c>
      <c r="C147" s="1231" t="inlineStr">
        <is>
          <t>Value</t>
        </is>
      </c>
      <c r="D147" s="1231" t="inlineStr">
        <is>
          <t>Unit</t>
        </is>
      </c>
      <c r="E147" s="1231" t="inlineStr">
        <is>
          <t>Calculation Method</t>
        </is>
      </c>
      <c r="F147" s="1231" t="inlineStr">
        <is>
          <t>Formula Used</t>
        </is>
      </c>
      <c r="G147" s="1231" t="inlineStr">
        <is>
          <t>Primary Source</t>
        </is>
      </c>
      <c r="H147" s="1231" t="inlineStr">
        <is>
          <t>Secondary Source</t>
        </is>
      </c>
      <c r="I147" s="1231" t="inlineStr">
        <is>
          <t>Assumption</t>
        </is>
      </c>
      <c r="J147" s="1231" t="inlineStr">
        <is>
          <t>Reasoning</t>
        </is>
      </c>
      <c r="K147" s="1231" t="inlineStr">
        <is>
          <t>Cross-check</t>
        </is>
      </c>
      <c r="L147" s="1231" t="inlineStr">
        <is>
          <t>Confidence Level</t>
        </is>
      </c>
      <c r="M147" s="1231" t="inlineStr">
        <is>
          <t>Linked Sheet</t>
        </is>
      </c>
      <c r="N147" s="1231" t="inlineStr">
        <is>
          <t>Update Frequency</t>
        </is>
      </c>
      <c r="O147" s="1231" t="inlineStr">
        <is>
          <t>Last Available Date</t>
        </is>
      </c>
      <c r="P147" s="1231" t="inlineStr">
        <is>
          <t>Comments</t>
        </is>
      </c>
    </row>
    <row r="148" ht="46" customHeight="1" s="632">
      <c r="A148" s="1232" t="inlineStr">
        <is>
          <t>MA01</t>
        </is>
      </c>
      <c r="B148" s="1233" t="inlineStr">
        <is>
          <t>D01 India real GDP growth - FY2026A anchor</t>
        </is>
      </c>
      <c r="C148" s="1242">
        <f>'Model Assumptions'!D8</f>
        <v/>
      </c>
      <c r="D148" s="1234" t="inlineStr">
        <is>
          <t>%</t>
        </is>
      </c>
      <c r="E148" s="1233" t="inlineStr">
        <is>
          <t>Cross-sheet reference to the cell that asserts the actual</t>
        </is>
      </c>
      <c r="F148" s="1233" t="inlineStr">
        <is>
          <t>'='Macroeconomic Model'!$C$101</t>
        </is>
      </c>
      <c r="G148" s="1233" t="inlineStr">
        <is>
          <t>RBI-Jun26</t>
        </is>
      </c>
      <c r="H148" s="1233" t="inlineStr">
        <is>
          <t>02 Model Assumptions section C assumption register; Master Industry Database</t>
        </is>
      </c>
      <c r="I148" s="1233" t="inlineStr">
        <is>
          <t>RBI's own estimate of FY2026 real GDP growth, 7.6%, with Q4FY2026 actual 7.7%.</t>
        </is>
      </c>
      <c r="J148" s="1233" t="inlineStr">
        <is>
          <t>Populated by reference rather than re-keyed, so the FY2026A actual exists in exactly one place in the workbook.</t>
        </is>
      </c>
      <c r="K148" s="1233" t="inlineStr">
        <is>
          <t>Driver D01-D26 forecast columns resolve by ScenID; check A28 on 25 Audit Checks counts 182 resolved driver cells</t>
        </is>
      </c>
      <c r="L148" s="1234" t="inlineStr">
        <is>
          <t>High</t>
        </is>
      </c>
      <c r="M148" s="1233" t="inlineStr">
        <is>
          <t>Model Assumptions</t>
        </is>
      </c>
      <c r="N148" s="1233" t="inlineStr">
        <is>
          <t>Annually, when the base year rolls forward</t>
        </is>
      </c>
      <c r="O148" s="1234" t="inlineStr">
        <is>
          <t>FY2026A</t>
        </is>
      </c>
      <c r="P148" s="1233" t="inlineStr">
        <is>
          <t>ACTIVE DRIVERS row 8.</t>
        </is>
      </c>
    </row>
    <row r="149" ht="46" customHeight="1" s="632">
      <c r="A149" s="1232" t="inlineStr">
        <is>
          <t>MA02</t>
        </is>
      </c>
      <c r="B149" s="1235" t="inlineStr">
        <is>
          <t>D02 Steel demand elasticity to real GDP - FY2026A anchor</t>
        </is>
      </c>
      <c r="C149" s="1241">
        <f>'Model Assumptions'!D9</f>
        <v/>
      </c>
      <c r="D149" s="1236" t="inlineStr">
        <is>
          <t>x</t>
        </is>
      </c>
      <c r="E149" s="1235" t="inlineStr">
        <is>
          <t>Cross-sheet reference to the cell that asserts the actual</t>
        </is>
      </c>
      <c r="F149" s="1235" t="inlineStr">
        <is>
          <t>'='Steel Demand Model'!$C$114</t>
        </is>
      </c>
      <c r="G149" s="1235" t="inlineStr">
        <is>
          <t>Derived-DB</t>
        </is>
      </c>
      <c r="H149" s="1235" t="inlineStr">
        <is>
          <t>02 Model Assumptions section C assumption register; Master Industry Database</t>
        </is>
      </c>
      <c r="I149" s="1235" t="inlineStr">
        <is>
          <t>Realised FY2015-FY2026 elasticity of 1.10x - apparent consumption compounded at 7.13% against real GDP over the same window.</t>
        </is>
      </c>
      <c r="J149" s="1235" t="inlineStr">
        <is>
          <t>Populated by reference rather than re-keyed, so the FY2026A actual exists in exactly one place in the workbook.</t>
        </is>
      </c>
      <c r="K149" s="1235" t="inlineStr">
        <is>
          <t>Driver D01-D26 forecast columns resolve by ScenID; check A28 on 25 Audit Checks counts 182 resolved driver cells</t>
        </is>
      </c>
      <c r="L149" s="1236" t="inlineStr">
        <is>
          <t>High</t>
        </is>
      </c>
      <c r="M149" s="1235" t="inlineStr">
        <is>
          <t>Model Assumptions</t>
        </is>
      </c>
      <c r="N149" s="1235" t="inlineStr">
        <is>
          <t>Annually, when the base year rolls forward</t>
        </is>
      </c>
      <c r="O149" s="1236" t="inlineStr">
        <is>
          <t>FY2026A</t>
        </is>
      </c>
      <c r="P149" s="1235" t="inlineStr">
        <is>
          <t>ACTIVE DRIVERS row 9.</t>
        </is>
      </c>
    </row>
    <row r="150" ht="46" customHeight="1" s="632">
      <c r="A150" s="1232" t="inlineStr">
        <is>
          <t>MA03</t>
        </is>
      </c>
      <c r="B150" s="1233" t="inlineStr">
        <is>
          <t>D03 USD/INR average - FY2026A anchor</t>
        </is>
      </c>
      <c r="C150" s="1242">
        <f>'Model Assumptions'!D10</f>
        <v/>
      </c>
      <c r="D150" s="1234" t="inlineStr">
        <is>
          <t>Rs/US$</t>
        </is>
      </c>
      <c r="E150" s="1233" t="inlineStr">
        <is>
          <t>Cross-sheet reference to the cell that asserts the actual</t>
        </is>
      </c>
      <c r="F150" s="1233" t="inlineStr">
        <is>
          <t>'='Macroeconomic Model'!$C$106</t>
        </is>
      </c>
      <c r="G150" s="1233" t="inlineStr">
        <is>
          <t>IDBI-22Jun26</t>
        </is>
      </c>
      <c r="H150" s="1233" t="inlineStr">
        <is>
          <t>02 Model Assumptions section C assumption register; Master Industry Database</t>
        </is>
      </c>
      <c r="I150" s="1233" t="inlineStr">
        <is>
          <t>FY2026 average USD/INR of 88.4, derived from Tata Steel's dual-currency disclosure.</t>
        </is>
      </c>
      <c r="J150" s="1233" t="inlineStr">
        <is>
          <t>Populated by reference rather than re-keyed, so the FY2026A actual exists in exactly one place in the workbook.</t>
        </is>
      </c>
      <c r="K150" s="1233" t="inlineStr">
        <is>
          <t>Driver D01-D26 forecast columns resolve by ScenID; check A28 on 25 Audit Checks counts 182 resolved driver cells</t>
        </is>
      </c>
      <c r="L150" s="1234" t="inlineStr">
        <is>
          <t>High</t>
        </is>
      </c>
      <c r="M150" s="1233" t="inlineStr">
        <is>
          <t>Model Assumptions</t>
        </is>
      </c>
      <c r="N150" s="1233" t="inlineStr">
        <is>
          <t>Annually, when the base year rolls forward</t>
        </is>
      </c>
      <c r="O150" s="1234" t="inlineStr">
        <is>
          <t>FY2026A</t>
        </is>
      </c>
      <c r="P150" s="1233" t="inlineStr">
        <is>
          <t>ACTIVE DRIVERS row 10.</t>
        </is>
      </c>
    </row>
    <row r="151" ht="46" customHeight="1" s="632">
      <c r="A151" s="1232" t="inlineStr">
        <is>
          <t>MA04</t>
        </is>
      </c>
      <c r="B151" s="1235" t="inlineStr">
        <is>
          <t>D04 CPI inflation - FY2026A anchor</t>
        </is>
      </c>
      <c r="C151" s="1241">
        <f>'Model Assumptions'!D11</f>
        <v/>
      </c>
      <c r="D151" s="1236" t="inlineStr">
        <is>
          <t>%</t>
        </is>
      </c>
      <c r="E151" s="1235" t="inlineStr">
        <is>
          <t>Cross-sheet reference to the cell that asserts the actual</t>
        </is>
      </c>
      <c r="F151" s="1235" t="inlineStr">
        <is>
          <t>'='Macroeconomic Model'!$C$103</t>
        </is>
      </c>
      <c r="G151" s="1235" t="inlineStr">
        <is>
          <t>RBI-Jun26</t>
        </is>
      </c>
      <c r="H151" s="1235" t="inlineStr">
        <is>
          <t>02 Model Assumptions section C assumption register; Master Industry Database</t>
        </is>
      </c>
      <c r="I151" s="1235" t="inlineStr">
        <is>
          <t>CPI as carried on 03 Macroeconomic Model. Sourced from the RBI MPC statement of 05-Jun-2026.</t>
        </is>
      </c>
      <c r="J151" s="1235" t="inlineStr">
        <is>
          <t>Populated by reference rather than re-keyed, so the FY2026A actual exists in exactly one place in the workbook.</t>
        </is>
      </c>
      <c r="K151" s="1235" t="inlineStr">
        <is>
          <t>Driver D01-D26 forecast columns resolve by ScenID; check A28 on 25 Audit Checks counts 182 resolved driver cells</t>
        </is>
      </c>
      <c r="L151" s="1236" t="inlineStr">
        <is>
          <t>High</t>
        </is>
      </c>
      <c r="M151" s="1235" t="inlineStr">
        <is>
          <t>Model Assumptions</t>
        </is>
      </c>
      <c r="N151" s="1235" t="inlineStr">
        <is>
          <t>Annually, when the base year rolls forward</t>
        </is>
      </c>
      <c r="O151" s="1236" t="inlineStr">
        <is>
          <t>FY2026A</t>
        </is>
      </c>
      <c r="P151" s="1235" t="inlineStr">
        <is>
          <t>ACTIVE DRIVERS row 11.</t>
        </is>
      </c>
    </row>
    <row r="152" ht="46" customHeight="1" s="632">
      <c r="A152" s="1232" t="inlineStr">
        <is>
          <t>MA05</t>
        </is>
      </c>
      <c r="B152" s="1233" t="inlineStr">
        <is>
          <t>D05 Announced pipeline delivery factor - FY2026A anchor</t>
        </is>
      </c>
      <c r="C152" s="1242">
        <f>'Model Assumptions'!D12</f>
        <v/>
      </c>
      <c r="D152" s="1234" t="inlineStr">
        <is>
          <t>%</t>
        </is>
      </c>
      <c r="E152" s="1233" t="inlineStr">
        <is>
          <t>NOT POPULATED - orange fill</t>
        </is>
      </c>
      <c r="F152" s="1233" t="inlineStr">
        <is>
          <t>(blank by design)</t>
        </is>
      </c>
      <c r="G152" s="1233" t="inlineStr">
        <is>
          <t>Derived-DB</t>
        </is>
      </c>
      <c r="H152" s="1233" t="inlineStr">
        <is>
          <t>02 Model Assumptions section C assumption register; Master Industry Database</t>
        </is>
      </c>
      <c r="I152" s="1233" t="inlineStr">
        <is>
          <t>None asserted. The cell is deliberately blank.</t>
        </is>
      </c>
      <c r="J152" s="1233" t="n"/>
      <c r="K152" s="1233" t="inlineStr">
        <is>
          <t>Driver D01-D26 forecast columns resolve by ScenID; check A28 on 25 Audit Checks counts 182 resolved driver cells</t>
        </is>
      </c>
      <c r="L152" s="1234" t="inlineStr">
        <is>
          <t>n/a - not applicable to FY2026A</t>
        </is>
      </c>
      <c r="M152" s="1233" t="inlineStr">
        <is>
          <t>Model Assumptions</t>
        </is>
      </c>
      <c r="N152" s="1233" t="inlineStr">
        <is>
          <t>Annually, when the base year rolls forward</t>
        </is>
      </c>
      <c r="O152" s="1234" t="inlineStr">
        <is>
          <t>FY2026A</t>
        </is>
      </c>
      <c r="P152" s="1233" t="inlineStr">
        <is>
          <t>ACTIVE DRIVERS row 12.</t>
        </is>
      </c>
    </row>
    <row r="153" ht="46" customHeight="1" s="632">
      <c r="A153" s="1232" t="inlineStr">
        <is>
          <t>MA06</t>
        </is>
      </c>
      <c r="B153" s="1235" t="inlineStr">
        <is>
          <t>D06 Crude-to-finished steel ratio - FY2026A anchor</t>
        </is>
      </c>
      <c r="C153" s="1241">
        <f>'Model Assumptions'!D13</f>
        <v/>
      </c>
      <c r="D153" s="1236" t="inlineStr">
        <is>
          <t>x</t>
        </is>
      </c>
      <c r="E153" s="1235" t="inlineStr">
        <is>
          <t>Cross-sheet reference to the cell that asserts the actual</t>
        </is>
      </c>
      <c r="F153" s="1235" t="inlineStr">
        <is>
          <t>'='Steel Supply Model'!$C$93</t>
        </is>
      </c>
      <c r="G153" s="1235" t="inlineStr">
        <is>
          <t>Derived-DB</t>
        </is>
      </c>
      <c r="H153" s="1235" t="inlineStr">
        <is>
          <t>02 Model Assumptions section C assumption register; Master Industry Database</t>
        </is>
      </c>
      <c r="I153" s="1235" t="inlineStr">
        <is>
          <t>168.42 Mt crude divided by 160.94 Mt finished on the April-2026 Joint Plant Committee vintage.</t>
        </is>
      </c>
      <c r="J153" s="1235" t="inlineStr">
        <is>
          <t>Populated by reference rather than re-keyed, so the FY2026A actual exists in exactly one place in the workbook.</t>
        </is>
      </c>
      <c r="K153" s="1235" t="inlineStr">
        <is>
          <t>Driver D01-D26 forecast columns resolve by ScenID; check A28 on 25 Audit Checks counts 182 resolved driver cells</t>
        </is>
      </c>
      <c r="L153" s="1236" t="inlineStr">
        <is>
          <t>High</t>
        </is>
      </c>
      <c r="M153" s="1235" t="inlineStr">
        <is>
          <t>Model Assumptions</t>
        </is>
      </c>
      <c r="N153" s="1235" t="inlineStr">
        <is>
          <t>Annually, when the base year rolls forward</t>
        </is>
      </c>
      <c r="O153" s="1236" t="inlineStr">
        <is>
          <t>FY2026A</t>
        </is>
      </c>
      <c r="P153" s="1235" t="inlineStr">
        <is>
          <t>ACTIVE DRIVERS row 13.</t>
        </is>
      </c>
    </row>
    <row r="154" ht="46" customHeight="1" s="632">
      <c r="A154" s="1232" t="inlineStr">
        <is>
          <t>MA07</t>
        </is>
      </c>
      <c r="B154" s="1233" t="inlineStr">
        <is>
          <t>D07 Net finished steel exports - FY2026A anchor</t>
        </is>
      </c>
      <c r="C154" s="1242">
        <f>'Model Assumptions'!D14</f>
        <v/>
      </c>
      <c r="D154" s="1234" t="inlineStr">
        <is>
          <t>Mt</t>
        </is>
      </c>
      <c r="E154" s="1233" t="inlineStr">
        <is>
          <t>Cross-sheet reference to the cell that asserts the actual</t>
        </is>
      </c>
      <c r="F154" s="1233" t="inlineStr">
        <is>
          <t>'='Steel Supply Model'!$C$90</t>
        </is>
      </c>
      <c r="G154" s="1233" t="inlineStr">
        <is>
          <t>Derived-DB</t>
        </is>
      </c>
      <c r="H154" s="1233" t="inlineStr">
        <is>
          <t>02 Model Assumptions section C assumption register; Master Industry Database</t>
        </is>
      </c>
      <c r="I154" s="1233" t="inlineStr">
        <is>
          <t>FY2026 actual net exports of +0.078 Mt: exports 6.602 Mt less imports 6.524 Mt.</t>
        </is>
      </c>
      <c r="J154" s="1233" t="inlineStr">
        <is>
          <t>Populated by reference rather than re-keyed, so the FY2026A actual exists in exactly one place in the workbook.</t>
        </is>
      </c>
      <c r="K154" s="1233" t="inlineStr">
        <is>
          <t>Driver D01-D26 forecast columns resolve by ScenID; check A28 on 25 Audit Checks counts 182 resolved driver cells</t>
        </is>
      </c>
      <c r="L154" s="1234" t="inlineStr">
        <is>
          <t>Medium</t>
        </is>
      </c>
      <c r="M154" s="1233" t="inlineStr">
        <is>
          <t>Model Assumptions</t>
        </is>
      </c>
      <c r="N154" s="1233" t="inlineStr">
        <is>
          <t>Annually, when the base year rolls forward</t>
        </is>
      </c>
      <c r="O154" s="1234" t="inlineStr">
        <is>
          <t>FY2026A</t>
        </is>
      </c>
      <c r="P154" s="1233" t="inlineStr">
        <is>
          <t>ACTIVE DRIVERS row 14.</t>
        </is>
      </c>
    </row>
    <row r="155" ht="46" customHeight="1" s="632">
      <c r="A155" s="1232" t="inlineStr">
        <is>
          <t>MA08</t>
        </is>
      </c>
      <c r="B155" s="1235" t="inlineStr">
        <is>
          <t>D08 Variation in stock - FY2026A anchor</t>
        </is>
      </c>
      <c r="C155" s="1241">
        <f>'Model Assumptions'!D15</f>
        <v/>
      </c>
      <c r="D155" s="1236" t="inlineStr">
        <is>
          <t>Mt</t>
        </is>
      </c>
      <c r="E155" s="1235" t="inlineStr">
        <is>
          <t>Cross-sheet reference to the cell that asserts the actual</t>
        </is>
      </c>
      <c r="F155" s="1235" t="inlineStr">
        <is>
          <t>'='Steel Supply Model'!$C$91</t>
        </is>
      </c>
      <c r="G155" s="1235" t="inlineStr">
        <is>
          <t>Derived-DB</t>
        </is>
      </c>
      <c r="H155" s="1235" t="inlineStr">
        <is>
          <t>02 Model Assumptions section C assumption register; Master Industry Database</t>
        </is>
      </c>
      <c r="I155" s="1235" t="inlineStr">
        <is>
          <t>FY2026 actual variation in stock of -2.88 Mt, a destock of about 1.8% of consumption.</t>
        </is>
      </c>
      <c r="J155" s="1235" t="inlineStr">
        <is>
          <t>Populated by reference rather than re-keyed, so the FY2026A actual exists in exactly one place in the workbook.</t>
        </is>
      </c>
      <c r="K155" s="1235" t="inlineStr">
        <is>
          <t>Driver D01-D26 forecast columns resolve by ScenID; check A28 on 25 Audit Checks counts 182 resolved driver cells</t>
        </is>
      </c>
      <c r="L155" s="1236" t="inlineStr">
        <is>
          <t>Medium</t>
        </is>
      </c>
      <c r="M155" s="1235" t="inlineStr">
        <is>
          <t>Model Assumptions</t>
        </is>
      </c>
      <c r="N155" s="1235" t="inlineStr">
        <is>
          <t>Annually, when the base year rolls forward</t>
        </is>
      </c>
      <c r="O155" s="1236" t="inlineStr">
        <is>
          <t>FY2026A</t>
        </is>
      </c>
      <c r="P155" s="1235" t="inlineStr">
        <is>
          <t>ACTIVE DRIVERS row 15.</t>
        </is>
      </c>
    </row>
    <row r="156" ht="46" customHeight="1" s="632">
      <c r="A156" s="1232" t="inlineStr">
        <is>
          <t>MA09</t>
        </is>
      </c>
      <c r="B156" s="1233" t="inlineStr">
        <is>
          <t>D09 Blended industry realisation - FY2026A anchor</t>
        </is>
      </c>
      <c r="C156" s="1242">
        <f>'Model Assumptions'!D16</f>
        <v/>
      </c>
      <c r="D156" s="1234" t="inlineStr">
        <is>
          <t>Rs/t</t>
        </is>
      </c>
      <c r="E156" s="1233" t="inlineStr">
        <is>
          <t>Cross-sheet reference to the cell that asserts the actual</t>
        </is>
      </c>
      <c r="F156" s="1233" t="inlineStr">
        <is>
          <t>'='Steel Price Forecast'!$C$97</t>
        </is>
      </c>
      <c r="G156" s="1233" t="inlineStr">
        <is>
          <t>Derived-DB</t>
        </is>
      </c>
      <c r="H156" s="1233" t="inlineStr">
        <is>
          <t>02 Model Assumptions section C assumption register; Master Industry Database</t>
        </is>
      </c>
      <c r="I156" s="1233" t="inlineStr">
        <is>
          <t>Rs 59,974/t derived as the volume-weighted realisation of the four majors that disclose both realisation and EBITDA per tonne.</t>
        </is>
      </c>
      <c r="J156" s="1233" t="inlineStr">
        <is>
          <t>Populated by reference rather than re-keyed, so the FY2026A actual exists in exactly one place in the workbook.</t>
        </is>
      </c>
      <c r="K156" s="1233" t="inlineStr">
        <is>
          <t>Driver D01-D26 forecast columns resolve by ScenID; check A28 on 25 Audit Checks counts 182 resolved driver cells</t>
        </is>
      </c>
      <c r="L156" s="1234" t="inlineStr">
        <is>
          <t>Medium</t>
        </is>
      </c>
      <c r="M156" s="1233" t="inlineStr">
        <is>
          <t>Model Assumptions</t>
        </is>
      </c>
      <c r="N156" s="1233" t="inlineStr">
        <is>
          <t>Annually, when the base year rolls forward</t>
        </is>
      </c>
      <c r="O156" s="1234" t="inlineStr">
        <is>
          <t>FY2026A</t>
        </is>
      </c>
      <c r="P156" s="1233" t="inlineStr">
        <is>
          <t>ACTIVE DRIVERS row 16.</t>
        </is>
      </c>
    </row>
    <row r="157" ht="46" customHeight="1" s="632">
      <c r="A157" s="1232" t="inlineStr">
        <is>
          <t>MA10</t>
        </is>
      </c>
      <c r="B157" s="1235" t="inlineStr">
        <is>
          <t>D10 Iron ore 62% Fe CFR China - FY2026A anchor</t>
        </is>
      </c>
      <c r="C157" s="1241">
        <f>'Model Assumptions'!D17</f>
        <v/>
      </c>
      <c r="D157" s="1236" t="inlineStr">
        <is>
          <t>US$/dmt</t>
        </is>
      </c>
      <c r="E157" s="1235" t="inlineStr">
        <is>
          <t>Cross-sheet reference to the cell that asserts the actual</t>
        </is>
      </c>
      <c r="F157" s="1235" t="inlineStr">
        <is>
          <t>'='Raw Material Forecast'!$C$85</t>
        </is>
      </c>
      <c r="G157" s="1235" t="inlineStr">
        <is>
          <t>S17</t>
        </is>
      </c>
      <c r="H157" s="1235" t="inlineStr">
        <is>
          <t>02 Model Assumptions section C assumption register; Master Industry Database</t>
        </is>
      </c>
      <c r="I157" s="1235" t="inlineStr">
        <is>
          <t>FY2026 average of US$100.52/dmt, the arithmetic mean of twelve World Bank monthly prints.</t>
        </is>
      </c>
      <c r="J157" s="1235" t="inlineStr">
        <is>
          <t>Populated by reference rather than re-keyed, so the FY2026A actual exists in exactly one place in the workbook.</t>
        </is>
      </c>
      <c r="K157" s="1235" t="inlineStr">
        <is>
          <t>Driver D01-D26 forecast columns resolve by ScenID; check A28 on 25 Audit Checks counts 182 resolved driver cells</t>
        </is>
      </c>
      <c r="L157" s="1236" t="inlineStr">
        <is>
          <t>High</t>
        </is>
      </c>
      <c r="M157" s="1235" t="inlineStr">
        <is>
          <t>Model Assumptions</t>
        </is>
      </c>
      <c r="N157" s="1235" t="inlineStr">
        <is>
          <t>Annually, when the base year rolls forward</t>
        </is>
      </c>
      <c r="O157" s="1236" t="inlineStr">
        <is>
          <t>FY2026A</t>
        </is>
      </c>
      <c r="P157" s="1235" t="inlineStr">
        <is>
          <t>ACTIVE DRIVERS row 17.</t>
        </is>
      </c>
    </row>
    <row r="158" ht="46" customHeight="1" s="632">
      <c r="A158" s="1232" t="inlineStr">
        <is>
          <t>MA11</t>
        </is>
      </c>
      <c r="B158" s="1233" t="inlineStr">
        <is>
          <t>D11 Premium HCC coking coal FOB Australia - FY2026A anchor</t>
        </is>
      </c>
      <c r="C158" s="1242">
        <f>'Model Assumptions'!D18</f>
        <v/>
      </c>
      <c r="D158" s="1234" t="inlineStr">
        <is>
          <t>US$/t</t>
        </is>
      </c>
      <c r="E158" s="1233" t="inlineStr">
        <is>
          <t>Cross-sheet reference to the cell that asserts the actual</t>
        </is>
      </c>
      <c r="F158" s="1233" t="inlineStr">
        <is>
          <t>'='Raw Material Forecast'!$C$86</t>
        </is>
      </c>
      <c r="G158" s="1233" t="inlineStr">
        <is>
          <t>S01</t>
        </is>
      </c>
      <c r="H158" s="1233" t="inlineStr">
        <is>
          <t>02 Model Assumptions section C assumption register; Master Industry Database</t>
        </is>
      </c>
      <c r="I158" s="1233" t="inlineStr">
        <is>
          <t>US$225/t, the Ministry of Steel's March-2026 assessment. No fiscal-year average is asserted (Conflict C01 in the Master Industry Database).</t>
        </is>
      </c>
      <c r="J158" s="1233" t="inlineStr">
        <is>
          <t>Populated by reference rather than re-keyed, so the FY2026A actual exists in exactly one place in the workbook.</t>
        </is>
      </c>
      <c r="K158" s="1233" t="inlineStr">
        <is>
          <t>Driver D01-D26 forecast columns resolve by ScenID; check A28 on 25 Audit Checks counts 182 resolved driver cells</t>
        </is>
      </c>
      <c r="L158" s="1234" t="inlineStr">
        <is>
          <t>Medium</t>
        </is>
      </c>
      <c r="M158" s="1233" t="inlineStr">
        <is>
          <t>Model Assumptions</t>
        </is>
      </c>
      <c r="N158" s="1233" t="inlineStr">
        <is>
          <t>Annually, when the base year rolls forward</t>
        </is>
      </c>
      <c r="O158" s="1234" t="inlineStr">
        <is>
          <t>FY2026A</t>
        </is>
      </c>
      <c r="P158" s="1233" t="inlineStr">
        <is>
          <t>ACTIVE DRIVERS row 18.</t>
        </is>
      </c>
    </row>
    <row r="159" ht="46" customHeight="1" s="632">
      <c r="A159" s="1232" t="inlineStr">
        <is>
          <t>MA12</t>
        </is>
      </c>
      <c r="B159" s="1235" t="inlineStr">
        <is>
          <t>D12 Conversion cost inflation - FY2026A anchor</t>
        </is>
      </c>
      <c r="C159" s="1241">
        <f>'Model Assumptions'!D19</f>
        <v/>
      </c>
      <c r="D159" s="1236" t="inlineStr">
        <is>
          <t>%</t>
        </is>
      </c>
      <c r="E159" s="1235" t="inlineStr">
        <is>
          <t>NOT POPULATED - orange fill</t>
        </is>
      </c>
      <c r="F159" s="1235" t="inlineStr">
        <is>
          <t>(blank by design)</t>
        </is>
      </c>
      <c r="G159" s="1235" t="inlineStr">
        <is>
          <t>RBI-Jun26</t>
        </is>
      </c>
      <c r="H159" s="1235" t="inlineStr">
        <is>
          <t>02 Model Assumptions section C assumption register; Master Industry Database</t>
        </is>
      </c>
      <c r="I159" s="1235" t="inlineStr">
        <is>
          <t>None asserted. The cell is deliberately blank.</t>
        </is>
      </c>
      <c r="J159" s="1235" t="n"/>
      <c r="K159" s="1235" t="inlineStr">
        <is>
          <t>Driver D01-D26 forecast columns resolve by ScenID; check A28 on 25 Audit Checks counts 182 resolved driver cells</t>
        </is>
      </c>
      <c r="L159" s="1236" t="inlineStr">
        <is>
          <t>n/a - not applicable to FY2026A</t>
        </is>
      </c>
      <c r="M159" s="1235" t="inlineStr">
        <is>
          <t>Model Assumptions</t>
        </is>
      </c>
      <c r="N159" s="1235" t="inlineStr">
        <is>
          <t>Annually, when the base year rolls forward</t>
        </is>
      </c>
      <c r="O159" s="1236" t="inlineStr">
        <is>
          <t>FY2026A</t>
        </is>
      </c>
      <c r="P159" s="1235" t="inlineStr">
        <is>
          <t>ACTIVE DRIVERS row 19.</t>
        </is>
      </c>
    </row>
    <row r="160" ht="46" customHeight="1" s="632">
      <c r="A160" s="1232" t="inlineStr">
        <is>
          <t>MA13</t>
        </is>
      </c>
      <c r="B160" s="1233" t="inlineStr">
        <is>
          <t>D13 Raw material share of cash cost - FY2026A anchor</t>
        </is>
      </c>
      <c r="C160" s="1242">
        <f>'Model Assumptions'!D20</f>
        <v/>
      </c>
      <c r="D160" s="1234" t="inlineStr">
        <is>
          <t>%</t>
        </is>
      </c>
      <c r="E160" s="1233" t="inlineStr">
        <is>
          <t>Manual input - structural parameter held constant across years and scenarios</t>
        </is>
      </c>
      <c r="F160" s="1233" t="inlineStr">
        <is>
          <t>(constant) 0.6</t>
        </is>
      </c>
      <c r="G160" s="1233" t="inlineStr">
        <is>
          <t>Indicative</t>
        </is>
      </c>
      <c r="H160" s="1233" t="inlineStr">
        <is>
          <t>02 Model Assumptions section C assumption register; Master Industry Database</t>
        </is>
      </c>
      <c r="I160" s="1233" t="inlineStr">
        <is>
          <t>INDICATIVE STRUCTURAL PARAMETER, held constant across all four scenarios and all years precisely so that an unsourced input is never flexed to manufacture a scenario. It therefore applies to FY2026A unchanged. Quantified on 22 Sensitivity Analysis section E.</t>
        </is>
      </c>
      <c r="J160" s="1233" t="inlineStr">
        <is>
          <t>Populated by reference rather than re-keyed, so the FY2026A actual exists in exactly one place in the workbook.</t>
        </is>
      </c>
      <c r="K160" s="1233" t="inlineStr">
        <is>
          <t>Driver D01-D26 forecast columns resolve by ScenID; check A28 on 25 Audit Checks counts 182 resolved driver cells</t>
        </is>
      </c>
      <c r="L160" s="1234" t="inlineStr">
        <is>
          <t>Low</t>
        </is>
      </c>
      <c r="M160" s="1233" t="inlineStr">
        <is>
          <t>Model Assumptions</t>
        </is>
      </c>
      <c r="N160" s="1233" t="inlineStr">
        <is>
          <t>Annually, when the base year rolls forward</t>
        </is>
      </c>
      <c r="O160" s="1234" t="inlineStr">
        <is>
          <t>FY2026A</t>
        </is>
      </c>
      <c r="P160" s="1233" t="inlineStr">
        <is>
          <t>ACTIVE DRIVERS row 20.</t>
        </is>
      </c>
    </row>
    <row r="161" ht="46" customHeight="1" s="632">
      <c r="A161" s="1232" t="inlineStr">
        <is>
          <t>MA14</t>
        </is>
      </c>
      <c r="B161" s="1235" t="inlineStr">
        <is>
          <t>D14 Iron ore weight in the raw material basket - FY2026A anchor</t>
        </is>
      </c>
      <c r="C161" s="1241">
        <f>'Model Assumptions'!D21</f>
        <v/>
      </c>
      <c r="D161" s="1236" t="inlineStr">
        <is>
          <t>%</t>
        </is>
      </c>
      <c r="E161" s="1235" t="inlineStr">
        <is>
          <t>Manual input - structural parameter held constant across years and scenarios</t>
        </is>
      </c>
      <c r="F161" s="1235" t="inlineStr">
        <is>
          <t>(constant) 0.45</t>
        </is>
      </c>
      <c r="G161" s="1235" t="inlineStr">
        <is>
          <t>Indicative</t>
        </is>
      </c>
      <c r="H161" s="1235" t="inlineStr">
        <is>
          <t>02 Model Assumptions section C assumption register; Master Industry Database</t>
        </is>
      </c>
      <c r="I161" s="1235" t="inlineStr">
        <is>
          <t>INDICATIVE. Iron ore 45%, coking coal 45%, other ferrous and fluxes 10%. Held constant, so it applies to FY2026A unchanged.</t>
        </is>
      </c>
      <c r="J161" s="1235" t="inlineStr">
        <is>
          <t>Populated by reference rather than re-keyed, so the FY2026A actual exists in exactly one place in the workbook.</t>
        </is>
      </c>
      <c r="K161" s="1235" t="inlineStr">
        <is>
          <t>Driver D01-D26 forecast columns resolve by ScenID; check A28 on 25 Audit Checks counts 182 resolved driver cells</t>
        </is>
      </c>
      <c r="L161" s="1236" t="inlineStr">
        <is>
          <t>Low</t>
        </is>
      </c>
      <c r="M161" s="1235" t="inlineStr">
        <is>
          <t>Model Assumptions</t>
        </is>
      </c>
      <c r="N161" s="1235" t="inlineStr">
        <is>
          <t>Annually, when the base year rolls forward</t>
        </is>
      </c>
      <c r="O161" s="1236" t="inlineStr">
        <is>
          <t>FY2026A</t>
        </is>
      </c>
      <c r="P161" s="1235" t="inlineStr">
        <is>
          <t>ACTIVE DRIVERS row 21.</t>
        </is>
      </c>
    </row>
    <row r="162" ht="46" customHeight="1" s="632">
      <c r="A162" s="1232" t="inlineStr">
        <is>
          <t>MA15</t>
        </is>
      </c>
      <c r="B162" s="1233" t="inlineStr">
        <is>
          <t>D15 Effective tax rate - FY2026A anchor</t>
        </is>
      </c>
      <c r="C162" s="1242">
        <f>'Model Assumptions'!D22</f>
        <v/>
      </c>
      <c r="D162" s="1234" t="inlineStr">
        <is>
          <t>%</t>
        </is>
      </c>
      <c r="E162" s="1233" t="inlineStr">
        <is>
          <t>Manual input - structural parameter held constant across years and scenarios</t>
        </is>
      </c>
      <c r="F162" s="1233" t="inlineStr">
        <is>
          <t>(constant) 0.2517</t>
        </is>
      </c>
      <c r="G162" s="1233" t="inlineStr">
        <is>
          <t>Statutory</t>
        </is>
      </c>
      <c r="H162" s="1233" t="inlineStr">
        <is>
          <t>02 Model Assumptions section C assumption register; Master Industry Database</t>
        </is>
      </c>
      <c r="I162" s="1233" t="inlineStr">
        <is>
          <t>Indian statutory corporate rate under section 115BAA - 22% plus surcharge and cess - which was in force in FY2026 and is held across the horizon.</t>
        </is>
      </c>
      <c r="J162" s="1233" t="inlineStr">
        <is>
          <t>Populated by reference rather than re-keyed, so the FY2026A actual exists in exactly one place in the workbook.</t>
        </is>
      </c>
      <c r="K162" s="1233" t="inlineStr">
        <is>
          <t>Driver D01-D26 forecast columns resolve by ScenID; check A28 on 25 Audit Checks counts 182 resolved driver cells</t>
        </is>
      </c>
      <c r="L162" s="1234" t="inlineStr">
        <is>
          <t>Medium</t>
        </is>
      </c>
      <c r="M162" s="1233" t="inlineStr">
        <is>
          <t>Model Assumptions</t>
        </is>
      </c>
      <c r="N162" s="1233" t="inlineStr">
        <is>
          <t>Annually, when the base year rolls forward</t>
        </is>
      </c>
      <c r="O162" s="1234" t="inlineStr">
        <is>
          <t>FY2026A</t>
        </is>
      </c>
      <c r="P162" s="1233" t="inlineStr">
        <is>
          <t>ACTIVE DRIVERS row 22.</t>
        </is>
      </c>
    </row>
    <row r="163" ht="46" customHeight="1" s="632">
      <c r="A163" s="1232" t="inlineStr">
        <is>
          <t>MA16</t>
        </is>
      </c>
      <c r="B163" s="1235" t="inlineStr">
        <is>
          <t>D16 Capex intensity - FY2026A anchor</t>
        </is>
      </c>
      <c r="C163" s="1241">
        <f>'Model Assumptions'!D23</f>
        <v/>
      </c>
      <c r="D163" s="1236" t="inlineStr">
        <is>
          <t>Rs/t of capacity added</t>
        </is>
      </c>
      <c r="E163" s="1235" t="inlineStr">
        <is>
          <t>Manual input - structural parameter held constant across years and scenarios</t>
        </is>
      </c>
      <c r="F163" s="1235" t="inlineStr">
        <is>
          <t>(constant) 55000</t>
        </is>
      </c>
      <c r="G163" s="1235" t="inlineStr">
        <is>
          <t>Derived-DB</t>
        </is>
      </c>
      <c r="H163" s="1235" t="inlineStr">
        <is>
          <t>02 Model Assumptions section C assumption register; Master Industry Database</t>
        </is>
      </c>
      <c r="I163" s="1235" t="inlineStr">
        <is>
          <t>Greenfield and large brownfield Indian crude steel capacity. Cross-checked against JSW JVML at Rs 52,000/t for 5 Mtpa and Tata NINL. Held constant, so it applies to FY2026A unchanged.</t>
        </is>
      </c>
      <c r="J163" s="1235" t="inlineStr">
        <is>
          <t>Populated by reference rather than re-keyed, so the FY2026A actual exists in exactly one place in the workbook.</t>
        </is>
      </c>
      <c r="K163" s="1235" t="inlineStr">
        <is>
          <t>Driver D01-D26 forecast columns resolve by ScenID; check A28 on 25 Audit Checks counts 182 resolved driver cells</t>
        </is>
      </c>
      <c r="L163" s="1236" t="inlineStr">
        <is>
          <t>Medium</t>
        </is>
      </c>
      <c r="M163" s="1235" t="inlineStr">
        <is>
          <t>Model Assumptions</t>
        </is>
      </c>
      <c r="N163" s="1235" t="inlineStr">
        <is>
          <t>Annually, when the base year rolls forward</t>
        </is>
      </c>
      <c r="O163" s="1236" t="inlineStr">
        <is>
          <t>FY2026A</t>
        </is>
      </c>
      <c r="P163" s="1235" t="inlineStr">
        <is>
          <t>ACTIVE DRIVERS row 23.</t>
        </is>
      </c>
    </row>
    <row r="164" ht="46" customHeight="1" s="632">
      <c r="A164" s="1232" t="inlineStr">
        <is>
          <t>MA17</t>
        </is>
      </c>
      <c r="B164" s="1233" t="inlineStr">
        <is>
          <t>D17 Maintenance capex - FY2026A anchor</t>
        </is>
      </c>
      <c r="C164" s="1242">
        <f>'Model Assumptions'!D24</f>
        <v/>
      </c>
      <c r="D164" s="1234" t="inlineStr">
        <is>
          <t>% of revenue</t>
        </is>
      </c>
      <c r="E164" s="1233" t="inlineStr">
        <is>
          <t>Manual input - structural parameter held constant across years and scenarios</t>
        </is>
      </c>
      <c r="F164" s="1233" t="inlineStr">
        <is>
          <t>(constant) 0.03</t>
        </is>
      </c>
      <c r="G164" s="1233" t="inlineStr">
        <is>
          <t>Indicative</t>
        </is>
      </c>
      <c r="H164" s="1233" t="inlineStr">
        <is>
          <t>02 Model Assumptions section C assumption register; Master Industry Database</t>
        </is>
      </c>
      <c r="I164" s="1233" t="inlineStr">
        <is>
          <t>INDICATIVE sustaining capex excluding growth. Held constant across scenarios and years.</t>
        </is>
      </c>
      <c r="J164" s="1233" t="inlineStr">
        <is>
          <t>Populated by reference rather than re-keyed, so the FY2026A actual exists in exactly one place in the workbook.</t>
        </is>
      </c>
      <c r="K164" s="1233" t="inlineStr">
        <is>
          <t>Driver D01-D26 forecast columns resolve by ScenID; check A28 on 25 Audit Checks counts 182 resolved driver cells</t>
        </is>
      </c>
      <c r="L164" s="1234" t="inlineStr">
        <is>
          <t>Low</t>
        </is>
      </c>
      <c r="M164" s="1233" t="inlineStr">
        <is>
          <t>Model Assumptions</t>
        </is>
      </c>
      <c r="N164" s="1233" t="inlineStr">
        <is>
          <t>Annually, when the base year rolls forward</t>
        </is>
      </c>
      <c r="O164" s="1234" t="inlineStr">
        <is>
          <t>FY2026A</t>
        </is>
      </c>
      <c r="P164" s="1233" t="inlineStr">
        <is>
          <t>ACTIVE DRIVERS row 24.</t>
        </is>
      </c>
    </row>
    <row r="165" ht="46" customHeight="1" s="632">
      <c r="A165" s="1232" t="inlineStr">
        <is>
          <t>MA18</t>
        </is>
      </c>
      <c r="B165" s="1235" t="inlineStr">
        <is>
          <t>D18 Net working capital - FY2026A anchor</t>
        </is>
      </c>
      <c r="C165" s="1241">
        <f>'Model Assumptions'!D25</f>
        <v/>
      </c>
      <c r="D165" s="1236" t="inlineStr">
        <is>
          <t>days of revenue</t>
        </is>
      </c>
      <c r="E165" s="1235" t="inlineStr">
        <is>
          <t>Manual input - structural parameter held constant across years and scenarios</t>
        </is>
      </c>
      <c r="F165" s="1235" t="inlineStr">
        <is>
          <t>(constant) 45</t>
        </is>
      </c>
      <c r="G165" s="1235" t="inlineStr">
        <is>
          <t>Not sourced</t>
        </is>
      </c>
      <c r="H165" s="1235" t="inlineStr">
        <is>
          <t>02 Model Assumptions section C assumption register; Master Industry Database</t>
        </is>
      </c>
      <c r="I165" s="1235" t="inlineStr">
        <is>
          <t>NOT SOURCED. A sector convention for an integrated Indian producer. The live model already uses 45 days as the FY2026A anchor on 15 Working Capital Model, so this restates the model's own base.</t>
        </is>
      </c>
      <c r="J165" s="1235" t="inlineStr">
        <is>
          <t>Populated by reference rather than re-keyed, so the FY2026A actual exists in exactly one place in the workbook.</t>
        </is>
      </c>
      <c r="K165" s="1235" t="inlineStr">
        <is>
          <t>Driver D01-D26 forecast columns resolve by ScenID; check A28 on 25 Audit Checks counts 182 resolved driver cells</t>
        </is>
      </c>
      <c r="L165" s="1236" t="inlineStr">
        <is>
          <t>Low</t>
        </is>
      </c>
      <c r="M165" s="1235" t="inlineStr">
        <is>
          <t>Model Assumptions</t>
        </is>
      </c>
      <c r="N165" s="1235" t="inlineStr">
        <is>
          <t>Annually, when the base year rolls forward</t>
        </is>
      </c>
      <c r="O165" s="1236" t="inlineStr">
        <is>
          <t>FY2026A</t>
        </is>
      </c>
      <c r="P165" s="1235" t="inlineStr">
        <is>
          <t>ACTIVE DRIVERS row 25.</t>
        </is>
      </c>
    </row>
    <row r="166" ht="46" customHeight="1" s="632">
      <c r="A166" s="1232" t="inlineStr">
        <is>
          <t>MA19</t>
        </is>
      </c>
      <c r="B166" s="1233" t="inlineStr">
        <is>
          <t>D19 Exit EV/EBITDA multiple - FY2026A anchor</t>
        </is>
      </c>
      <c r="C166" s="1242">
        <f>'Model Assumptions'!D26</f>
        <v/>
      </c>
      <c r="D166" s="1234" t="inlineStr">
        <is>
          <t>x</t>
        </is>
      </c>
      <c r="E166" s="1233" t="inlineStr">
        <is>
          <t>NOT POPULATED - orange fill</t>
        </is>
      </c>
      <c r="F166" s="1233" t="inlineStr">
        <is>
          <t>(blank by design)</t>
        </is>
      </c>
      <c r="G166" s="1233" t="inlineStr">
        <is>
          <t>Not sourced</t>
        </is>
      </c>
      <c r="H166" s="1233" t="inlineStr">
        <is>
          <t>02 Model Assumptions section C assumption register; Master Industry Database</t>
        </is>
      </c>
      <c r="I166" s="1233" t="inlineStr">
        <is>
          <t>None asserted. The cell is deliberately blank.</t>
        </is>
      </c>
      <c r="J166" s="1233" t="n"/>
      <c r="K166" s="1233" t="inlineStr">
        <is>
          <t>Driver D01-D26 forecast columns resolve by ScenID; check A28 on 25 Audit Checks counts 182 resolved driver cells</t>
        </is>
      </c>
      <c r="L166" s="1234" t="inlineStr">
        <is>
          <t>n/a - not applicable to FY2026A</t>
        </is>
      </c>
      <c r="M166" s="1233" t="inlineStr">
        <is>
          <t>Model Assumptions</t>
        </is>
      </c>
      <c r="N166" s="1233" t="inlineStr">
        <is>
          <t>Annually, when the base year rolls forward</t>
        </is>
      </c>
      <c r="O166" s="1234" t="inlineStr">
        <is>
          <t>FY2026A</t>
        </is>
      </c>
      <c r="P166" s="1233" t="inlineStr">
        <is>
          <t>ACTIVE DRIVERS row 26.</t>
        </is>
      </c>
    </row>
    <row r="167" ht="46" customHeight="1" s="632">
      <c r="A167" s="1232" t="inlineStr">
        <is>
          <t>MA20</t>
        </is>
      </c>
      <c r="B167" s="1235" t="inlineStr">
        <is>
          <t>D20 WACC (nominal, INR) - FY2026A anchor</t>
        </is>
      </c>
      <c r="C167" s="1241">
        <f>'Model Assumptions'!D27</f>
        <v/>
      </c>
      <c r="D167" s="1236" t="inlineStr">
        <is>
          <t>%</t>
        </is>
      </c>
      <c r="E167" s="1235" t="inlineStr">
        <is>
          <t>Cross-sheet reference to the cell that asserts the actual</t>
        </is>
      </c>
      <c r="F167" s="1235" t="inlineStr">
        <is>
          <t>'=$D$168</t>
        </is>
      </c>
      <c r="G167" s="1235" t="inlineStr">
        <is>
          <t>Composite</t>
        </is>
      </c>
      <c r="H167" s="1235" t="inlineStr">
        <is>
          <t>02 Model Assumptions section C assumption register; Master Industry Database</t>
        </is>
      </c>
      <c r="I167" s="1235" t="inlineStr">
        <is>
          <t>Live from the WACC build-up in section D below, so driver D20 and the build-up can never disagree. Check A20 on 25 Audit Checks tests exactly this.</t>
        </is>
      </c>
      <c r="J167" s="1235" t="inlineStr">
        <is>
          <t>Populated by reference rather than re-keyed, so the FY2026A actual exists in exactly one place in the workbook.</t>
        </is>
      </c>
      <c r="K167" s="1235" t="inlineStr">
        <is>
          <t>Driver D01-D26 forecast columns resolve by ScenID; check A28 on 25 Audit Checks counts 182 resolved driver cells</t>
        </is>
      </c>
      <c r="L167" s="1236" t="inlineStr">
        <is>
          <t>Medium</t>
        </is>
      </c>
      <c r="M167" s="1235" t="inlineStr">
        <is>
          <t>Model Assumptions</t>
        </is>
      </c>
      <c r="N167" s="1235" t="inlineStr">
        <is>
          <t>Annually, when the base year rolls forward</t>
        </is>
      </c>
      <c r="O167" s="1236" t="inlineStr">
        <is>
          <t>FY2026A</t>
        </is>
      </c>
      <c r="P167" s="1235" t="inlineStr">
        <is>
          <t>ACTIVE DRIVERS row 27.</t>
        </is>
      </c>
    </row>
    <row r="168" ht="46" customHeight="1" s="632">
      <c r="A168" s="1232" t="inlineStr">
        <is>
          <t>MA21</t>
        </is>
      </c>
      <c r="B168" s="1233" t="inlineStr">
        <is>
          <t>D21 Finished steel imports - FY2026A anchor</t>
        </is>
      </c>
      <c r="C168" s="1242">
        <f>'Model Assumptions'!D28</f>
        <v/>
      </c>
      <c r="D168" s="1234" t="inlineStr">
        <is>
          <t>Mt</t>
        </is>
      </c>
      <c r="E168" s="1233" t="inlineStr">
        <is>
          <t>Cross-sheet reference to the cell that asserts the actual</t>
        </is>
      </c>
      <c r="F168" s="1233" t="inlineStr">
        <is>
          <t>'='Trade Model'!$C$74</t>
        </is>
      </c>
      <c r="G168" s="1233" t="inlineStr">
        <is>
          <t>Derived-DB</t>
        </is>
      </c>
      <c r="H168" s="1233" t="inlineStr">
        <is>
          <t>02 Model Assumptions section C assumption register; Master Industry Database</t>
        </is>
      </c>
      <c r="I168" s="1233" t="inlineStr">
        <is>
          <t>FY2026 actual finished steel imports of 6.524 Mt, down 31.7% from 9.551 Mt in FY2025.</t>
        </is>
      </c>
      <c r="J168" s="1233" t="inlineStr">
        <is>
          <t>Populated by reference rather than re-keyed, so the FY2026A actual exists in exactly one place in the workbook.</t>
        </is>
      </c>
      <c r="K168" s="1233" t="inlineStr">
        <is>
          <t>Driver D01-D26 forecast columns resolve by ScenID; check A28 on 25 Audit Checks counts 182 resolved driver cells</t>
        </is>
      </c>
      <c r="L168" s="1234" t="inlineStr">
        <is>
          <t>Medium</t>
        </is>
      </c>
      <c r="M168" s="1233" t="inlineStr">
        <is>
          <t>Model Assumptions</t>
        </is>
      </c>
      <c r="N168" s="1233" t="inlineStr">
        <is>
          <t>Annually, when the base year rolls forward</t>
        </is>
      </c>
      <c r="O168" s="1234" t="inlineStr">
        <is>
          <t>FY2026A</t>
        </is>
      </c>
      <c r="P168" s="1233" t="inlineStr">
        <is>
          <t>ACTIVE DRIVERS row 28.</t>
        </is>
      </c>
    </row>
    <row r="169" ht="46" customHeight="1" s="632">
      <c r="A169" s="1232" t="inlineStr">
        <is>
          <t>MA22</t>
        </is>
      </c>
      <c r="B169" s="1235" t="inlineStr">
        <is>
          <t>D22 Secondary and unattributed capacity additions - FY2026A anchor</t>
        </is>
      </c>
      <c r="C169" s="1241">
        <f>'Model Assumptions'!D29</f>
        <v/>
      </c>
      <c r="D169" s="1236" t="inlineStr">
        <is>
          <t>Mtpa p.a.</t>
        </is>
      </c>
      <c r="E169" s="1235" t="inlineStr">
        <is>
          <t>Cross-sheet reference to the cell that asserts the actual</t>
        </is>
      </c>
      <c r="F169" s="1235" t="inlineStr">
        <is>
          <t>'='Capacity Forecast'!$C$100</t>
        </is>
      </c>
      <c r="G169" s="1235" t="inlineStr">
        <is>
          <t>Derived-DB</t>
        </is>
      </c>
      <c r="H169" s="1235" t="inlineStr">
        <is>
          <t>02 Model Assumptions section C assumption register; Master Industry Database</t>
        </is>
      </c>
      <c r="I169" s="1235" t="inlineStr">
        <is>
          <t>FY2026 actual capacity addition of 20.07 Mtpa. All of it is unattributed for model purposes, because every dated FY2026 project is already inside the 220.4 Mtpa base.</t>
        </is>
      </c>
      <c r="J169" s="1235" t="inlineStr">
        <is>
          <t>Populated by reference rather than re-keyed, so the FY2026A actual exists in exactly one place in the workbook.</t>
        </is>
      </c>
      <c r="K169" s="1235" t="inlineStr">
        <is>
          <t>Driver D01-D26 forecast columns resolve by ScenID; check A28 on 25 Audit Checks counts 182 resolved driver cells</t>
        </is>
      </c>
      <c r="L169" s="1236" t="inlineStr">
        <is>
          <t>Medium</t>
        </is>
      </c>
      <c r="M169" s="1235" t="inlineStr">
        <is>
          <t>Model Assumptions</t>
        </is>
      </c>
      <c r="N169" s="1235" t="inlineStr">
        <is>
          <t>Annually, when the base year rolls forward</t>
        </is>
      </c>
      <c r="O169" s="1236" t="inlineStr">
        <is>
          <t>FY2026A</t>
        </is>
      </c>
      <c r="P169" s="1235" t="inlineStr">
        <is>
          <t>ACTIVE DRIVERS row 29.</t>
        </is>
      </c>
    </row>
    <row r="170" ht="46" customHeight="1" s="632">
      <c r="A170" s="1232" t="inlineStr">
        <is>
          <t>MA23</t>
        </is>
      </c>
      <c r="B170" s="1233" t="inlineStr">
        <is>
          <t>D23 Price sensitivity to capacity utilisation (lagged) - FY2026A anchor</t>
        </is>
      </c>
      <c r="C170" s="1242">
        <f>'Model Assumptions'!D30</f>
        <v/>
      </c>
      <c r="D170" s="1234" t="inlineStr">
        <is>
          <t>x</t>
        </is>
      </c>
      <c r="E170" s="1233" t="inlineStr">
        <is>
          <t>Manual input - structural parameter held constant across years and scenarios</t>
        </is>
      </c>
      <c r="F170" s="1233" t="inlineStr">
        <is>
          <t>(constant) 0.4</t>
        </is>
      </c>
      <c r="G170" s="1233" t="inlineStr">
        <is>
          <t>Indicative</t>
        </is>
      </c>
      <c r="H170" s="1233" t="inlineStr">
        <is>
          <t>02 Model Assumptions section C assumption register; Master Industry Database</t>
        </is>
      </c>
      <c r="I170" s="1233" t="inlineStr">
        <is>
          <t>INDICATIVE. The lagged price-utilisation feedback elasticity. Held constant across all four scenarios so that the scenarios differ on evidence, not on this parameter.</t>
        </is>
      </c>
      <c r="J170" s="1233" t="inlineStr">
        <is>
          <t>Populated by reference rather than re-keyed, so the FY2026A actual exists in exactly one place in the workbook.</t>
        </is>
      </c>
      <c r="K170" s="1233" t="inlineStr">
        <is>
          <t>Driver D01-D26 forecast columns resolve by ScenID; check A28 on 25 Audit Checks counts 182 resolved driver cells</t>
        </is>
      </c>
      <c r="L170" s="1234" t="inlineStr">
        <is>
          <t>Low</t>
        </is>
      </c>
      <c r="M170" s="1233" t="inlineStr">
        <is>
          <t>Model Assumptions</t>
        </is>
      </c>
      <c r="N170" s="1233" t="inlineStr">
        <is>
          <t>Annually, when the base year rolls forward</t>
        </is>
      </c>
      <c r="O170" s="1234" t="inlineStr">
        <is>
          <t>FY2026A</t>
        </is>
      </c>
      <c r="P170" s="1233" t="inlineStr">
        <is>
          <t>ACTIVE DRIVERS row 30.</t>
        </is>
      </c>
    </row>
    <row r="171" ht="46" customHeight="1" s="632">
      <c r="A171" s="1232" t="inlineStr">
        <is>
          <t>MA24</t>
        </is>
      </c>
      <c r="B171" s="1235" t="inlineStr">
        <is>
          <t>D24 Normal capacity utilisation - FY2026A anchor</t>
        </is>
      </c>
      <c r="C171" s="1241">
        <f>'Model Assumptions'!D31</f>
        <v/>
      </c>
      <c r="D171" s="1236" t="inlineStr">
        <is>
          <t>%</t>
        </is>
      </c>
      <c r="E171" s="1235" t="inlineStr">
        <is>
          <t>Manual input - structural parameter held constant across years and scenarios</t>
        </is>
      </c>
      <c r="F171" s="1235" t="inlineStr">
        <is>
          <t>(constant) 0.8</t>
        </is>
      </c>
      <c r="G171" s="1235" t="inlineStr">
        <is>
          <t>Derived-DB</t>
        </is>
      </c>
      <c r="H171" s="1235" t="inlineStr">
        <is>
          <t>02 Model Assumptions section C assumption register; Master Industry Database</t>
        </is>
      </c>
      <c r="I171" s="1235" t="inlineStr">
        <is>
          <t>Anchored on the FY2024 actual utilisation of 80.4%, the last year before capacity outran production. Held constant.</t>
        </is>
      </c>
      <c r="J171" s="1235" t="inlineStr">
        <is>
          <t>Populated by reference rather than re-keyed, so the FY2026A actual exists in exactly one place in the workbook.</t>
        </is>
      </c>
      <c r="K171" s="1235" t="inlineStr">
        <is>
          <t>Driver D01-D26 forecast columns resolve by ScenID; check A28 on 25 Audit Checks counts 182 resolved driver cells</t>
        </is>
      </c>
      <c r="L171" s="1236" t="inlineStr">
        <is>
          <t>Medium</t>
        </is>
      </c>
      <c r="M171" s="1235" t="inlineStr">
        <is>
          <t>Model Assumptions</t>
        </is>
      </c>
      <c r="N171" s="1235" t="inlineStr">
        <is>
          <t>Annually, when the base year rolls forward</t>
        </is>
      </c>
      <c r="O171" s="1236" t="inlineStr">
        <is>
          <t>FY2026A</t>
        </is>
      </c>
      <c r="P171" s="1235" t="inlineStr">
        <is>
          <t>ACTIVE DRIVERS row 31.</t>
        </is>
      </c>
    </row>
    <row r="172" ht="46" customHeight="1" s="632">
      <c r="A172" s="1232" t="inlineStr">
        <is>
          <t>MA25</t>
        </is>
      </c>
      <c r="B172" s="1233" t="inlineStr">
        <is>
          <t>D25 Maximum practical capacity utilisation - FY2026A anchor</t>
        </is>
      </c>
      <c r="C172" s="1242">
        <f>'Model Assumptions'!D32</f>
        <v/>
      </c>
      <c r="D172" s="1234" t="inlineStr">
        <is>
          <t>%</t>
        </is>
      </c>
      <c r="E172" s="1233" t="inlineStr">
        <is>
          <t>Manual input - structural parameter held constant across years and scenarios</t>
        </is>
      </c>
      <c r="F172" s="1233" t="inlineStr">
        <is>
          <t>(constant) 0.92</t>
        </is>
      </c>
      <c r="G172" s="1233" t="inlineStr">
        <is>
          <t>Indicative</t>
        </is>
      </c>
      <c r="H172" s="1233" t="inlineStr">
        <is>
          <t>02 Model Assumptions section C assumption register; Master Industry Database</t>
        </is>
      </c>
      <c r="I172" s="1233" t="inlineStr">
        <is>
          <t>INDICATIVE. Allows for maintenance and relining. Individual assets run above this; a national aggregate does not.</t>
        </is>
      </c>
      <c r="J172" s="1233" t="inlineStr">
        <is>
          <t>Populated by reference rather than re-keyed, so the FY2026A actual exists in exactly one place in the workbook.</t>
        </is>
      </c>
      <c r="K172" s="1233" t="inlineStr">
        <is>
          <t>Driver D01-D26 forecast columns resolve by ScenID; check A28 on 25 Audit Checks counts 182 resolved driver cells</t>
        </is>
      </c>
      <c r="L172" s="1234" t="inlineStr">
        <is>
          <t>Low</t>
        </is>
      </c>
      <c r="M172" s="1233" t="inlineStr">
        <is>
          <t>Model Assumptions</t>
        </is>
      </c>
      <c r="N172" s="1233" t="inlineStr">
        <is>
          <t>Annually, when the base year rolls forward</t>
        </is>
      </c>
      <c r="O172" s="1234" t="inlineStr">
        <is>
          <t>FY2026A</t>
        </is>
      </c>
      <c r="P172" s="1233" t="inlineStr">
        <is>
          <t>ACTIVE DRIVERS row 32.</t>
        </is>
      </c>
    </row>
    <row r="173" ht="46" customHeight="1" s="632">
      <c r="A173" s="1232" t="inlineStr">
        <is>
          <t>MA26</t>
        </is>
      </c>
      <c r="B173" s="1235" t="inlineStr">
        <is>
          <t>D26 Depreciation and amortisation - FY2026A anchor</t>
        </is>
      </c>
      <c r="C173" s="1241">
        <f>'Model Assumptions'!D33</f>
        <v/>
      </c>
      <c r="D173" s="1236" t="inlineStr">
        <is>
          <t>% of revenue</t>
        </is>
      </c>
      <c r="E173" s="1235" t="inlineStr">
        <is>
          <t>Cross-sheet reference to the cell that asserts the actual</t>
        </is>
      </c>
      <c r="F173" s="1235" t="inlineStr">
        <is>
          <t>'='Cash Flow Model'!$C$98</t>
        </is>
      </c>
      <c r="G173" s="1235" t="inlineStr">
        <is>
          <t>Derived-DB</t>
        </is>
      </c>
      <c r="H173" s="1235" t="inlineStr">
        <is>
          <t>02 Model Assumptions section C assumption register; Master Industry Database</t>
        </is>
      </c>
      <c r="I173" s="1235" t="inlineStr">
        <is>
          <t>FY2026A of 5.28%, derived as Rs 30,715 cr of depreciation and amortisation on Rs 5,81,000 cr of aggregate revenue for the disclosing names.</t>
        </is>
      </c>
      <c r="J173" s="1235" t="inlineStr">
        <is>
          <t>Populated by reference rather than re-keyed, so the FY2026A actual exists in exactly one place in the workbook.</t>
        </is>
      </c>
      <c r="K173" s="1235" t="inlineStr">
        <is>
          <t>Driver D01-D26 forecast columns resolve by ScenID; check A28 on 25 Audit Checks counts 182 resolved driver cells</t>
        </is>
      </c>
      <c r="L173" s="1236" t="inlineStr">
        <is>
          <t>High</t>
        </is>
      </c>
      <c r="M173" s="1235" t="inlineStr">
        <is>
          <t>Model Assumptions</t>
        </is>
      </c>
      <c r="N173" s="1235" t="inlineStr">
        <is>
          <t>Annually, when the base year rolls forward</t>
        </is>
      </c>
      <c r="O173" s="1236" t="inlineStr">
        <is>
          <t>FY2026A</t>
        </is>
      </c>
      <c r="P173" s="1235" t="inlineStr">
        <is>
          <t>ACTIVE DRIVERS row 33.</t>
        </is>
      </c>
    </row>
    <row r="176" ht="18" customHeight="1" s="632">
      <c r="A176" s="1229" t="inlineStr">
        <is>
          <t>Model Calibration  -  8 documented items  (MC01 - MC08)</t>
        </is>
      </c>
      <c r="B176" s="1161" t="n"/>
      <c r="C176" s="1161" t="n"/>
      <c r="D176" s="1161" t="n"/>
      <c r="E176" s="1161" t="n"/>
      <c r="F176" s="1161" t="n"/>
      <c r="G176" s="1161" t="n"/>
      <c r="H176" s="1161" t="n"/>
      <c r="I176" s="1161" t="n"/>
      <c r="J176" s="1161" t="n"/>
      <c r="K176" s="1161" t="n"/>
      <c r="L176" s="1161" t="n"/>
      <c r="M176" s="1161" t="n"/>
      <c r="N176" s="1161" t="n"/>
      <c r="O176" s="1161" t="n"/>
      <c r="P176" s="1161" t="n"/>
    </row>
    <row r="177" ht="24" customHeight="1" s="632">
      <c r="A177" s="1230" t="inlineStr">
        <is>
          <t>The FY2026A actuals every forecast is anchored on, and five arithmetic reconciliations that prove the anchors are internally consistent.</t>
        </is>
      </c>
    </row>
    <row r="178" ht="30" customHeight="1" s="632">
      <c r="A178" s="1231" t="inlineStr">
        <is>
          <t>Code</t>
        </is>
      </c>
      <c r="B178" s="1231" t="inlineStr">
        <is>
          <t>Model Item</t>
        </is>
      </c>
      <c r="C178" s="1231" t="inlineStr">
        <is>
          <t>Value</t>
        </is>
      </c>
      <c r="D178" s="1231" t="inlineStr">
        <is>
          <t>Unit</t>
        </is>
      </c>
      <c r="E178" s="1231" t="inlineStr">
        <is>
          <t>Calculation Method</t>
        </is>
      </c>
      <c r="F178" s="1231" t="inlineStr">
        <is>
          <t>Formula Used</t>
        </is>
      </c>
      <c r="G178" s="1231" t="inlineStr">
        <is>
          <t>Primary Source</t>
        </is>
      </c>
      <c r="H178" s="1231" t="inlineStr">
        <is>
          <t>Secondary Source</t>
        </is>
      </c>
      <c r="I178" s="1231" t="inlineStr">
        <is>
          <t>Assumption</t>
        </is>
      </c>
      <c r="J178" s="1231" t="inlineStr">
        <is>
          <t>Reasoning</t>
        </is>
      </c>
      <c r="K178" s="1231" t="inlineStr">
        <is>
          <t>Cross-check</t>
        </is>
      </c>
      <c r="L178" s="1231" t="inlineStr">
        <is>
          <t>Confidence Level</t>
        </is>
      </c>
      <c r="M178" s="1231" t="inlineStr">
        <is>
          <t>Linked Sheet</t>
        </is>
      </c>
      <c r="N178" s="1231" t="inlineStr">
        <is>
          <t>Update Frequency</t>
        </is>
      </c>
      <c r="O178" s="1231" t="inlineStr">
        <is>
          <t>Last Available Date</t>
        </is>
      </c>
      <c r="P178" s="1231" t="inlineStr">
        <is>
          <t>Comments</t>
        </is>
      </c>
    </row>
    <row r="179" ht="46" customHeight="1" s="632">
      <c r="A179" s="1232" t="inlineStr">
        <is>
          <t>MC01</t>
        </is>
      </c>
      <c r="B179" s="1233" t="inlineStr">
        <is>
          <t>MC105 Revenue per tonne</t>
        </is>
      </c>
      <c r="C179" s="1237">
        <f>'Model Calibration'!D23</f>
        <v/>
      </c>
      <c r="D179" s="1234" t="inlineStr">
        <is>
          <t>Rs/t</t>
        </is>
      </c>
      <c r="E179" s="1233" t="inlineStr">
        <is>
          <t>Computed in-cell from the two FY2026A anchors</t>
        </is>
      </c>
      <c r="F179" s="1233" t="inlineStr">
        <is>
          <t>'='Revenue Forecast'!$C$96/'Revenue Forecast'!$C$94*10</t>
        </is>
      </c>
      <c r="G179" s="1233" t="inlineStr">
        <is>
          <t>Derived from the Master Industry Database via 12 Revenue Forecast</t>
        </is>
      </c>
      <c r="H179" s="1233" t="inlineStr">
        <is>
          <t>Cross-checks to MC101 average realisation of Rs 59,974/t</t>
        </is>
      </c>
      <c r="I179" s="1233" t="inlineStr">
        <is>
          <t>Revenue per tonne of finished steel PRODUCED, not sold.</t>
        </is>
      </c>
      <c r="J179" s="1233" t="inlineStr">
        <is>
          <t>Rs 9,65,222 cr of industry revenue on 160.94 Mt of finished production. The unit bridge is Rs cr x 10 / Mt = Rs/t.</t>
        </is>
      </c>
      <c r="K179" s="1233" t="inlineStr">
        <is>
          <t>Must equal MC101 realisation, because industry revenue is built as production x realisation</t>
        </is>
      </c>
      <c r="L179" s="1234" t="inlineStr">
        <is>
          <t>Medium</t>
        </is>
      </c>
      <c r="M179" s="1233" t="inlineStr">
        <is>
          <t>Revenue Forecast</t>
        </is>
      </c>
      <c r="N179" s="1233" t="inlineStr">
        <is>
          <t>Quarterly</t>
        </is>
      </c>
      <c r="O179" s="1234" t="inlineStr">
        <is>
          <t>FY2026A</t>
        </is>
      </c>
      <c r="P179" s="1233" t="inlineStr">
        <is>
          <t>Was blank.</t>
        </is>
      </c>
    </row>
    <row r="180" ht="46" customHeight="1" s="632">
      <c r="A180" s="1232" t="inlineStr">
        <is>
          <t>MC02</t>
        </is>
      </c>
      <c r="B180" s="1235" t="inlineStr">
        <is>
          <t>MC401 Crude-to-finished ratio</t>
        </is>
      </c>
      <c r="C180" s="1243">
        <f>'Model Calibration'!C43</f>
        <v/>
      </c>
      <c r="D180" s="1236" t="inlineStr">
        <is>
          <t>x</t>
        </is>
      </c>
      <c r="E180" s="1235" t="inlineStr">
        <is>
          <t>Computed in-cell</t>
        </is>
      </c>
      <c r="F180" s="1235" t="inlineStr">
        <is>
          <t>'=D10/D11</t>
        </is>
      </c>
      <c r="G180" s="1235" t="inlineStr">
        <is>
          <t>Joint Plant Committee via the Master Industry Database</t>
        </is>
      </c>
      <c r="H180" s="1235" t="inlineStr">
        <is>
          <t>Driver D06 on 02 Model Assumptions; 05 Steel Supply Model row 93</t>
        </is>
      </c>
      <c r="I180" s="1235" t="inlineStr">
        <is>
          <t>Yield loss between crude and finished steel.</t>
        </is>
      </c>
      <c r="J180" s="1235" t="inlineStr">
        <is>
          <t>DEFECT CORRECTED. The cell read =D10/D11 only after this build; as delivered it read =D10/D12, which divided crude steel production by CONSUMPTION (163.74 Mt) instead of finished steel PRODUCTION (160.94 Mt) and returned 1.0286x instead of 1.0465x.</t>
        </is>
      </c>
      <c r="K180" s="1235" t="inlineStr">
        <is>
          <t>Must equal driver D06 and 05 Steel Supply Model row 93, both 1.04647x</t>
        </is>
      </c>
      <c r="L180" s="1236" t="inlineStr">
        <is>
          <t>High</t>
        </is>
      </c>
      <c r="M180" s="1235" t="inlineStr">
        <is>
          <t>This sheet</t>
        </is>
      </c>
      <c r="N180" s="1235" t="inlineStr">
        <is>
          <t>Annually</t>
        </is>
      </c>
      <c r="O180" s="1236" t="inlineStr">
        <is>
          <t>FY2026A</t>
        </is>
      </c>
      <c r="P180" s="1235" t="inlineStr">
        <is>
          <t>Correction to a new-table formula; the research block was not touched.</t>
        </is>
      </c>
    </row>
    <row r="181" ht="46" customHeight="1" s="632">
      <c r="A181" s="1232" t="inlineStr">
        <is>
          <t>MC03</t>
        </is>
      </c>
      <c r="B181" s="1233" t="inlineStr">
        <is>
          <t>MC405 Import dependency</t>
        </is>
      </c>
      <c r="C181" s="1244">
        <f>'Model Calibration'!C47</f>
        <v/>
      </c>
      <c r="D181" s="1234" t="inlineStr">
        <is>
          <t>%</t>
        </is>
      </c>
      <c r="E181" s="1233" t="inlineStr">
        <is>
          <t>Computed in-cell</t>
        </is>
      </c>
      <c r="F181" s="1233" t="inlineStr">
        <is>
          <t>'=D36/D12</t>
        </is>
      </c>
      <c r="G181" s="1233" t="inlineStr">
        <is>
          <t>Joint Plant Committee via the Master Industry Database</t>
        </is>
      </c>
      <c r="H181" s="1233" t="inlineStr">
        <is>
          <t>19 Trade Model row 83 import penetration</t>
        </is>
      </c>
      <c r="I181" s="1233" t="inlineStr">
        <is>
          <t>Imports measured against apparent consumption, the standard penetration definition.</t>
        </is>
      </c>
      <c r="J181" s="1233" t="inlineStr">
        <is>
          <t>6.524 Mt of imports on 163.74 Mt of consumption is 4.0%, down from 6.3% in FY2025 as the safeguard duty bit.</t>
        </is>
      </c>
      <c r="K181" s="1233" t="inlineStr">
        <is>
          <t>Must equal 19 Trade Model row 83 FY2026A</t>
        </is>
      </c>
      <c r="L181" s="1234" t="inlineStr">
        <is>
          <t>High</t>
        </is>
      </c>
      <c r="M181" s="1233" t="inlineStr">
        <is>
          <t>Trade Model</t>
        </is>
      </c>
      <c r="N181" s="1233" t="inlineStr">
        <is>
          <t>Monthly, on each Ministry of Steel report</t>
        </is>
      </c>
      <c r="O181" s="1234" t="inlineStr">
        <is>
          <t>FY2026A</t>
        </is>
      </c>
      <c r="P181" s="1233" t="inlineStr">
        <is>
          <t>Was blank.</t>
        </is>
      </c>
    </row>
    <row r="182" ht="46" customHeight="1" s="632">
      <c r="A182" s="1232" t="inlineStr">
        <is>
          <t>MC04</t>
        </is>
      </c>
      <c r="B182" s="1235" t="inlineStr">
        <is>
          <t>MC501 Production = Capacity x Utilisation</t>
        </is>
      </c>
      <c r="C182" s="1240">
        <f>IF('Model Calibration'!D52="PASS",1,0)</f>
        <v/>
      </c>
      <c r="D182" s="1236" t="inlineStr">
        <is>
          <t>flag</t>
        </is>
      </c>
      <c r="E182" s="1235" t="inlineStr">
        <is>
          <t>Arithmetic reconciliation, live</t>
        </is>
      </c>
      <c r="F182" s="1235" t="inlineStr">
        <is>
          <t>'=IF(ABS($D$13*$D$14-$D$10)&lt;0.05,"PASS","FAIL")</t>
        </is>
      </c>
      <c r="G182" s="1235" t="inlineStr">
        <is>
          <t>Computed from the calibration anchors above</t>
        </is>
      </c>
      <c r="H182" s="1235" t="inlineStr">
        <is>
          <t>25 Audit Checks A08, A11, A12, A13</t>
        </is>
      </c>
      <c r="I182" s="1235" t="inlineStr">
        <is>
          <t>None. This is a reconciliation.</t>
        </is>
      </c>
      <c r="J182" s="1235" t="inlineStr">
        <is>
          <t>Capacity 220.4 Mtpa multiplied by utilisation 76.42% must return crude production of 168.42 Mt.</t>
        </is>
      </c>
      <c r="K182" s="1235" t="inlineStr">
        <is>
          <t>Duplicated independently on 25 Audit Checks</t>
        </is>
      </c>
      <c r="L182" s="1236" t="inlineStr">
        <is>
          <t>High</t>
        </is>
      </c>
      <c r="M182" s="1235" t="inlineStr">
        <is>
          <t>Revenue Forecast, Steel Supply Model</t>
        </is>
      </c>
      <c r="N182" s="1235" t="inlineStr">
        <is>
          <t>Live</t>
        </is>
      </c>
      <c r="O182" s="1236" t="inlineStr">
        <is>
          <t>FY2026A</t>
        </is>
      </c>
      <c r="P182" s="1235" t="inlineStr">
        <is>
          <t>Replaced a hard-coded tick.</t>
        </is>
      </c>
    </row>
    <row r="183" ht="46" customHeight="1" s="632">
      <c r="A183" s="1232" t="inlineStr">
        <is>
          <t>MC05</t>
        </is>
      </c>
      <c r="B183" s="1233" t="inlineStr">
        <is>
          <t>MC502 Revenue = Price x Volume</t>
        </is>
      </c>
      <c r="C183" s="1239">
        <f>IF('Model Calibration'!D53="PASS",1,0)</f>
        <v/>
      </c>
      <c r="D183" s="1234" t="inlineStr">
        <is>
          <t>flag</t>
        </is>
      </c>
      <c r="E183" s="1233" t="inlineStr">
        <is>
          <t>Arithmetic reconciliation, live</t>
        </is>
      </c>
      <c r="F183" s="1233" t="inlineStr">
        <is>
          <t>'=IF(ABS($D$19*$D$11/10-'Revenue Forecast'!$C$96)&lt;1,"PASS","FAIL")</t>
        </is>
      </c>
      <c r="G183" s="1233" t="inlineStr">
        <is>
          <t>Computed from the calibration anchors above</t>
        </is>
      </c>
      <c r="H183" s="1233" t="inlineStr">
        <is>
          <t>25 Audit Checks A08, A11, A12, A13</t>
        </is>
      </c>
      <c r="I183" s="1233" t="inlineStr">
        <is>
          <t>None. This is a reconciliation.</t>
        </is>
      </c>
      <c r="J183" s="1233" t="inlineStr">
        <is>
          <t>Realisation Rs 59,974/t on 160.94 Mt of finished production must return Rs 9,65,222 cr. Proves the Rs/t to Rs crore bridge (divide by 10).</t>
        </is>
      </c>
      <c r="K183" s="1233" t="inlineStr">
        <is>
          <t>Duplicated independently on 25 Audit Checks</t>
        </is>
      </c>
      <c r="L183" s="1234" t="inlineStr">
        <is>
          <t>High</t>
        </is>
      </c>
      <c r="M183" s="1233" t="inlineStr">
        <is>
          <t>Revenue Forecast, Steel Supply Model</t>
        </is>
      </c>
      <c r="N183" s="1233" t="inlineStr">
        <is>
          <t>Live</t>
        </is>
      </c>
      <c r="O183" s="1234" t="inlineStr">
        <is>
          <t>FY2026A</t>
        </is>
      </c>
      <c r="P183" s="1233" t="inlineStr">
        <is>
          <t>Replaced a hard-coded tick.</t>
        </is>
      </c>
    </row>
    <row r="184" ht="46" customHeight="1" s="632">
      <c r="A184" s="1232" t="inlineStr">
        <is>
          <t>MC06</t>
        </is>
      </c>
      <c r="B184" s="1235" t="inlineStr">
        <is>
          <t>MC503 EBITDA = Revenue less Cost</t>
        </is>
      </c>
      <c r="C184" s="1240">
        <f>IF('Model Calibration'!D54="PASS",1,0)</f>
        <v/>
      </c>
      <c r="D184" s="1236" t="inlineStr">
        <is>
          <t>flag</t>
        </is>
      </c>
      <c r="E184" s="1235" t="inlineStr">
        <is>
          <t>Arithmetic reconciliation, live</t>
        </is>
      </c>
      <c r="F184" s="1235" t="inlineStr">
        <is>
          <t>'=IF(ABS(($D$19-$D$21)-$D$20)&lt;1,"PASS","FAIL")</t>
        </is>
      </c>
      <c r="G184" s="1235" t="inlineStr">
        <is>
          <t>Computed from the calibration anchors above</t>
        </is>
      </c>
      <c r="H184" s="1235" t="inlineStr">
        <is>
          <t>25 Audit Checks A08, A11, A12, A13</t>
        </is>
      </c>
      <c r="I184" s="1235" t="inlineStr">
        <is>
          <t>None. This is a reconciliation.</t>
        </is>
      </c>
      <c r="J184" s="1235" t="inlineStr">
        <is>
          <t>Realisation less cash cost must equal EBITDA per tonne: 59,974 - 49,241 = 10,733.</t>
        </is>
      </c>
      <c r="K184" s="1235" t="inlineStr">
        <is>
          <t>Duplicated independently on 25 Audit Checks</t>
        </is>
      </c>
      <c r="L184" s="1236" t="inlineStr">
        <is>
          <t>High</t>
        </is>
      </c>
      <c r="M184" s="1235" t="inlineStr">
        <is>
          <t>Revenue Forecast, Steel Supply Model</t>
        </is>
      </c>
      <c r="N184" s="1235" t="inlineStr">
        <is>
          <t>Live</t>
        </is>
      </c>
      <c r="O184" s="1236" t="inlineStr">
        <is>
          <t>FY2026A</t>
        </is>
      </c>
      <c r="P184" s="1235" t="inlineStr">
        <is>
          <t>Replaced a hard-coded tick.</t>
        </is>
      </c>
    </row>
    <row r="185" ht="46" customHeight="1" s="632">
      <c r="A185" s="1232" t="inlineStr">
        <is>
          <t>MC07</t>
        </is>
      </c>
      <c r="B185" s="1233" t="inlineStr">
        <is>
          <t>MC504 Consumption identity balances</t>
        </is>
      </c>
      <c r="C185" s="1239">
        <f>IF('Model Calibration'!D55="PASS",1,0)</f>
        <v/>
      </c>
      <c r="D185" s="1234" t="inlineStr">
        <is>
          <t>flag</t>
        </is>
      </c>
      <c r="E185" s="1233" t="inlineStr">
        <is>
          <t>Arithmetic reconciliation, live</t>
        </is>
      </c>
      <c r="F185" s="1233" t="inlineStr">
        <is>
          <t>'=IF(ABS($D$11-($D$12+($D$37-$D$36)+$D$38))&lt;0.02,"PASS","FAIL")</t>
        </is>
      </c>
      <c r="G185" s="1233" t="inlineStr">
        <is>
          <t>Computed from the calibration anchors above</t>
        </is>
      </c>
      <c r="H185" s="1233" t="inlineStr">
        <is>
          <t>25 Audit Checks A08, A11, A12, A13</t>
        </is>
      </c>
      <c r="I185" s="1233" t="inlineStr">
        <is>
          <t>None. This is a reconciliation.</t>
        </is>
      </c>
      <c r="J185" s="1233" t="inlineStr">
        <is>
          <t>The Joint Plant Committee identity: finished production 160.94 = consumption 163.74 + net exports 0.078 + stock variation -2.88.</t>
        </is>
      </c>
      <c r="K185" s="1233" t="inlineStr">
        <is>
          <t>Duplicated independently on 25 Audit Checks</t>
        </is>
      </c>
      <c r="L185" s="1234" t="inlineStr">
        <is>
          <t>High</t>
        </is>
      </c>
      <c r="M185" s="1233" t="inlineStr">
        <is>
          <t>Revenue Forecast, Steel Supply Model</t>
        </is>
      </c>
      <c r="N185" s="1233" t="inlineStr">
        <is>
          <t>Live</t>
        </is>
      </c>
      <c r="O185" s="1234" t="inlineStr">
        <is>
          <t>FY2026A</t>
        </is>
      </c>
      <c r="P185" s="1233" t="inlineStr">
        <is>
          <t>Replaced a hard-coded tick.</t>
        </is>
      </c>
    </row>
    <row r="186" ht="46" customHeight="1" s="632">
      <c r="A186" s="1232" t="inlineStr">
        <is>
          <t>MC08</t>
        </is>
      </c>
      <c r="B186" s="1235" t="inlineStr">
        <is>
          <t>MC505 Import / export balance</t>
        </is>
      </c>
      <c r="C186" s="1240">
        <f>IF('Model Calibration'!D56="PASS",1,0)</f>
        <v/>
      </c>
      <c r="D186" s="1236" t="inlineStr">
        <is>
          <t>flag</t>
        </is>
      </c>
      <c r="E186" s="1235" t="inlineStr">
        <is>
          <t>Arithmetic reconciliation, live</t>
        </is>
      </c>
      <c r="F186" s="1235" t="inlineStr">
        <is>
          <t>'=IF(ABS(($D$37-$D$36)-'Steel Supply Model'!$C$90)&lt;0.001,"PASS","FAIL")</t>
        </is>
      </c>
      <c r="G186" s="1235" t="inlineStr">
        <is>
          <t>Computed from the calibration anchors above</t>
        </is>
      </c>
      <c r="H186" s="1235" t="inlineStr">
        <is>
          <t>25 Audit Checks A08, A11, A12, A13</t>
        </is>
      </c>
      <c r="I186" s="1235" t="inlineStr">
        <is>
          <t>None. This is a reconciliation.</t>
        </is>
      </c>
      <c r="J186" s="1235" t="inlineStr">
        <is>
          <t>Exports 6.602 less imports 6.524 must equal the net export figure the supply model uses, +0.078 Mt.</t>
        </is>
      </c>
      <c r="K186" s="1235" t="inlineStr">
        <is>
          <t>Duplicated independently on 25 Audit Checks</t>
        </is>
      </c>
      <c r="L186" s="1236" t="inlineStr">
        <is>
          <t>High</t>
        </is>
      </c>
      <c r="M186" s="1235" t="inlineStr">
        <is>
          <t>Revenue Forecast, Steel Supply Model</t>
        </is>
      </c>
      <c r="N186" s="1235" t="inlineStr">
        <is>
          <t>Live</t>
        </is>
      </c>
      <c r="O186" s="1236" t="inlineStr">
        <is>
          <t>FY2026A</t>
        </is>
      </c>
      <c r="P186" s="1235" t="inlineStr">
        <is>
          <t>Replaced a hard-coded tick.</t>
        </is>
      </c>
    </row>
    <row r="189" ht="18" customHeight="1" s="632">
      <c r="A189" s="1229" t="inlineStr">
        <is>
          <t>Macroeconomic Model  -  44 documented items  (MM01 - MM44)</t>
        </is>
      </c>
      <c r="B189" s="1161" t="n"/>
      <c r="C189" s="1161" t="n"/>
      <c r="D189" s="1161" t="n"/>
      <c r="E189" s="1161" t="n"/>
      <c r="F189" s="1161" t="n"/>
      <c r="G189" s="1161" t="n"/>
      <c r="H189" s="1161" t="n"/>
      <c r="I189" s="1161" t="n"/>
      <c r="J189" s="1161" t="n"/>
      <c r="K189" s="1161" t="n"/>
      <c r="L189" s="1161" t="n"/>
      <c r="M189" s="1161" t="n"/>
      <c r="N189" s="1161" t="n"/>
      <c r="O189" s="1161" t="n"/>
      <c r="P189" s="1161" t="n"/>
    </row>
    <row r="190" ht="24" customHeight="1" s="632">
      <c r="A190" s="1230" t="inlineStr">
        <is>
          <t>Every documented number on Macroeconomic Model. The Code column matches the Ref column on that sheet.</t>
        </is>
      </c>
    </row>
    <row r="191" ht="30" customHeight="1" s="632">
      <c r="A191" s="1231" t="inlineStr">
        <is>
          <t>Code</t>
        </is>
      </c>
      <c r="B191" s="1231" t="inlineStr">
        <is>
          <t>Model Item</t>
        </is>
      </c>
      <c r="C191" s="1231" t="inlineStr">
        <is>
          <t>Value</t>
        </is>
      </c>
      <c r="D191" s="1231" t="inlineStr">
        <is>
          <t>Unit</t>
        </is>
      </c>
      <c r="E191" s="1231" t="inlineStr">
        <is>
          <t>Calculation Method</t>
        </is>
      </c>
      <c r="F191" s="1231" t="inlineStr">
        <is>
          <t>Formula Used</t>
        </is>
      </c>
      <c r="G191" s="1231" t="inlineStr">
        <is>
          <t>Primary Source</t>
        </is>
      </c>
      <c r="H191" s="1231" t="inlineStr">
        <is>
          <t>Secondary Source</t>
        </is>
      </c>
      <c r="I191" s="1231" t="inlineStr">
        <is>
          <t>Assumption</t>
        </is>
      </c>
      <c r="J191" s="1231" t="inlineStr">
        <is>
          <t>Reasoning</t>
        </is>
      </c>
      <c r="K191" s="1231" t="inlineStr">
        <is>
          <t>Cross-check</t>
        </is>
      </c>
      <c r="L191" s="1231" t="inlineStr">
        <is>
          <t>Confidence Level</t>
        </is>
      </c>
      <c r="M191" s="1231" t="inlineStr">
        <is>
          <t>Linked Sheet</t>
        </is>
      </c>
      <c r="N191" s="1231" t="inlineStr">
        <is>
          <t>Update Frequency</t>
        </is>
      </c>
      <c r="O191" s="1231" t="inlineStr">
        <is>
          <t>Last Available Date</t>
        </is>
      </c>
      <c r="P191" s="1231" t="inlineStr">
        <is>
          <t>Comments</t>
        </is>
      </c>
    </row>
    <row r="192" ht="46" customHeight="1" s="632">
      <c r="A192" s="1232" t="inlineStr">
        <is>
          <t>MM01</t>
        </is>
      </c>
      <c r="B192" s="1233" t="inlineStr">
        <is>
          <t>Industrial production growth (IIP)</t>
        </is>
      </c>
      <c r="C192" s="1244">
        <f>'Macroeconomic Model'!I14</f>
        <v/>
      </c>
      <c r="D192" s="1234" t="inlineStr">
        <is>
          <t>%</t>
        </is>
      </c>
      <c r="E192" s="1233" t="inlineStr">
        <is>
          <t>Real GDP growth on row 13 multiplied by the beta in K14</t>
        </is>
      </c>
      <c r="F192" s="1233" t="inlineStr">
        <is>
          <t>'=B13*$K$14</t>
        </is>
      </c>
      <c r="G192" s="1233" t="inlineStr">
        <is>
          <t>Modelled: beta applied to the Reserve Bank of India real GDP path (driver D01)</t>
        </is>
      </c>
      <c r="H192" s="1233" t="inlineStr">
        <is>
          <t>MOSPI publishes the actuals for every one of these series</t>
        </is>
      </c>
      <c r="I192" s="1233" t="inlineStr">
        <is>
          <t>Industrial production growth modelled at 0.85x real GDP growth. The Index of Industrial Production has persistently trailed headline GDP in India because services carry roughly 55% of GVA and have grown faster than industry; a beta below 1.0 is the arithmetic consequence. The beta itself is in K14, so it is a single editable number.</t>
        </is>
      </c>
      <c r="J192" s="1233" t="inlineStr">
        <is>
          <t>Every one of these series is published as an actual by MOSPI, and none is published as a forecast to FY2033 by anybody. The choice was between leaving the row blank - which is what the previous build did - and modelling it off the one macro variable the workbook does source, which is the RBI real GDP path. A beta to GDP is the standard way to carry a derived macro series in an industry model, it is transparent because the multiplier is visible in the cell next to the row, and it cannot go stale because it moves with GDP. Replace the row with MOSPI actuals as they print.</t>
        </is>
      </c>
      <c r="K192" s="1233" t="inlineStr">
        <is>
          <t>Row 13 is the sourced GDP path; the scorecard below and 04 Steel Demand Model both read these rows, so a change here propagates consistently</t>
        </is>
      </c>
      <c r="L192" s="1234" t="inlineStr">
        <is>
          <t>Medium - modelled from a sourced driver, not itself sourced</t>
        </is>
      </c>
      <c r="M192" s="1233" t="inlineStr">
        <is>
          <t>Model Assumptions, this sheet</t>
        </is>
      </c>
      <c r="N192" s="1233" t="inlineStr">
        <is>
          <t>Replace with the MOSPI actual as each series prints</t>
        </is>
      </c>
      <c r="O192" s="1234" t="inlineStr">
        <is>
          <t>FY2026A</t>
        </is>
      </c>
      <c r="P192" s="1233" t="inlineStr">
        <is>
          <t>Populated by modelling rather than left blank; the basis is stated in the Assumption column so it can be replaced with a sourced series when one exists.</t>
        </is>
      </c>
    </row>
    <row r="193" ht="46" customHeight="1" s="632">
      <c r="A193" s="1232" t="inlineStr">
        <is>
          <t>MM02</t>
        </is>
      </c>
      <c r="B193" s="1235" t="inlineStr">
        <is>
          <t>Manufacturing GVA growth</t>
        </is>
      </c>
      <c r="C193" s="1245">
        <f>'Macroeconomic Model'!I15</f>
        <v/>
      </c>
      <c r="D193" s="1236" t="inlineStr">
        <is>
          <t>%</t>
        </is>
      </c>
      <c r="E193" s="1235" t="inlineStr">
        <is>
          <t>Real GDP growth on row 13 multiplied by the beta in K15</t>
        </is>
      </c>
      <c r="F193" s="1235" t="inlineStr">
        <is>
          <t>'=B13*$K$15</t>
        </is>
      </c>
      <c r="G193" s="1235" t="inlineStr">
        <is>
          <t>Modelled: beta applied to the Reserve Bank of India real GDP path (driver D01)</t>
        </is>
      </c>
      <c r="H193" s="1235" t="inlineStr">
        <is>
          <t>MOSPI publishes the actuals for every one of these series</t>
        </is>
      </c>
      <c r="I193" s="1235" t="inlineStr">
        <is>
          <t>Manufacturing GVA growth modelled at 1.00x real GDP growth. Manufacturing has held a broadly stable 17-18% share of Indian GVA for a decade, and a constant share is exactly what a unit beta means. The beta itself is in K15, so it is a single editable number.</t>
        </is>
      </c>
      <c r="J193" s="1235" t="inlineStr">
        <is>
          <t>Every one of these series is published as an actual by MOSPI, and none is published as a forecast to FY2033 by anybody. The choice was between leaving the row blank - which is what the previous build did - and modelling it off the one macro variable the workbook does source, which is the RBI real GDP path. A beta to GDP is the standard way to carry a derived macro series in an industry model, it is transparent because the multiplier is visible in the cell next to the row, and it cannot go stale because it moves with GDP. Replace the row with MOSPI actuals as they print.</t>
        </is>
      </c>
      <c r="K193" s="1235" t="inlineStr">
        <is>
          <t>Row 13 is the sourced GDP path; the scorecard below and 04 Steel Demand Model both read these rows, so a change here propagates consistently</t>
        </is>
      </c>
      <c r="L193" s="1236" t="inlineStr">
        <is>
          <t>Medium - modelled from a sourced driver, not itself sourced</t>
        </is>
      </c>
      <c r="M193" s="1235" t="inlineStr">
        <is>
          <t>Model Assumptions, this sheet</t>
        </is>
      </c>
      <c r="N193" s="1235" t="inlineStr">
        <is>
          <t>Replace with the MOSPI actual as each series prints</t>
        </is>
      </c>
      <c r="O193" s="1236" t="inlineStr">
        <is>
          <t>FY2026A</t>
        </is>
      </c>
      <c r="P193" s="1235" t="inlineStr">
        <is>
          <t>Populated by modelling rather than left blank; the basis is stated in the Assumption column so it can be replaced with a sourced series when one exists.</t>
        </is>
      </c>
    </row>
    <row r="194" ht="46" customHeight="1" s="632">
      <c r="A194" s="1232" t="inlineStr">
        <is>
          <t>MM03</t>
        </is>
      </c>
      <c r="B194" s="1233" t="inlineStr">
        <is>
          <t>Infrastructure growth</t>
        </is>
      </c>
      <c r="C194" s="1244">
        <f>'Macroeconomic Model'!I16</f>
        <v/>
      </c>
      <c r="D194" s="1234" t="inlineStr">
        <is>
          <t>%</t>
        </is>
      </c>
      <c r="E194" s="1233" t="inlineStr">
        <is>
          <t>Real GDP growth on row 13 multiplied by the beta in K16</t>
        </is>
      </c>
      <c r="F194" s="1233" t="inlineStr">
        <is>
          <t>'=B13*$K$16</t>
        </is>
      </c>
      <c r="G194" s="1233" t="inlineStr">
        <is>
          <t>Modelled: beta applied to the Reserve Bank of India real GDP path (driver D01)</t>
        </is>
      </c>
      <c r="H194" s="1233" t="inlineStr">
        <is>
          <t>MOSPI publishes the actuals for every one of these series</t>
        </is>
      </c>
      <c r="I194" s="1233" t="inlineStr">
        <is>
          <t>Infrastructure growth modelled at 1.60x real GDP growth. Central government capital expenditure has compounded far faster than nominal GDP across the National Infrastructure Pipeline period. The beta is held well above 1.0 but below the realised outturn, because the base is now large and the pipeline the model itself uses terminates in FY2031. The beta itself is in K16, so it is a single editable number.</t>
        </is>
      </c>
      <c r="J194" s="1233" t="inlineStr">
        <is>
          <t>Every one of these series is published as an actual by MOSPI, and none is published as a forecast to FY2033 by anybody. The choice was between leaving the row blank - which is what the previous build did - and modelling it off the one macro variable the workbook does source, which is the RBI real GDP path. A beta to GDP is the standard way to carry a derived macro series in an industry model, it is transparent because the multiplier is visible in the cell next to the row, and it cannot go stale because it moves with GDP. Replace the row with MOSPI actuals as they print.</t>
        </is>
      </c>
      <c r="K194" s="1233" t="inlineStr">
        <is>
          <t>Row 13 is the sourced GDP path; the scorecard below and 04 Steel Demand Model both read these rows, so a change here propagates consistently</t>
        </is>
      </c>
      <c r="L194" s="1234" t="inlineStr">
        <is>
          <t>Medium - modelled from a sourced driver, not itself sourced</t>
        </is>
      </c>
      <c r="M194" s="1233" t="inlineStr">
        <is>
          <t>Model Assumptions, this sheet</t>
        </is>
      </c>
      <c r="N194" s="1233" t="inlineStr">
        <is>
          <t>Replace with the MOSPI actual as each series prints</t>
        </is>
      </c>
      <c r="O194" s="1234" t="inlineStr">
        <is>
          <t>FY2026A</t>
        </is>
      </c>
      <c r="P194" s="1233" t="inlineStr">
        <is>
          <t>Populated by modelling rather than left blank; the basis is stated in the Assumption column so it can be replaced with a sourced series when one exists.</t>
        </is>
      </c>
    </row>
    <row r="195" ht="46" customHeight="1" s="632">
      <c r="A195" s="1232" t="inlineStr">
        <is>
          <t>MM04</t>
        </is>
      </c>
      <c r="B195" s="1235" t="inlineStr">
        <is>
          <t>Construction growth</t>
        </is>
      </c>
      <c r="C195" s="1245">
        <f>'Macroeconomic Model'!I17</f>
        <v/>
      </c>
      <c r="D195" s="1236" t="inlineStr">
        <is>
          <t>%</t>
        </is>
      </c>
      <c r="E195" s="1235" t="inlineStr">
        <is>
          <t>Real GDP growth on row 13 multiplied by the beta in K17</t>
        </is>
      </c>
      <c r="F195" s="1235" t="inlineStr">
        <is>
          <t>'=B13*$K$17</t>
        </is>
      </c>
      <c r="G195" s="1235" t="inlineStr">
        <is>
          <t>Modelled: beta applied to the Reserve Bank of India real GDP path (driver D01)</t>
        </is>
      </c>
      <c r="H195" s="1235" t="inlineStr">
        <is>
          <t>MOSPI publishes the actuals for every one of these series</t>
        </is>
      </c>
      <c r="I195" s="1235" t="inlineStr">
        <is>
          <t>Construction growth modelled at 1.30x real GDP growth. Construction GVA has outgrown headline GDP through the housing and infrastructure upcycle but by less than infrastructure alone. The beta itself is in K17, so it is a single editable number.</t>
        </is>
      </c>
      <c r="J195" s="1235" t="inlineStr">
        <is>
          <t>Every one of these series is published as an actual by MOSPI, and none is published as a forecast to FY2033 by anybody. The choice was between leaving the row blank - which is what the previous build did - and modelling it off the one macro variable the workbook does source, which is the RBI real GDP path. A beta to GDP is the standard way to carry a derived macro series in an industry model, it is transparent because the multiplier is visible in the cell next to the row, and it cannot go stale because it moves with GDP. Replace the row with MOSPI actuals as they print.</t>
        </is>
      </c>
      <c r="K195" s="1235" t="inlineStr">
        <is>
          <t>Row 13 is the sourced GDP path; the scorecard below and 04 Steel Demand Model both read these rows, so a change here propagates consistently</t>
        </is>
      </c>
      <c r="L195" s="1236" t="inlineStr">
        <is>
          <t>Medium - modelled from a sourced driver, not itself sourced</t>
        </is>
      </c>
      <c r="M195" s="1235" t="inlineStr">
        <is>
          <t>Model Assumptions, this sheet</t>
        </is>
      </c>
      <c r="N195" s="1235" t="inlineStr">
        <is>
          <t>Replace with the MOSPI actual as each series prints</t>
        </is>
      </c>
      <c r="O195" s="1236" t="inlineStr">
        <is>
          <t>FY2026A</t>
        </is>
      </c>
      <c r="P195" s="1235" t="inlineStr">
        <is>
          <t>Populated by modelling rather than left blank; the basis is stated in the Assumption column so it can be replaced with a sourced series when one exists.</t>
        </is>
      </c>
    </row>
    <row r="196" ht="46" customHeight="1" s="632">
      <c r="A196" s="1232" t="inlineStr">
        <is>
          <t>MM05</t>
        </is>
      </c>
      <c r="B196" s="1233" t="inlineStr">
        <is>
          <t>Auto production growth</t>
        </is>
      </c>
      <c r="C196" s="1244">
        <f>'Macroeconomic Model'!I18</f>
        <v/>
      </c>
      <c r="D196" s="1234" t="inlineStr">
        <is>
          <t>%</t>
        </is>
      </c>
      <c r="E196" s="1233" t="inlineStr">
        <is>
          <t>Real GDP growth on row 13 multiplied by the beta in K18</t>
        </is>
      </c>
      <c r="F196" s="1233" t="inlineStr">
        <is>
          <t>'=B13*$K$18</t>
        </is>
      </c>
      <c r="G196" s="1233" t="inlineStr">
        <is>
          <t>Modelled: beta applied to the Reserve Bank of India real GDP path (driver D01)</t>
        </is>
      </c>
      <c r="H196" s="1233" t="inlineStr">
        <is>
          <t>MOSPI publishes the actuals for every one of these series</t>
        </is>
      </c>
      <c r="I196" s="1233" t="inlineStr">
        <is>
          <t>Automobile production growth modelled at 1.05x real GDP growth. Vehicle output is cyclical around GDP with a mild positive elasticity; it is deliberately NOT given a high beta, because two-wheeler and passenger-vehicle cycles have repeatedly diverged from GDP in both directions. The beta itself is in K18, so it is a single editable number.</t>
        </is>
      </c>
      <c r="J196" s="1233" t="inlineStr">
        <is>
          <t>Every one of these series is published as an actual by MOSPI, and none is published as a forecast to FY2033 by anybody. The choice was between leaving the row blank - which is what the previous build did - and modelling it off the one macro variable the workbook does source, which is the RBI real GDP path. A beta to GDP is the standard way to carry a derived macro series in an industry model, it is transparent because the multiplier is visible in the cell next to the row, and it cannot go stale because it moves with GDP. Replace the row with MOSPI actuals as they print.</t>
        </is>
      </c>
      <c r="K196" s="1233" t="inlineStr">
        <is>
          <t>Row 13 is the sourced GDP path; the scorecard below and 04 Steel Demand Model both read these rows, so a change here propagates consistently</t>
        </is>
      </c>
      <c r="L196" s="1234" t="inlineStr">
        <is>
          <t>Medium - modelled from a sourced driver, not itself sourced</t>
        </is>
      </c>
      <c r="M196" s="1233" t="inlineStr">
        <is>
          <t>Model Assumptions, this sheet</t>
        </is>
      </c>
      <c r="N196" s="1233" t="inlineStr">
        <is>
          <t>Replace with the MOSPI actual as each series prints</t>
        </is>
      </c>
      <c r="O196" s="1234" t="inlineStr">
        <is>
          <t>FY2026A</t>
        </is>
      </c>
      <c r="P196" s="1233" t="inlineStr">
        <is>
          <t>Populated by modelling rather than left blank; the basis is stated in the Assumption column so it can be replaced with a sourced series when one exists.</t>
        </is>
      </c>
    </row>
    <row r="197" ht="46" customHeight="1" s="632">
      <c r="A197" s="1232" t="inlineStr">
        <is>
          <t>MM06</t>
        </is>
      </c>
      <c r="B197" s="1235" t="inlineStr">
        <is>
          <t>WPI inflation</t>
        </is>
      </c>
      <c r="C197" s="1245">
        <f>'Macroeconomic Model'!I20</f>
        <v/>
      </c>
      <c r="D197" s="1236" t="inlineStr">
        <is>
          <t>%</t>
        </is>
      </c>
      <c r="E197" s="1235" t="inlineStr">
        <is>
          <t>CPI inflation on row 19 plus the spread in K20</t>
        </is>
      </c>
      <c r="F197" s="1235" t="inlineStr">
        <is>
          <t>'=B19+$K$20</t>
        </is>
      </c>
      <c r="G197" s="1235" t="inlineStr">
        <is>
          <t>Modelled: spread applied to the Reserve Bank of India CPI path (driver D04)</t>
        </is>
      </c>
      <c r="H197" s="1235" t="inlineStr">
        <is>
          <t>RBI publishes the WPI actual monthly</t>
        </is>
      </c>
      <c r="I197" s="1235" t="inlineStr">
        <is>
          <t>WPI inflation modelled as CPI inflation less 0.8 percentage points. Over the last decade WPI has averaged below CPI because CPI carries a food and beverages weight of roughly 46% while WPI is dominated by manufactured products and fuel. The spread is a long-run average, not a forecast of the gap in any single year - WPI is materially more volatile than CPI and has been both negative and double-digit within the last ten years.</t>
        </is>
      </c>
      <c r="J197" s="1235" t="inlineStr">
        <is>
          <t>RBI publishes WPI as an actual but forecasts only CPI, so a WPI path can only be derived. Carrying it as a spread to the sourced CPI path keeps the two series consistent with each other, which matters because the model indexes conversion cost to CPI: if WPI were entered independently the sheet could show WPI and CPI moving in opposite directions while cost inflation followed neither.</t>
        </is>
      </c>
      <c r="K197" s="1235" t="inlineStr">
        <is>
          <t>Row 19 is the sourced CPI path</t>
        </is>
      </c>
      <c r="L197" s="1236" t="inlineStr">
        <is>
          <t>Low - the CPI-WPI spread is volatile and this is a long-run average</t>
        </is>
      </c>
      <c r="M197" s="1235" t="inlineStr">
        <is>
          <t>Model Assumptions, this sheet</t>
        </is>
      </c>
      <c r="N197" s="1235" t="inlineStr">
        <is>
          <t>Replace with the RBI WPI actual as it prints</t>
        </is>
      </c>
      <c r="O197" s="1236" t="inlineStr">
        <is>
          <t>FY2026A</t>
        </is>
      </c>
      <c r="P197" s="1235" t="inlineStr">
        <is>
          <t>Populated by modelling rather than left blank; the basis is stated in the Assumption column so it can be replaced with a sourced series when one exists.</t>
        </is>
      </c>
    </row>
    <row r="198" ht="46" customHeight="1" s="632">
      <c r="A198" s="1232" t="inlineStr">
        <is>
          <t>MM07</t>
        </is>
      </c>
      <c r="B198" s="1233" t="inlineStr">
        <is>
          <t>Real GDP growth</t>
        </is>
      </c>
      <c r="C198" s="1244">
        <f>'Macroeconomic Model'!I13</f>
        <v/>
      </c>
      <c r="D198" s="1234" t="inlineStr">
        <is>
          <t>%</t>
        </is>
      </c>
      <c r="E198" s="1233" t="inlineStr">
        <is>
          <t>Cross-sheet reference to driver D01</t>
        </is>
      </c>
      <c r="F198" s="1233" t="inlineStr">
        <is>
          <t>'='Model Assumptions'!K8</t>
        </is>
      </c>
      <c r="G198" s="1233" t="inlineStr">
        <is>
          <t>Reserve Bank of India, Monetary Policy Committee statement, 05-Jun-2026</t>
        </is>
      </c>
      <c r="H198" s="1233" t="inlineStr">
        <is>
          <t>IMF World Economic Outlook; Master Industry Database source S45</t>
        </is>
      </c>
      <c r="I198" s="1233" t="inlineStr">
        <is>
          <t>FY2027E adopts the RBI projection of 6.6% unchanged, then converges to a 6.5% steady state by FY2032E.</t>
        </is>
      </c>
      <c r="J198" s="1233" t="inlineStr">
        <is>
          <t>The RBI is the authoritative domestic forecaster and publishes an explicit FY2027 number. Beyond FY2027 no institution publishes an India path, so the model converges rather than extrapolates.</t>
        </is>
      </c>
      <c r="K198" s="1233" t="inlineStr">
        <is>
          <t>FY2026A of 7.6% is the RBI estimate; Q4FY2026 actual was 7.7%</t>
        </is>
      </c>
      <c r="L198" s="1234" t="inlineStr">
        <is>
          <t>High</t>
        </is>
      </c>
      <c r="M198" s="1233" t="inlineStr">
        <is>
          <t>Model Assumptions</t>
        </is>
      </c>
      <c r="N198" s="1233" t="inlineStr">
        <is>
          <t>On each RBI MPC statement (bi-monthly)</t>
        </is>
      </c>
      <c r="O198" s="1234" t="inlineStr">
        <is>
          <t>05-Jun-2026</t>
        </is>
      </c>
      <c r="P198" s="1233" t="inlineStr">
        <is>
          <t>Single source of truth for every volume forecast in the workbook.</t>
        </is>
      </c>
    </row>
    <row r="199" ht="46" customHeight="1" s="632">
      <c r="A199" s="1232" t="inlineStr">
        <is>
          <t>MM08</t>
        </is>
      </c>
      <c r="B199" s="1235" t="inlineStr">
        <is>
          <t>CPI inflation</t>
        </is>
      </c>
      <c r="C199" s="1245">
        <f>'Macroeconomic Model'!I19</f>
        <v/>
      </c>
      <c r="D199" s="1236" t="inlineStr">
        <is>
          <t>%</t>
        </is>
      </c>
      <c r="E199" s="1235" t="inlineStr">
        <is>
          <t>Cross-sheet reference to driver D04</t>
        </is>
      </c>
      <c r="F199" s="1235" t="inlineStr">
        <is>
          <t>'='Model Assumptions'!K$11</t>
        </is>
      </c>
      <c r="G199" s="1235" t="inlineStr">
        <is>
          <t>Reserve Bank of India MPC, 05-Jun-2026</t>
        </is>
      </c>
      <c r="H199" s="1235" t="inlineStr">
        <is>
          <t>Master Industry Database; RBI target band 4% +/- 2%</t>
        </is>
      </c>
      <c r="I199" s="1235" t="inlineStr">
        <is>
          <t>FY2027E 5.1% as projected, converging to the 4.5% mid-point of the target band.</t>
        </is>
      </c>
      <c r="J199" s="1235" t="inlineStr">
        <is>
          <t>The RBI raised its FY2027 projection by 50bps to 5.1% citing crude oil and supply disruption. Convergence to the band mid-point is the RBI's own stated objective.</t>
        </is>
      </c>
      <c r="K199" s="1235" t="inlineStr">
        <is>
          <t>Drives driver D12 conversion cost inflation and the discount rate</t>
        </is>
      </c>
      <c r="L199" s="1236" t="inlineStr">
        <is>
          <t>High</t>
        </is>
      </c>
      <c r="M199" s="1235" t="inlineStr">
        <is>
          <t>Model Assumptions</t>
        </is>
      </c>
      <c r="N199" s="1235" t="inlineStr">
        <is>
          <t>On each RBI MPC statement</t>
        </is>
      </c>
      <c r="O199" s="1236" t="inlineStr">
        <is>
          <t>05-Jun-2026</t>
        </is>
      </c>
      <c r="P199" s="1235" t="inlineStr">
        <is>
          <t>Was blank.</t>
        </is>
      </c>
    </row>
    <row r="200" ht="46" customHeight="1" s="632">
      <c r="A200" s="1232" t="inlineStr">
        <is>
          <t>MM09</t>
        </is>
      </c>
      <c r="B200" s="1233" t="inlineStr">
        <is>
          <t>Policy repo rate</t>
        </is>
      </c>
      <c r="C200" s="1246">
        <f>'Macroeconomic Model'!B21</f>
        <v/>
      </c>
      <c r="D200" s="1234" t="inlineStr">
        <is>
          <t>%</t>
        </is>
      </c>
      <c r="E200" s="1233" t="inlineStr">
        <is>
          <t>Manual input, sourced observation held flat across the horizon</t>
        </is>
      </c>
      <c r="F200" s="1233" t="inlineStr">
        <is>
          <t>'=$B$21 (held flat)</t>
        </is>
      </c>
      <c r="G200" s="1233" t="inlineStr">
        <is>
          <t>Reserve Bank of India MPC, 05-Jun-2026 - repo held at 5.25%</t>
        </is>
      </c>
      <c r="H200" s="1233" t="inlineStr">
        <is>
          <t>02 Model Assumptions section D records the same observation alongside the 10-year G-sec of 6.833% at 31-Jul-2026</t>
        </is>
      </c>
      <c r="I200" s="1233" t="inlineStr">
        <is>
          <t>Held flat. No policy-rate path is forecast.</t>
        </is>
      </c>
      <c r="J200" s="1233" t="inlineStr">
        <is>
          <t>The same convention the model already applies to the 10-year G-sec on row 108 of the research block: a term-structure or policy-rate forecast is not attempted, so the last observed print is carried forward and labelled as such.</t>
        </is>
      </c>
      <c r="K200" s="1233" t="inlineStr">
        <is>
          <t>Consistent with the 6.833% 10-year G-sec used as the risk-free rate in the WACC build-up</t>
        </is>
      </c>
      <c r="L200" s="1234" t="inlineStr">
        <is>
          <t>High for FY2026A, Low for the forecast years</t>
        </is>
      </c>
      <c r="M200" s="1233" t="inlineStr">
        <is>
          <t>Model Assumptions</t>
        </is>
      </c>
      <c r="N200" s="1233" t="inlineStr">
        <is>
          <t>On each RBI MPC statement (bi-monthly)</t>
        </is>
      </c>
      <c r="O200" s="1234" t="inlineStr">
        <is>
          <t>05-Jun-2026</t>
        </is>
      </c>
      <c r="P200" s="1233" t="inlineStr">
        <is>
          <t>Not used downstream. Carried as a macro reference and for the interest-rate score below.</t>
        </is>
      </c>
    </row>
    <row r="201" ht="46" customHeight="1" s="632">
      <c r="A201" s="1232" t="inlineStr">
        <is>
          <t>MM10</t>
        </is>
      </c>
      <c r="B201" s="1235" t="inlineStr">
        <is>
          <t>Brent crude</t>
        </is>
      </c>
      <c r="C201" s="1247">
        <f>'Macroeconomic Model'!B23</f>
        <v/>
      </c>
      <c r="D201" s="1236" t="inlineStr">
        <is>
          <t>US$/bbl</t>
        </is>
      </c>
      <c r="E201" s="1235" t="inlineStr">
        <is>
          <t>Manual input, sourced observation held flat across the horizon</t>
        </is>
      </c>
      <c r="F201" s="1235" t="inlineStr">
        <is>
          <t>'=$B$23 (held flat)</t>
        </is>
      </c>
      <c r="G201" s="1235" t="inlineStr">
        <is>
          <t>IDBI Capital Commodity Price Update, week ended 22-Jun-2026 - Brent US$79/bbl</t>
        </is>
      </c>
      <c r="H201" s="1235" t="inlineStr">
        <is>
          <t>Master Industry Database source S21 input-cost deck</t>
        </is>
      </c>
      <c r="I201" s="1235" t="inlineStr">
        <is>
          <t>Held flat. No oil price forecast is attempted.</t>
        </is>
      </c>
      <c r="J201" s="1235" t="inlineStr">
        <is>
          <t>Brent is not a driver of this model; it is carried because it is the RBI's stated swing factor for both GDP and CPI. Holding a market print flat is disclosed rather than dressed up as a forecast.</t>
        </is>
      </c>
      <c r="K201" s="1235" t="inlineStr">
        <is>
          <t>The RBI cited energy prices as the reason for cutting FY2027 GDP to 6.6%</t>
        </is>
      </c>
      <c r="L201" s="1236" t="inlineStr">
        <is>
          <t>High for the spot print, n/a for the forecast years</t>
        </is>
      </c>
      <c r="M201" s="1235" t="inlineStr">
        <is>
          <t>This sheet</t>
        </is>
      </c>
      <c r="N201" s="1235" t="inlineStr">
        <is>
          <t>Daily market data; refresh from Bloomberg or Refinitiv</t>
        </is>
      </c>
      <c r="O201" s="1236" t="inlineStr">
        <is>
          <t>22-Jun-2026</t>
        </is>
      </c>
      <c r="P201" s="1235" t="inlineStr">
        <is>
          <t>Was blank.</t>
        </is>
      </c>
    </row>
    <row r="202" ht="46" customHeight="1" s="632">
      <c r="A202" s="1232" t="inlineStr">
        <is>
          <t>MM11</t>
        </is>
      </c>
      <c r="B202" s="1233" t="inlineStr">
        <is>
          <t>USD/INR</t>
        </is>
      </c>
      <c r="C202" s="1248">
        <f>'Macroeconomic Model'!I22</f>
        <v/>
      </c>
      <c r="D202" s="1234" t="inlineStr">
        <is>
          <t>Rs/US$</t>
        </is>
      </c>
      <c r="E202" s="1233" t="inlineStr">
        <is>
          <t>Cross-sheet reference to driver D03</t>
        </is>
      </c>
      <c r="F202" s="1233" t="inlineStr">
        <is>
          <t>'='Model Assumptions'!K$10</t>
        </is>
      </c>
      <c r="G202" s="1233" t="inlineStr">
        <is>
          <t>IDBI Capital, 22-Jun-2026 - spot 94, 52-week range 85 to 98</t>
        </is>
      </c>
      <c r="H202" s="1233" t="inlineStr">
        <is>
          <t>FY2026 average of 88.4 derived from Tata Steel's dual-currency disclosure</t>
        </is>
      </c>
      <c r="I202" s="1233" t="inlineStr">
        <is>
          <t>Gradual depreciation to 100.5 by FY2033E in the base case.</t>
        </is>
      </c>
      <c r="J202" s="1233" t="inlineStr">
        <is>
          <t>The second largest single driver of FY2033E EBITDA. Iron ore and coking coal are dollar-denominated while realisation is in rupees, so depreciation is unambiguously margin-negative.</t>
        </is>
      </c>
      <c r="K202" s="1233" t="inlineStr">
        <is>
          <t>22 Sensitivity Analysis row 98 quantifies a 10% adverse move at -23.7% of FY2033E EBITDA</t>
        </is>
      </c>
      <c r="L202" s="1234" t="inlineStr">
        <is>
          <t>High</t>
        </is>
      </c>
      <c r="M202" s="1233" t="inlineStr">
        <is>
          <t>Model Assumptions</t>
        </is>
      </c>
      <c r="N202" s="1233" t="inlineStr">
        <is>
          <t>Quarterly, or on any material move</t>
        </is>
      </c>
      <c r="O202" s="1234" t="inlineStr">
        <is>
          <t>22-Jun-2026</t>
        </is>
      </c>
      <c r="P202" s="1233" t="inlineStr">
        <is>
          <t>Was blank.</t>
        </is>
      </c>
    </row>
    <row r="203" ht="46" customHeight="1" s="632">
      <c r="A203" s="1232" t="inlineStr">
        <is>
          <t>MM12</t>
        </is>
      </c>
      <c r="B203" s="1235" t="inlineStr">
        <is>
          <t>Economic scorecard - GDP</t>
        </is>
      </c>
      <c r="C203" s="1249">
        <f>'Macroeconomic Model'!C28</f>
        <v/>
      </c>
      <c r="D203" s="1236" t="inlineStr">
        <is>
          <t>score 0-100</t>
        </is>
      </c>
      <c r="E203" s="1235" t="inlineStr">
        <is>
          <t>Real GDP growth scored on a 4.0% to 9.0% band</t>
        </is>
      </c>
      <c r="F203" s="1235" t="inlineStr">
        <is>
          <t>'=MIN(100,MAX(0,('Model Assumptions'!$E$8-4%)/5%*100))</t>
        </is>
      </c>
      <c r="G203" s="1235" t="inlineStr">
        <is>
          <t>Computed from the model drivers</t>
        </is>
      </c>
      <c r="H203" s="1235" t="inlineStr">
        <is>
          <t>02 Model Assumptions</t>
        </is>
      </c>
      <c r="I203" s="1235" t="inlineStr">
        <is>
          <t>The scoring BANDS are the modeller's framework and are stated in the formula so they are auditable; the INPUTS are sourced.</t>
        </is>
      </c>
      <c r="J203" s="1235" t="inlineStr">
        <is>
          <t>The band spans the FY2021 COVID contraction recovery floor and the strongest post-liberalisation prints. FY2027E of 6.6% scores 52. SIMPLIFIED - the clamp was MEDIAN(0,100,x), which is compact but reads as a statistic rather than as a limit; MIN(100,MAX(0,x)) says "not below nought, not above a hundred" in the order you read it. The band edges are written as percentages rather than decimals so they match the units of the cell they are compared against.</t>
        </is>
      </c>
      <c r="K203" s="1235" t="inlineStr">
        <is>
          <t>Weights in column B sum to 1.00 across rows 28 to 34</t>
        </is>
      </c>
      <c r="L203" s="1236" t="inlineStr">
        <is>
          <t>Medium</t>
        </is>
      </c>
      <c r="M203" s="1235" t="inlineStr">
        <is>
          <t>Model Assumptions</t>
        </is>
      </c>
      <c r="N203" s="1235" t="inlineStr">
        <is>
          <t>Live</t>
        </is>
      </c>
      <c r="O203" s="1236" t="inlineStr">
        <is>
          <t>Live</t>
        </is>
      </c>
      <c r="P203" s="1235" t="inlineStr">
        <is>
          <t>Was blank.</t>
        </is>
      </c>
    </row>
    <row r="204" ht="46" customHeight="1" s="632">
      <c r="A204" s="1232" t="inlineStr">
        <is>
          <t>MM13</t>
        </is>
      </c>
      <c r="B204" s="1233" t="inlineStr">
        <is>
          <t>Economic scorecard - Interest Rate</t>
        </is>
      </c>
      <c r="C204" s="1250">
        <f>'Macroeconomic Model'!C33</f>
        <v/>
      </c>
      <c r="D204" s="1234" t="inlineStr">
        <is>
          <t>score 0-100</t>
        </is>
      </c>
      <c r="E204" s="1233" t="inlineStr">
        <is>
          <t>Risk-free rate scored INVERSELY on a 5.0% to 9.0% band</t>
        </is>
      </c>
      <c r="F204" s="1233" t="inlineStr">
        <is>
          <t>'=MIN(100,MAX(0,(9%-'Model Assumptions'!$D$159)/4%*100))</t>
        </is>
      </c>
      <c r="G204" s="1233" t="inlineStr">
        <is>
          <t>Computed from the model drivers</t>
        </is>
      </c>
      <c r="H204" s="1233" t="inlineStr">
        <is>
          <t>02 Model Assumptions</t>
        </is>
      </c>
      <c r="I204" s="1233" t="inlineStr">
        <is>
          <t>The scoring BANDS are the modeller's framework and are stated in the formula so they are auditable; the INPUTS are sourced.</t>
        </is>
      </c>
      <c r="J204" s="1233" t="inlineStr">
        <is>
          <t>A lower yield is better for a capital-intensive industry. The 10-year G-sec of 6.833% scores 54. SIMPLIFIED - MEDIAN clamp replaced by MIN/MAX; band edges written as percentages.</t>
        </is>
      </c>
      <c r="K204" s="1233" t="inlineStr">
        <is>
          <t>Weights in column B sum to 1.00 across rows 28 to 34</t>
        </is>
      </c>
      <c r="L204" s="1234" t="inlineStr">
        <is>
          <t>Medium</t>
        </is>
      </c>
      <c r="M204" s="1233" t="inlineStr">
        <is>
          <t>Model Assumptions</t>
        </is>
      </c>
      <c r="N204" s="1233" t="inlineStr">
        <is>
          <t>Live</t>
        </is>
      </c>
      <c r="O204" s="1234" t="inlineStr">
        <is>
          <t>Live</t>
        </is>
      </c>
      <c r="P204" s="1233" t="inlineStr">
        <is>
          <t>Was blank.</t>
        </is>
      </c>
    </row>
    <row r="205" ht="46" customHeight="1" s="632">
      <c r="A205" s="1232" t="inlineStr">
        <is>
          <t>MM14</t>
        </is>
      </c>
      <c r="B205" s="1235" t="inlineStr">
        <is>
          <t>Economic scorecard - Inflation</t>
        </is>
      </c>
      <c r="C205" s="1249">
        <f>'Macroeconomic Model'!C34</f>
        <v/>
      </c>
      <c r="D205" s="1236" t="inlineStr">
        <is>
          <t>score 0-100</t>
        </is>
      </c>
      <c r="E205" s="1235" t="inlineStr">
        <is>
          <t>CPI inflation scored INVERSELY on a 2.0% to 8.0% band</t>
        </is>
      </c>
      <c r="F205" s="1235" t="inlineStr">
        <is>
          <t>'=MIN(100,MAX(0,(8%-'Model Assumptions'!$E$11)/6%*100))</t>
        </is>
      </c>
      <c r="G205" s="1235" t="inlineStr">
        <is>
          <t>Computed from the model drivers</t>
        </is>
      </c>
      <c r="H205" s="1235" t="inlineStr">
        <is>
          <t>02 Model Assumptions</t>
        </is>
      </c>
      <c r="I205" s="1235" t="inlineStr">
        <is>
          <t>The scoring BANDS are the modeller's framework and are stated in the formula so they are auditable; the INPUTS are sourced.</t>
        </is>
      </c>
      <c r="J205" s="1235" t="inlineStr">
        <is>
          <t>The band is the RBI target band widened by one percentage point either side. FY2027E of 5.1% scores 48. SIMPLIFIED - MEDIAN clamp replaced by MIN/MAX; band edges written as percentages.</t>
        </is>
      </c>
      <c r="K205" s="1235" t="inlineStr">
        <is>
          <t>Weights in column B sum to 1.00 across rows 28 to 34</t>
        </is>
      </c>
      <c r="L205" s="1236" t="inlineStr">
        <is>
          <t>Medium</t>
        </is>
      </c>
      <c r="M205" s="1235" t="inlineStr">
        <is>
          <t>Model Assumptions</t>
        </is>
      </c>
      <c r="N205" s="1235" t="inlineStr">
        <is>
          <t>Live</t>
        </is>
      </c>
      <c r="O205" s="1236" t="inlineStr">
        <is>
          <t>Live</t>
        </is>
      </c>
      <c r="P205" s="1235" t="inlineStr">
        <is>
          <t>Was blank.</t>
        </is>
      </c>
    </row>
    <row r="206" ht="46" customHeight="1" s="632">
      <c r="A206" s="1232" t="inlineStr">
        <is>
          <t>MM15</t>
        </is>
      </c>
      <c r="B206" s="1233" t="inlineStr">
        <is>
          <t>Economic scorecard - Infrastructure</t>
        </is>
      </c>
      <c r="C206" s="1250">
        <f>'Macroeconomic Model'!C29</f>
        <v/>
      </c>
      <c r="D206" s="1234" t="inlineStr">
        <is>
          <t>score 0-100</t>
        </is>
      </c>
      <c r="E206" s="1233" t="inlineStr">
        <is>
          <t>Row 16 normalised onto the band, clamped to 0-100 with MIN/MAX</t>
        </is>
      </c>
      <c r="F206" s="1233" t="inlineStr">
        <is>
          <t>'=MIN(100,MAX(0,(C16-4%)/10%*100))</t>
        </is>
      </c>
      <c r="G206" s="1233" t="inlineStr">
        <is>
          <t>Computed from the modelled growth series on this sheet</t>
        </is>
      </c>
      <c r="H206" s="1233" t="inlineStr">
        <is>
          <t>02 Model Assumptions supplies the sourced GDP and CPI paths underneath</t>
        </is>
      </c>
      <c r="I206" s="1233" t="inlineStr">
        <is>
          <t>Infrastructure growth scored on a 4% to 14% band, the same normalisation the GDP, interest-rate and inflation rows already use. The band is the modeller's framework and is written inside the formula so it is auditable.</t>
        </is>
      </c>
      <c r="J206" s="1233" t="inlineStr">
        <is>
          <t>These four scorecard rows were blank only because the growth series they score were blank. Now that row 16 carries a modelled path, the score follows arithmetically and the weights in column B - which sum to 1.00 across rows 28 to 34 - actually add up to a complete scorecard. A scorecard with four of its seven rows empty was worse than useless: the weights implied a total that could not be struck.</t>
        </is>
      </c>
      <c r="K206" s="1233" t="inlineStr">
        <is>
          <t>Weights in column B sum to 1.00 across rows 28 to 34</t>
        </is>
      </c>
      <c r="L206" s="1234" t="inlineStr">
        <is>
          <t>Medium - the band is a framework and the input is modelled</t>
        </is>
      </c>
      <c r="M206" s="1233" t="inlineStr">
        <is>
          <t>This sheet</t>
        </is>
      </c>
      <c r="N206" s="1233" t="inlineStr">
        <is>
          <t>Live</t>
        </is>
      </c>
      <c r="O206" s="1234" t="inlineStr">
        <is>
          <t>FY2026A</t>
        </is>
      </c>
      <c r="P206" s="1233" t="inlineStr">
        <is>
          <t>Populated by modelling rather than left blank; the basis is stated in the Assumption column so it can be replaced with a sourced series when one exists.</t>
        </is>
      </c>
    </row>
    <row r="207" ht="46" customHeight="1" s="632">
      <c r="A207" s="1232" t="inlineStr">
        <is>
          <t>MM16</t>
        </is>
      </c>
      <c r="B207" s="1235" t="inlineStr">
        <is>
          <t>Economic scorecard - Manufacturing</t>
        </is>
      </c>
      <c r="C207" s="1249">
        <f>'Macroeconomic Model'!C30</f>
        <v/>
      </c>
      <c r="D207" s="1236" t="inlineStr">
        <is>
          <t>score 0-100</t>
        </is>
      </c>
      <c r="E207" s="1235" t="inlineStr">
        <is>
          <t>Row 15 normalised onto the band, clamped to 0-100 with MIN/MAX</t>
        </is>
      </c>
      <c r="F207" s="1235" t="inlineStr">
        <is>
          <t>'=MIN(100,MAX(0,(C15-2%)/8%*100))</t>
        </is>
      </c>
      <c r="G207" s="1235" t="inlineStr">
        <is>
          <t>Computed from the modelled growth series on this sheet</t>
        </is>
      </c>
      <c r="H207" s="1235" t="inlineStr">
        <is>
          <t>02 Model Assumptions supplies the sourced GDP and CPI paths underneath</t>
        </is>
      </c>
      <c r="I207" s="1235" t="inlineStr">
        <is>
          <t>Manufacturing growth scored on a 2% to 10% band, the same normalisation the GDP, interest-rate and inflation rows already use. The band is the modeller's framework and is written inside the formula so it is auditable.</t>
        </is>
      </c>
      <c r="J207" s="1235" t="inlineStr">
        <is>
          <t>These four scorecard rows were blank only because the growth series they score were blank. Now that row 15 carries a modelled path, the score follows arithmetically and the weights in column B - which sum to 1.00 across rows 28 to 34 - actually add up to a complete scorecard. A scorecard with four of its seven rows empty was worse than useless: the weights implied a total that could not be struck.</t>
        </is>
      </c>
      <c r="K207" s="1235" t="inlineStr">
        <is>
          <t>Weights in column B sum to 1.00 across rows 28 to 34</t>
        </is>
      </c>
      <c r="L207" s="1236" t="inlineStr">
        <is>
          <t>Medium - the band is a framework and the input is modelled</t>
        </is>
      </c>
      <c r="M207" s="1235" t="inlineStr">
        <is>
          <t>This sheet</t>
        </is>
      </c>
      <c r="N207" s="1235" t="inlineStr">
        <is>
          <t>Live</t>
        </is>
      </c>
      <c r="O207" s="1236" t="inlineStr">
        <is>
          <t>FY2026A</t>
        </is>
      </c>
      <c r="P207" s="1235" t="inlineStr">
        <is>
          <t>Populated by modelling rather than left blank; the basis is stated in the Assumption column so it can be replaced with a sourced series when one exists.</t>
        </is>
      </c>
    </row>
    <row r="208" ht="46" customHeight="1" s="632">
      <c r="A208" s="1232" t="inlineStr">
        <is>
          <t>MM17</t>
        </is>
      </c>
      <c r="B208" s="1233" t="inlineStr">
        <is>
          <t>Economic scorecard - Construction</t>
        </is>
      </c>
      <c r="C208" s="1250">
        <f>'Macroeconomic Model'!C31</f>
        <v/>
      </c>
      <c r="D208" s="1234" t="inlineStr">
        <is>
          <t>score 0-100</t>
        </is>
      </c>
      <c r="E208" s="1233" t="inlineStr">
        <is>
          <t>Row 17 normalised onto the band, clamped to 0-100 with MIN/MAX</t>
        </is>
      </c>
      <c r="F208" s="1233" t="inlineStr">
        <is>
          <t>'=MIN(100,MAX(0,(C17-2%)/10%*100))</t>
        </is>
      </c>
      <c r="G208" s="1233" t="inlineStr">
        <is>
          <t>Computed from the modelled growth series on this sheet</t>
        </is>
      </c>
      <c r="H208" s="1233" t="inlineStr">
        <is>
          <t>02 Model Assumptions supplies the sourced GDP and CPI paths underneath</t>
        </is>
      </c>
      <c r="I208" s="1233" t="inlineStr">
        <is>
          <t>Construction growth scored on a 2% to 12% band, the same normalisation the GDP, interest-rate and inflation rows already use. The band is the modeller's framework and is written inside the formula so it is auditable.</t>
        </is>
      </c>
      <c r="J208" s="1233" t="inlineStr">
        <is>
          <t>These four scorecard rows were blank only because the growth series they score were blank. Now that row 17 carries a modelled path, the score follows arithmetically and the weights in column B - which sum to 1.00 across rows 28 to 34 - actually add up to a complete scorecard. A scorecard with four of its seven rows empty was worse than useless: the weights implied a total that could not be struck.</t>
        </is>
      </c>
      <c r="K208" s="1233" t="inlineStr">
        <is>
          <t>Weights in column B sum to 1.00 across rows 28 to 34</t>
        </is>
      </c>
      <c r="L208" s="1234" t="inlineStr">
        <is>
          <t>Medium - the band is a framework and the input is modelled</t>
        </is>
      </c>
      <c r="M208" s="1233" t="inlineStr">
        <is>
          <t>This sheet</t>
        </is>
      </c>
      <c r="N208" s="1233" t="inlineStr">
        <is>
          <t>Live</t>
        </is>
      </c>
      <c r="O208" s="1234" t="inlineStr">
        <is>
          <t>FY2026A</t>
        </is>
      </c>
      <c r="P208" s="1233" t="inlineStr">
        <is>
          <t>Populated by modelling rather than left blank; the basis is stated in the Assumption column so it can be replaced with a sourced series when one exists.</t>
        </is>
      </c>
    </row>
    <row r="209" ht="46" customHeight="1" s="632">
      <c r="A209" s="1232" t="inlineStr">
        <is>
          <t>MM18</t>
        </is>
      </c>
      <c r="B209" s="1235" t="inlineStr">
        <is>
          <t>Economic scorecard - Automobile</t>
        </is>
      </c>
      <c r="C209" s="1249">
        <f>'Macroeconomic Model'!C32</f>
        <v/>
      </c>
      <c r="D209" s="1236" t="inlineStr">
        <is>
          <t>score 0-100</t>
        </is>
      </c>
      <c r="E209" s="1235" t="inlineStr">
        <is>
          <t>Row 18 normalised onto the band, clamped to 0-100 with MIN/MAX</t>
        </is>
      </c>
      <c r="F209" s="1235" t="inlineStr">
        <is>
          <t>'=MIN(100,MAX(0,(C18-0%)/12%*100))</t>
        </is>
      </c>
      <c r="G209" s="1235" t="inlineStr">
        <is>
          <t>Computed from the modelled growth series on this sheet</t>
        </is>
      </c>
      <c r="H209" s="1235" t="inlineStr">
        <is>
          <t>02 Model Assumptions supplies the sourced GDP and CPI paths underneath</t>
        </is>
      </c>
      <c r="I209" s="1235" t="inlineStr">
        <is>
          <t>Automobile growth scored on a 0% to 12% band, the same normalisation the GDP, interest-rate and inflation rows already use. The band is the modeller's framework and is written inside the formula so it is auditable.</t>
        </is>
      </c>
      <c r="J209" s="1235" t="inlineStr">
        <is>
          <t>These four scorecard rows were blank only because the growth series they score were blank. Now that row 18 carries a modelled path, the score follows arithmetically and the weights in column B - which sum to 1.00 across rows 28 to 34 - actually add up to a complete scorecard. A scorecard with four of its seven rows empty was worse than useless: the weights implied a total that could not be struck.</t>
        </is>
      </c>
      <c r="K209" s="1235" t="inlineStr">
        <is>
          <t>Weights in column B sum to 1.00 across rows 28 to 34</t>
        </is>
      </c>
      <c r="L209" s="1236" t="inlineStr">
        <is>
          <t>Medium - the band is a framework and the input is modelled</t>
        </is>
      </c>
      <c r="M209" s="1235" t="inlineStr">
        <is>
          <t>This sheet</t>
        </is>
      </c>
      <c r="N209" s="1235" t="inlineStr">
        <is>
          <t>Live</t>
        </is>
      </c>
      <c r="O209" s="1236" t="inlineStr">
        <is>
          <t>FY2026A</t>
        </is>
      </c>
      <c r="P209" s="1235" t="inlineStr">
        <is>
          <t>Populated by modelling rather than left blank; the basis is stated in the Assumption column so it can be replaced with a sourced series when one exists.</t>
        </is>
      </c>
    </row>
    <row r="210" ht="46" customHeight="1" s="632">
      <c r="A210" s="1232" t="inlineStr">
        <is>
          <t>MM19</t>
        </is>
      </c>
      <c r="B210" s="1233" t="inlineStr">
        <is>
          <t>Macro driver of steel demand - Construction</t>
        </is>
      </c>
      <c r="C210" s="1244">
        <f>'Macroeconomic Model'!I39</f>
        <v/>
      </c>
      <c r="D210" s="1234" t="inlineStr">
        <is>
          <t>%</t>
        </is>
      </c>
      <c r="E210" s="1233" t="inlineStr">
        <is>
          <t>Real GDP growth on row 13 multiplied by the sector beta in K39</t>
        </is>
      </c>
      <c r="F210" s="1233" t="inlineStr">
        <is>
          <t>'=C13*$K$39</t>
        </is>
      </c>
      <c r="G210" s="1233" t="inlineStr">
        <is>
          <t>Modelled: beta applied to the RBI real GDP path (driver D01)</t>
        </is>
      </c>
      <c r="H210" s="1233" t="inlineStr">
        <is>
          <t>Consistent with the same betas used on rows 14 to 18 above</t>
        </is>
      </c>
      <c r="I210" s="1233" t="inlineStr">
        <is>
          <t>Construction growth modelled at 1.30x real GDP growth. Construction GVA has outgrown headline GDP through the housing and infrastructure upcycle but by less than infrastructure alone.</t>
        </is>
      </c>
      <c r="J210" s="1233" t="inlineStr">
        <is>
          <t>Sector growth rates modelled as betas to the sourced real GDP path, with the beta visible in K39. The qualitative steel-demand sensitivity already in column B is the owner's judgement and is untouched; this table now puts a number against it. These rows are PRESENTATIONAL - the demand forecast itself runs off the single GDP-times-elasticity link on 04 Steel Demand Model, so nothing here can quietly move the volume build.</t>
        </is>
      </c>
      <c r="K210" s="1233" t="inlineStr">
        <is>
          <t>Uses identical betas to the executive summary rows above, so the two tables agree</t>
        </is>
      </c>
      <c r="L210" s="1234" t="inlineStr">
        <is>
          <t>Medium - modelled from a sourced driver</t>
        </is>
      </c>
      <c r="M210" s="1233" t="inlineStr">
        <is>
          <t>This sheet</t>
        </is>
      </c>
      <c r="N210" s="1233" t="inlineStr">
        <is>
          <t>Review annually against MOSPI sector GVA prints</t>
        </is>
      </c>
      <c r="O210" s="1234" t="inlineStr">
        <is>
          <t>FY2026A</t>
        </is>
      </c>
      <c r="P210" s="1233" t="inlineStr">
        <is>
          <t>Populated by modelling rather than left blank; the basis is stated in the Assumption column so it can be replaced with a sourced series when one exists.</t>
        </is>
      </c>
    </row>
    <row r="211" ht="46" customHeight="1" s="632">
      <c r="A211" s="1232" t="inlineStr">
        <is>
          <t>MM20</t>
        </is>
      </c>
      <c r="B211" s="1235" t="inlineStr">
        <is>
          <t>Macro driver of steel demand - Infrastructure</t>
        </is>
      </c>
      <c r="C211" s="1245">
        <f>'Macroeconomic Model'!I40</f>
        <v/>
      </c>
      <c r="D211" s="1236" t="inlineStr">
        <is>
          <t>%</t>
        </is>
      </c>
      <c r="E211" s="1235" t="inlineStr">
        <is>
          <t>Real GDP growth on row 13 multiplied by the sector beta in K40</t>
        </is>
      </c>
      <c r="F211" s="1235" t="inlineStr">
        <is>
          <t>'=C13*$K$40</t>
        </is>
      </c>
      <c r="G211" s="1235" t="inlineStr">
        <is>
          <t>Modelled: beta applied to the RBI real GDP path (driver D01)</t>
        </is>
      </c>
      <c r="H211" s="1235" t="inlineStr">
        <is>
          <t>Consistent with the same betas used on rows 14 to 18 above</t>
        </is>
      </c>
      <c r="I211" s="1235" t="inlineStr">
        <is>
          <t>Infrastructure growth modelled at 1.60x real GDP growth. Central government capital expenditure has compounded far faster than nominal GDP across the National Infrastructure Pipeline period. The beta is held well above 1.0 but below the realised outturn, because the base is now large and the pipeline the model itself uses terminates in FY2031.</t>
        </is>
      </c>
      <c r="J211" s="1235" t="inlineStr">
        <is>
          <t>Sector growth rates modelled as betas to the sourced real GDP path, with the beta visible in K40. The qualitative steel-demand sensitivity already in column B is the owner's judgement and is untouched; this table now puts a number against it. These rows are PRESENTATIONAL - the demand forecast itself runs off the single GDP-times-elasticity link on 04 Steel Demand Model, so nothing here can quietly move the volume build.</t>
        </is>
      </c>
      <c r="K211" s="1235" t="inlineStr">
        <is>
          <t>Uses identical betas to the executive summary rows above, so the two tables agree</t>
        </is>
      </c>
      <c r="L211" s="1236" t="inlineStr">
        <is>
          <t>Medium - modelled from a sourced driver</t>
        </is>
      </c>
      <c r="M211" s="1235" t="inlineStr">
        <is>
          <t>This sheet</t>
        </is>
      </c>
      <c r="N211" s="1235" t="inlineStr">
        <is>
          <t>Review annually against MOSPI sector GVA prints</t>
        </is>
      </c>
      <c r="O211" s="1236" t="inlineStr">
        <is>
          <t>FY2026A</t>
        </is>
      </c>
      <c r="P211" s="1235" t="inlineStr">
        <is>
          <t>Populated by modelling rather than left blank; the basis is stated in the Assumption column so it can be replaced with a sourced series when one exists.</t>
        </is>
      </c>
    </row>
    <row r="212" ht="46" customHeight="1" s="632">
      <c r="A212" s="1232" t="inlineStr">
        <is>
          <t>MM21</t>
        </is>
      </c>
      <c r="B212" s="1233" t="inlineStr">
        <is>
          <t>Macro driver of steel demand - Automotive</t>
        </is>
      </c>
      <c r="C212" s="1244">
        <f>'Macroeconomic Model'!I41</f>
        <v/>
      </c>
      <c r="D212" s="1234" t="inlineStr">
        <is>
          <t>%</t>
        </is>
      </c>
      <c r="E212" s="1233" t="inlineStr">
        <is>
          <t>Real GDP growth on row 13 multiplied by the sector beta in K41</t>
        </is>
      </c>
      <c r="F212" s="1233" t="inlineStr">
        <is>
          <t>'=C13*$K$41</t>
        </is>
      </c>
      <c r="G212" s="1233" t="inlineStr">
        <is>
          <t>Modelled: beta applied to the RBI real GDP path (driver D01)</t>
        </is>
      </c>
      <c r="H212" s="1233" t="inlineStr">
        <is>
          <t>Consistent with the same betas used on rows 14 to 18 above</t>
        </is>
      </c>
      <c r="I212" s="1233" t="inlineStr">
        <is>
          <t>Automobile production growth modelled at 1.05x real GDP growth. Vehicle output is cyclical around GDP with a mild positive elasticity; it is deliberately NOT given a high beta, because two-wheeler and passenger-vehicle cycles have repeatedly diverged from GDP in both directions.</t>
        </is>
      </c>
      <c r="J212" s="1233" t="inlineStr">
        <is>
          <t>Sector growth rates modelled as betas to the sourced real GDP path, with the beta visible in K41. The qualitative steel-demand sensitivity already in column B is the owner's judgement and is untouched; this table now puts a number against it. These rows are PRESENTATIONAL - the demand forecast itself runs off the single GDP-times-elasticity link on 04 Steel Demand Model, so nothing here can quietly move the volume build.</t>
        </is>
      </c>
      <c r="K212" s="1233" t="inlineStr">
        <is>
          <t>Uses identical betas to the executive summary rows above, so the two tables agree</t>
        </is>
      </c>
      <c r="L212" s="1234" t="inlineStr">
        <is>
          <t>Medium - modelled from a sourced driver</t>
        </is>
      </c>
      <c r="M212" s="1233" t="inlineStr">
        <is>
          <t>This sheet</t>
        </is>
      </c>
      <c r="N212" s="1233" t="inlineStr">
        <is>
          <t>Review annually against MOSPI sector GVA prints</t>
        </is>
      </c>
      <c r="O212" s="1234" t="inlineStr">
        <is>
          <t>FY2026A</t>
        </is>
      </c>
      <c r="P212" s="1233" t="inlineStr">
        <is>
          <t>Populated by modelling rather than left blank; the basis is stated in the Assumption column so it can be replaced with a sourced series when one exists.</t>
        </is>
      </c>
    </row>
    <row r="213" ht="46" customHeight="1" s="632">
      <c r="A213" s="1232" t="inlineStr">
        <is>
          <t>MM22</t>
        </is>
      </c>
      <c r="B213" s="1235" t="inlineStr">
        <is>
          <t>Macro driver of steel demand - Engineering</t>
        </is>
      </c>
      <c r="C213" s="1245">
        <f>'Macroeconomic Model'!I42</f>
        <v/>
      </c>
      <c r="D213" s="1236" t="inlineStr">
        <is>
          <t>%</t>
        </is>
      </c>
      <c r="E213" s="1235" t="inlineStr">
        <is>
          <t>Real GDP growth on row 13 multiplied by the sector beta in K42</t>
        </is>
      </c>
      <c r="F213" s="1235" t="inlineStr">
        <is>
          <t>'=C13*$K$42</t>
        </is>
      </c>
      <c r="G213" s="1235" t="inlineStr">
        <is>
          <t>Modelled: beta applied to the RBI real GDP path (driver D01)</t>
        </is>
      </c>
      <c r="H213" s="1235" t="inlineStr">
        <is>
          <t>Consistent with the same betas used on rows 14 to 18 above</t>
        </is>
      </c>
      <c r="I213" s="1235" t="inlineStr">
        <is>
          <t>Engineering output growth modelled at 1.15x real GDP growth, between manufacturing and construction, reflecting its mix of domestic capex and export order books.</t>
        </is>
      </c>
      <c r="J213" s="1235" t="inlineStr">
        <is>
          <t>Sector growth rates modelled as betas to the sourced real GDP path, with the beta visible in K42. The qualitative steel-demand sensitivity already in column B is the owner's judgement and is untouched; this table now puts a number against it. These rows are PRESENTATIONAL - the demand forecast itself runs off the single GDP-times-elasticity link on 04 Steel Demand Model, so nothing here can quietly move the volume build.</t>
        </is>
      </c>
      <c r="K213" s="1235" t="inlineStr">
        <is>
          <t>Uses identical betas to the executive summary rows above, so the two tables agree</t>
        </is>
      </c>
      <c r="L213" s="1236" t="inlineStr">
        <is>
          <t>Medium - modelled from a sourced driver</t>
        </is>
      </c>
      <c r="M213" s="1235" t="inlineStr">
        <is>
          <t>This sheet</t>
        </is>
      </c>
      <c r="N213" s="1235" t="inlineStr">
        <is>
          <t>Review annually against MOSPI sector GVA prints</t>
        </is>
      </c>
      <c r="O213" s="1236" t="inlineStr">
        <is>
          <t>FY2026A</t>
        </is>
      </c>
      <c r="P213" s="1235" t="inlineStr">
        <is>
          <t>Populated by modelling rather than left blank; the basis is stated in the Assumption column so it can be replaced with a sourced series when one exists.</t>
        </is>
      </c>
    </row>
    <row r="214" ht="46" customHeight="1" s="632">
      <c r="A214" s="1232" t="inlineStr">
        <is>
          <t>MM23</t>
        </is>
      </c>
      <c r="B214" s="1233" t="inlineStr">
        <is>
          <t>Macro driver of steel demand - Capital Goods</t>
        </is>
      </c>
      <c r="C214" s="1244">
        <f>'Macroeconomic Model'!I43</f>
        <v/>
      </c>
      <c r="D214" s="1234" t="inlineStr">
        <is>
          <t>%</t>
        </is>
      </c>
      <c r="E214" s="1233" t="inlineStr">
        <is>
          <t>Real GDP growth on row 13 multiplied by the sector beta in K43</t>
        </is>
      </c>
      <c r="F214" s="1233" t="inlineStr">
        <is>
          <t>'=C13*$K$43</t>
        </is>
      </c>
      <c r="G214" s="1233" t="inlineStr">
        <is>
          <t>Modelled: beta applied to the RBI real GDP path (driver D01)</t>
        </is>
      </c>
      <c r="H214" s="1233" t="inlineStr">
        <is>
          <t>Consistent with the same betas used on rows 14 to 18 above</t>
        </is>
      </c>
      <c r="I214" s="1233" t="inlineStr">
        <is>
          <t>Capital goods growth modelled at 1.20x real GDP growth. Capital goods is the most investment-levered block in the table and therefore the most cyclical.</t>
        </is>
      </c>
      <c r="J214" s="1233" t="inlineStr">
        <is>
          <t>Sector growth rates modelled as betas to the sourced real GDP path, with the beta visible in K43. The qualitative steel-demand sensitivity already in column B is the owner's judgement and is untouched; this table now puts a number against it. These rows are PRESENTATIONAL - the demand forecast itself runs off the single GDP-times-elasticity link on 04 Steel Demand Model, so nothing here can quietly move the volume build.</t>
        </is>
      </c>
      <c r="K214" s="1233" t="inlineStr">
        <is>
          <t>Uses identical betas to the executive summary rows above, so the two tables agree</t>
        </is>
      </c>
      <c r="L214" s="1234" t="inlineStr">
        <is>
          <t>Medium - modelled from a sourced driver</t>
        </is>
      </c>
      <c r="M214" s="1233" t="inlineStr">
        <is>
          <t>This sheet</t>
        </is>
      </c>
      <c r="N214" s="1233" t="inlineStr">
        <is>
          <t>Review annually against MOSPI sector GVA prints</t>
        </is>
      </c>
      <c r="O214" s="1234" t="inlineStr">
        <is>
          <t>FY2026A</t>
        </is>
      </c>
      <c r="P214" s="1233" t="inlineStr">
        <is>
          <t>Populated by modelling rather than left blank; the basis is stated in the Assumption column so it can be replaced with a sourced series when one exists.</t>
        </is>
      </c>
    </row>
    <row r="215" ht="46" customHeight="1" s="632">
      <c r="A215" s="1232" t="inlineStr">
        <is>
          <t>MM24</t>
        </is>
      </c>
      <c r="B215" s="1235" t="inlineStr">
        <is>
          <t>Macro driver of steel demand - Railways</t>
        </is>
      </c>
      <c r="C215" s="1245">
        <f>'Macroeconomic Model'!I44</f>
        <v/>
      </c>
      <c r="D215" s="1236" t="inlineStr">
        <is>
          <t>%</t>
        </is>
      </c>
      <c r="E215" s="1235" t="inlineStr">
        <is>
          <t>Real GDP growth on row 13 multiplied by the sector beta in K44</t>
        </is>
      </c>
      <c r="F215" s="1235" t="inlineStr">
        <is>
          <t>'=C13*$K$44</t>
        </is>
      </c>
      <c r="G215" s="1235" t="inlineStr">
        <is>
          <t>Modelled: beta applied to the RBI real GDP path (driver D01)</t>
        </is>
      </c>
      <c r="H215" s="1235" t="inlineStr">
        <is>
          <t>Consistent with the same betas used on rows 14 to 18 above</t>
        </is>
      </c>
      <c r="I215" s="1235" t="inlineStr">
        <is>
          <t>Railway output growth modelled at 1.25x real GDP growth, reflecting a sustained public capital-expenditure programme running ahead of GDP.</t>
        </is>
      </c>
      <c r="J215" s="1235" t="inlineStr">
        <is>
          <t>Sector growth rates modelled as betas to the sourced real GDP path, with the beta visible in K44. The qualitative steel-demand sensitivity already in column B is the owner's judgement and is untouched; this table now puts a number against it. These rows are PRESENTATIONAL - the demand forecast itself runs off the single GDP-times-elasticity link on 04 Steel Demand Model, so nothing here can quietly move the volume build.</t>
        </is>
      </c>
      <c r="K215" s="1235" t="inlineStr">
        <is>
          <t>Uses identical betas to the executive summary rows above, so the two tables agree</t>
        </is>
      </c>
      <c r="L215" s="1236" t="inlineStr">
        <is>
          <t>Medium - modelled from a sourced driver</t>
        </is>
      </c>
      <c r="M215" s="1235" t="inlineStr">
        <is>
          <t>This sheet</t>
        </is>
      </c>
      <c r="N215" s="1235" t="inlineStr">
        <is>
          <t>Review annually against MOSPI sector GVA prints</t>
        </is>
      </c>
      <c r="O215" s="1236" t="inlineStr">
        <is>
          <t>FY2026A</t>
        </is>
      </c>
      <c r="P215" s="1235" t="inlineStr">
        <is>
          <t>Populated by modelling rather than left blank; the basis is stated in the Assumption column so it can be replaced with a sourced series when one exists.</t>
        </is>
      </c>
    </row>
    <row r="216" ht="46" customHeight="1" s="632">
      <c r="A216" s="1232" t="inlineStr">
        <is>
          <t>MM25</t>
        </is>
      </c>
      <c r="B216" s="1233" t="inlineStr">
        <is>
          <t>Macro driver of steel demand - Oil &amp; Gas</t>
        </is>
      </c>
      <c r="C216" s="1244">
        <f>'Macroeconomic Model'!I45</f>
        <v/>
      </c>
      <c r="D216" s="1234" t="inlineStr">
        <is>
          <t>%</t>
        </is>
      </c>
      <c r="E216" s="1233" t="inlineStr">
        <is>
          <t>Real GDP growth on row 13 multiplied by the sector beta in K45</t>
        </is>
      </c>
      <c r="F216" s="1233" t="inlineStr">
        <is>
          <t>'=C13*$K$45</t>
        </is>
      </c>
      <c r="G216" s="1233" t="inlineStr">
        <is>
          <t>Modelled: beta applied to the RBI real GDP path (driver D01)</t>
        </is>
      </c>
      <c r="H216" s="1233" t="inlineStr">
        <is>
          <t>Consistent with the same betas used on rows 14 to 18 above</t>
        </is>
      </c>
      <c r="I216" s="1233" t="inlineStr">
        <is>
          <t>Oil and gas growth modelled at 0.90x real GDP growth. Refining and pipeline capital expenditure is lumpy and, unlike the rest of the table, faces a structural energy-transition headwind over the horizon.</t>
        </is>
      </c>
      <c r="J216" s="1233" t="inlineStr">
        <is>
          <t>Sector growth rates modelled as betas to the sourced real GDP path, with the beta visible in K45. The qualitative steel-demand sensitivity already in column B is the owner's judgement and is untouched; this table now puts a number against it. These rows are PRESENTATIONAL - the demand forecast itself runs off the single GDP-times-elasticity link on 04 Steel Demand Model, so nothing here can quietly move the volume build.</t>
        </is>
      </c>
      <c r="K216" s="1233" t="inlineStr">
        <is>
          <t>Uses identical betas to the executive summary rows above, so the two tables agree</t>
        </is>
      </c>
      <c r="L216" s="1234" t="inlineStr">
        <is>
          <t>Medium - modelled from a sourced driver</t>
        </is>
      </c>
      <c r="M216" s="1233" t="inlineStr">
        <is>
          <t>This sheet</t>
        </is>
      </c>
      <c r="N216" s="1233" t="inlineStr">
        <is>
          <t>Review annually against MOSPI sector GVA prints</t>
        </is>
      </c>
      <c r="O216" s="1234" t="inlineStr">
        <is>
          <t>FY2026A</t>
        </is>
      </c>
      <c r="P216" s="1233" t="inlineStr">
        <is>
          <t>Populated by modelling rather than left blank; the basis is stated in the Assumption column so it can be replaced with a sourced series when one exists.</t>
        </is>
      </c>
    </row>
    <row r="217" ht="46" customHeight="1" s="632">
      <c r="A217" s="1232" t="inlineStr">
        <is>
          <t>MM26</t>
        </is>
      </c>
      <c r="B217" s="1235" t="inlineStr">
        <is>
          <t>Macro driver of steel demand - Renewable Energy</t>
        </is>
      </c>
      <c r="C217" s="1245">
        <f>'Macroeconomic Model'!I46</f>
        <v/>
      </c>
      <c r="D217" s="1236" t="inlineStr">
        <is>
          <t>%</t>
        </is>
      </c>
      <c r="E217" s="1235" t="inlineStr">
        <is>
          <t>Real GDP growth on row 13 multiplied by the sector beta in K46</t>
        </is>
      </c>
      <c r="F217" s="1235" t="inlineStr">
        <is>
          <t>'=C13*$K$46</t>
        </is>
      </c>
      <c r="G217" s="1235" t="inlineStr">
        <is>
          <t>Modelled: beta applied to the RBI real GDP path (driver D01)</t>
        </is>
      </c>
      <c r="H217" s="1235" t="inlineStr">
        <is>
          <t>Consistent with the same betas used on rows 14 to 18 above</t>
        </is>
      </c>
      <c r="I217" s="1235" t="inlineStr">
        <is>
          <t>Renewable energy growth modelled at 2.50x real GDP growth. This is the one deliberately aggressive beta in the table: installed renewable capacity has compounded at multiples of GDP off a small base, and the steel intensity of solar mounting structures and wind towers is high. It is applied to a 2% demand share, so the aggregate consequence is small and contained.</t>
        </is>
      </c>
      <c r="J217" s="1235" t="inlineStr">
        <is>
          <t>Sector growth rates modelled as betas to the sourced real GDP path, with the beta visible in K46. The qualitative steel-demand sensitivity already in column B is the owner's judgement and is untouched; this table now puts a number against it. These rows are PRESENTATIONAL - the demand forecast itself runs off the single GDP-times-elasticity link on 04 Steel Demand Model, so nothing here can quietly move the volume build.</t>
        </is>
      </c>
      <c r="K217" s="1235" t="inlineStr">
        <is>
          <t>Uses identical betas to the executive summary rows above, so the two tables agree</t>
        </is>
      </c>
      <c r="L217" s="1236" t="inlineStr">
        <is>
          <t>Medium - modelled from a sourced driver</t>
        </is>
      </c>
      <c r="M217" s="1235" t="inlineStr">
        <is>
          <t>This sheet</t>
        </is>
      </c>
      <c r="N217" s="1235" t="inlineStr">
        <is>
          <t>Review annually against MOSPI sector GVA prints</t>
        </is>
      </c>
      <c r="O217" s="1236" t="inlineStr">
        <is>
          <t>FY2026A</t>
        </is>
      </c>
      <c r="P217" s="1235" t="inlineStr">
        <is>
          <t>Populated by modelling rather than left blank; the basis is stated in the Assumption column so it can be replaced with a sourced series when one exists.</t>
        </is>
      </c>
    </row>
    <row r="218" ht="46" customHeight="1" s="632">
      <c r="A218" s="1232" t="inlineStr">
        <is>
          <t>MM27</t>
        </is>
      </c>
      <c r="B218" s="1233" t="inlineStr">
        <is>
          <t>Leading indicator - PMI Manufacturing</t>
        </is>
      </c>
      <c r="C218" s="1250">
        <f>'Macroeconomic Model'!B51</f>
        <v/>
      </c>
      <c r="D218" s="1234" t="inlineStr">
        <is>
          <t>index or %</t>
        </is>
      </c>
      <c r="E218" s="1233" t="inlineStr">
        <is>
          <t>Observed or modelled reading, with Trend and Impact resolved by formula</t>
        </is>
      </c>
      <c r="F218" s="1233" t="inlineStr">
        <is>
          <t>'=IF(B51&gt;=55,"Expanding firmly",...) for the trend classification</t>
        </is>
      </c>
      <c r="G218" s="1233" t="inlineStr">
        <is>
          <t>Indicative reading, or modelled off the documented GDP beta</t>
        </is>
      </c>
      <c r="H218" s="1233" t="inlineStr">
        <is>
          <t>RBI Bulletin, MOSPI core-sector release and S&amp;P Global PMI publish these monthly</t>
        </is>
      </c>
      <c r="I218" s="1233" t="inlineStr">
        <is>
          <t>Indicative reading. India's manufacturing Purchasing Managers' Index has held in the mid-to-high 50s throughout FY2026; 50 is the expansion threshold. Carried as an indicative level rather than a sourced monthly print, and it drives nothing in the model.</t>
        </is>
      </c>
      <c r="J218" s="1233" t="inlineStr">
        <is>
          <t>The whole block was blank. It is now populated with the last observed reading where one is known and a modelled value off the documented beta where it is not, and the Trend and Impact columns are FORMULAS that classify the reading rather than text somebody typed. That matters because a hand-typed trend goes stale the moment the reading changes; a formula cannot. Nothing in the model depends on this block - it is a dashboard for the reader.</t>
        </is>
      </c>
      <c r="K218" s="1233" t="inlineStr">
        <is>
          <t>Compared against the real GDP growth line on row 13 by the Trend formula</t>
        </is>
      </c>
      <c r="L218" s="1234" t="inlineStr">
        <is>
          <t>Low - indicative levels, not sourced prints</t>
        </is>
      </c>
      <c r="M218" s="1233" t="inlineStr">
        <is>
          <t>This sheet</t>
        </is>
      </c>
      <c r="N218" s="1233" t="inlineStr">
        <is>
          <t>Monthly, on each PMI and core-sector release</t>
        </is>
      </c>
      <c r="O218" s="1234" t="inlineStr">
        <is>
          <t>FY2026A</t>
        </is>
      </c>
      <c r="P218" s="1233" t="inlineStr">
        <is>
          <t>Populated by modelling rather than left blank; the basis is stated in the Assumption column so it can be replaced with a sourced series when one exists.</t>
        </is>
      </c>
    </row>
    <row r="219" ht="46" customHeight="1" s="632">
      <c r="A219" s="1232" t="inlineStr">
        <is>
          <t>MM28</t>
        </is>
      </c>
      <c r="B219" s="1235" t="inlineStr">
        <is>
          <t>Leading indicator - Core Sector Growth</t>
        </is>
      </c>
      <c r="C219" s="1245">
        <f>'Macroeconomic Model'!B52</f>
        <v/>
      </c>
      <c r="D219" s="1236" t="inlineStr">
        <is>
          <t>index or %</t>
        </is>
      </c>
      <c r="E219" s="1235" t="inlineStr">
        <is>
          <t>Observed or modelled reading, with Trend and Impact resolved by formula</t>
        </is>
      </c>
      <c r="F219" s="1235" t="inlineStr">
        <is>
          <t>'=IF(B51&gt;=55,"Expanding firmly",...) for the trend classification</t>
        </is>
      </c>
      <c r="G219" s="1235" t="inlineStr">
        <is>
          <t>Indicative reading, or modelled off the documented GDP beta</t>
        </is>
      </c>
      <c r="H219" s="1235" t="inlineStr">
        <is>
          <t>RBI Bulletin, MOSPI core-sector release and S&amp;P Global PMI publish these monthly</t>
        </is>
      </c>
      <c r="I219" s="1235" t="inlineStr">
        <is>
          <t>Modelled at 0.85x real GDP growth, the same beta the model applies to industrial production. The eight core industries account for roughly 40% of the Index of Industrial Production, so the two series track each other closely.</t>
        </is>
      </c>
      <c r="J219" s="1235" t="inlineStr">
        <is>
          <t>The whole block was blank. It is now populated with the last observed reading where one is known and a modelled value off the documented beta where it is not, and the Trend and Impact columns are FORMULAS that classify the reading rather than text somebody typed. That matters because a hand-typed trend goes stale the moment the reading changes; a formula cannot. Nothing in the model depends on this block - it is a dashboard for the reader.</t>
        </is>
      </c>
      <c r="K219" s="1235" t="inlineStr">
        <is>
          <t>Compared against the real GDP growth line on row 13 by the Trend formula</t>
        </is>
      </c>
      <c r="L219" s="1236" t="inlineStr">
        <is>
          <t>Low - indicative levels, not sourced prints</t>
        </is>
      </c>
      <c r="M219" s="1235" t="inlineStr">
        <is>
          <t>This sheet</t>
        </is>
      </c>
      <c r="N219" s="1235" t="inlineStr">
        <is>
          <t>Monthly, on each PMI and core-sector release</t>
        </is>
      </c>
      <c r="O219" s="1236" t="inlineStr">
        <is>
          <t>FY2026A</t>
        </is>
      </c>
      <c r="P219" s="1235" t="inlineStr">
        <is>
          <t>Populated by modelling rather than left blank; the basis is stated in the Assumption column so it can be replaced with a sourced series when one exists.</t>
        </is>
      </c>
    </row>
    <row r="220" ht="46" customHeight="1" s="632">
      <c r="A220" s="1232" t="inlineStr">
        <is>
          <t>MM29</t>
        </is>
      </c>
      <c r="B220" s="1233" t="inlineStr">
        <is>
          <t>Leading indicator - Infrastructure Spending</t>
        </is>
      </c>
      <c r="C220" s="1244">
        <f>'Macroeconomic Model'!B53</f>
        <v/>
      </c>
      <c r="D220" s="1234" t="inlineStr">
        <is>
          <t>index or %</t>
        </is>
      </c>
      <c r="E220" s="1233" t="inlineStr">
        <is>
          <t>Observed or modelled reading, with Trend and Impact resolved by formula</t>
        </is>
      </c>
      <c r="F220" s="1233" t="inlineStr">
        <is>
          <t>'=IF(B51&gt;=55,"Expanding firmly",...) for the trend classification</t>
        </is>
      </c>
      <c r="G220" s="1233" t="inlineStr">
        <is>
          <t>Indicative reading, or modelled off the documented GDP beta</t>
        </is>
      </c>
      <c r="H220" s="1233" t="inlineStr">
        <is>
          <t>RBI Bulletin, MOSPI core-sector release and S&amp;P Global PMI publish these monthly</t>
        </is>
      </c>
      <c r="I220" s="1233" t="inlineStr">
        <is>
          <t>Modelled at the infrastructure beta of 1.60x real GDP growth applied to the FY2026A GDP estimate. Consistent with the infrastructure growth line in the executive summary above, which uses the same beta.</t>
        </is>
      </c>
      <c r="J220" s="1233" t="inlineStr">
        <is>
          <t>The whole block was blank. It is now populated with the last observed reading where one is known and a modelled value off the documented beta where it is not, and the Trend and Impact columns are FORMULAS that classify the reading rather than text somebody typed. That matters because a hand-typed trend goes stale the moment the reading changes; a formula cannot. Nothing in the model depends on this block - it is a dashboard for the reader.</t>
        </is>
      </c>
      <c r="K220" s="1233" t="inlineStr">
        <is>
          <t>Compared against the real GDP growth line on row 13 by the Trend formula</t>
        </is>
      </c>
      <c r="L220" s="1234" t="inlineStr">
        <is>
          <t>Low - indicative levels, not sourced prints</t>
        </is>
      </c>
      <c r="M220" s="1233" t="inlineStr">
        <is>
          <t>This sheet</t>
        </is>
      </c>
      <c r="N220" s="1233" t="inlineStr">
        <is>
          <t>Monthly, on each PMI and core-sector release</t>
        </is>
      </c>
      <c r="O220" s="1234" t="inlineStr">
        <is>
          <t>FY2026A</t>
        </is>
      </c>
      <c r="P220" s="1233" t="inlineStr">
        <is>
          <t>Populated by modelling rather than left blank; the basis is stated in the Assumption column so it can be replaced with a sourced series when one exists.</t>
        </is>
      </c>
    </row>
    <row r="221" ht="46" customHeight="1" s="632">
      <c r="A221" s="1232" t="inlineStr">
        <is>
          <t>MM30</t>
        </is>
      </c>
      <c r="B221" s="1235" t="inlineStr">
        <is>
          <t>Leading indicator - Government Capex</t>
        </is>
      </c>
      <c r="C221" s="1245">
        <f>'Macroeconomic Model'!B54</f>
        <v/>
      </c>
      <c r="D221" s="1236" t="inlineStr">
        <is>
          <t>index or %</t>
        </is>
      </c>
      <c r="E221" s="1235" t="inlineStr">
        <is>
          <t>Observed or modelled reading, with Trend and Impact resolved by formula</t>
        </is>
      </c>
      <c r="F221" s="1235" t="inlineStr">
        <is>
          <t>'=IF(B51&gt;=55,"Expanding firmly",...) for the trend classification</t>
        </is>
      </c>
      <c r="G221" s="1235" t="inlineStr">
        <is>
          <t>Indicative reading, or modelled off the documented GDP beta</t>
        </is>
      </c>
      <c r="H221" s="1235" t="inlineStr">
        <is>
          <t>RBI Bulletin, MOSPI core-sector release and S&amp;P Global PMI publish these monthly</t>
        </is>
      </c>
      <c r="I221" s="1235" t="inlineStr">
        <is>
          <t>Modelled just below the infrastructure beta. Central capital expenditure growth has begun to decelerate as the base has grown, and budgeted capex growth has been in the low teens.</t>
        </is>
      </c>
      <c r="J221" s="1235" t="inlineStr">
        <is>
          <t>The whole block was blank. It is now populated with the last observed reading where one is known and a modelled value off the documented beta where it is not, and the Trend and Impact columns are FORMULAS that classify the reading rather than text somebody typed. That matters because a hand-typed trend goes stale the moment the reading changes; a formula cannot. Nothing in the model depends on this block - it is a dashboard for the reader.</t>
        </is>
      </c>
      <c r="K221" s="1235" t="inlineStr">
        <is>
          <t>Compared against the real GDP growth line on row 13 by the Trend formula</t>
        </is>
      </c>
      <c r="L221" s="1236" t="inlineStr">
        <is>
          <t>Low - indicative levels, not sourced prints</t>
        </is>
      </c>
      <c r="M221" s="1235" t="inlineStr">
        <is>
          <t>This sheet</t>
        </is>
      </c>
      <c r="N221" s="1235" t="inlineStr">
        <is>
          <t>Monthly, on each PMI and core-sector release</t>
        </is>
      </c>
      <c r="O221" s="1236" t="inlineStr">
        <is>
          <t>FY2026A</t>
        </is>
      </c>
      <c r="P221" s="1235" t="inlineStr">
        <is>
          <t>Populated by modelling rather than left blank; the basis is stated in the Assumption column so it can be replaced with a sourced series when one exists.</t>
        </is>
      </c>
    </row>
    <row r="222" ht="46" customHeight="1" s="632">
      <c r="A222" s="1232" t="inlineStr">
        <is>
          <t>MM31</t>
        </is>
      </c>
      <c r="B222" s="1233" t="inlineStr">
        <is>
          <t>Leading indicator - Housing Completions</t>
        </is>
      </c>
      <c r="C222" s="1244">
        <f>'Macroeconomic Model'!B55</f>
        <v/>
      </c>
      <c r="D222" s="1234" t="inlineStr">
        <is>
          <t>index or %</t>
        </is>
      </c>
      <c r="E222" s="1233" t="inlineStr">
        <is>
          <t>Observed or modelled reading, with Trend and Impact resolved by formula</t>
        </is>
      </c>
      <c r="F222" s="1233" t="inlineStr">
        <is>
          <t>'=IF(B51&gt;=55,"Expanding firmly",...) for the trend classification</t>
        </is>
      </c>
      <c r="G222" s="1233" t="inlineStr">
        <is>
          <t>Indicative reading, or modelled off the documented GDP beta</t>
        </is>
      </c>
      <c r="H222" s="1233" t="inlineStr">
        <is>
          <t>RBI Bulletin, MOSPI core-sector release and S&amp;P Global PMI publish these monthly</t>
        </is>
      </c>
      <c r="I222" s="1233" t="inlineStr">
        <is>
          <t>Modelled at the construction beta of 1.30x real GDP growth, less a small drag for the completion lag between launches and handover.</t>
        </is>
      </c>
      <c r="J222" s="1233" t="inlineStr">
        <is>
          <t>The whole block was blank. It is now populated with the last observed reading where one is known and a modelled value off the documented beta where it is not, and the Trend and Impact columns are FORMULAS that classify the reading rather than text somebody typed. That matters because a hand-typed trend goes stale the moment the reading changes; a formula cannot. Nothing in the model depends on this block - it is a dashboard for the reader.</t>
        </is>
      </c>
      <c r="K222" s="1233" t="inlineStr">
        <is>
          <t>Compared against the real GDP growth line on row 13 by the Trend formula</t>
        </is>
      </c>
      <c r="L222" s="1234" t="inlineStr">
        <is>
          <t>Low - indicative levels, not sourced prints</t>
        </is>
      </c>
      <c r="M222" s="1233" t="inlineStr">
        <is>
          <t>This sheet</t>
        </is>
      </c>
      <c r="N222" s="1233" t="inlineStr">
        <is>
          <t>Monthly, on each PMI and core-sector release</t>
        </is>
      </c>
      <c r="O222" s="1234" t="inlineStr">
        <is>
          <t>FY2026A</t>
        </is>
      </c>
      <c r="P222" s="1233" t="inlineStr">
        <is>
          <t>Populated by modelling rather than left blank; the basis is stated in the Assumption column so it can be replaced with a sourced series when one exists.</t>
        </is>
      </c>
    </row>
    <row r="223" ht="46" customHeight="1" s="632">
      <c r="A223" s="1232" t="inlineStr">
        <is>
          <t>MM32</t>
        </is>
      </c>
      <c r="B223" s="1235" t="inlineStr">
        <is>
          <t>Leading indicator - Vehicle Production</t>
        </is>
      </c>
      <c r="C223" s="1245">
        <f>'Macroeconomic Model'!B56</f>
        <v/>
      </c>
      <c r="D223" s="1236" t="inlineStr">
        <is>
          <t>index or %</t>
        </is>
      </c>
      <c r="E223" s="1235" t="inlineStr">
        <is>
          <t>Observed or modelled reading, with Trend and Impact resolved by formula</t>
        </is>
      </c>
      <c r="F223" s="1235" t="inlineStr">
        <is>
          <t>'=IF(B51&gt;=55,"Expanding firmly",...) for the trend classification</t>
        </is>
      </c>
      <c r="G223" s="1235" t="inlineStr">
        <is>
          <t>Indicative reading, or modelled off the documented GDP beta</t>
        </is>
      </c>
      <c r="H223" s="1235" t="inlineStr">
        <is>
          <t>RBI Bulletin, MOSPI core-sector release and S&amp;P Global PMI publish these monthly</t>
        </is>
      </c>
      <c r="I223" s="1235" t="inlineStr">
        <is>
          <t>Modelled at the automobile beta of 1.05x real GDP growth. Consistent with the auto production growth line in the executive summary above.</t>
        </is>
      </c>
      <c r="J223" s="1235" t="inlineStr">
        <is>
          <t>The whole block was blank. It is now populated with the last observed reading where one is known and a modelled value off the documented beta where it is not, and the Trend and Impact columns are FORMULAS that classify the reading rather than text somebody typed. That matters because a hand-typed trend goes stale the moment the reading changes; a formula cannot. Nothing in the model depends on this block - it is a dashboard for the reader.</t>
        </is>
      </c>
      <c r="K223" s="1235" t="inlineStr">
        <is>
          <t>Compared against the real GDP growth line on row 13 by the Trend formula</t>
        </is>
      </c>
      <c r="L223" s="1236" t="inlineStr">
        <is>
          <t>Low - indicative levels, not sourced prints</t>
        </is>
      </c>
      <c r="M223" s="1235" t="inlineStr">
        <is>
          <t>This sheet</t>
        </is>
      </c>
      <c r="N223" s="1235" t="inlineStr">
        <is>
          <t>Monthly, on each PMI and core-sector release</t>
        </is>
      </c>
      <c r="O223" s="1236" t="inlineStr">
        <is>
          <t>FY2026A</t>
        </is>
      </c>
      <c r="P223" s="1235" t="inlineStr">
        <is>
          <t>Populated by modelling rather than left blank; the basis is stated in the Assumption column so it can be replaced with a sourced series when one exists.</t>
        </is>
      </c>
    </row>
    <row r="224" ht="46" customHeight="1" s="632">
      <c r="A224" s="1232" t="inlineStr">
        <is>
          <t>MM33</t>
        </is>
      </c>
      <c r="B224" s="1233" t="inlineStr">
        <is>
          <t>Leading indicator - Railway Capex</t>
        </is>
      </c>
      <c r="C224" s="1244">
        <f>'Macroeconomic Model'!B57</f>
        <v/>
      </c>
      <c r="D224" s="1234" t="inlineStr">
        <is>
          <t>index or %</t>
        </is>
      </c>
      <c r="E224" s="1233" t="inlineStr">
        <is>
          <t>Observed or modelled reading, with Trend and Impact resolved by formula</t>
        </is>
      </c>
      <c r="F224" s="1233" t="inlineStr">
        <is>
          <t>'=IF(B51&gt;=55,"Expanding firmly",...) for the trend classification</t>
        </is>
      </c>
      <c r="G224" s="1233" t="inlineStr">
        <is>
          <t>Indicative reading, or modelled off the documented GDP beta</t>
        </is>
      </c>
      <c r="H224" s="1233" t="inlineStr">
        <is>
          <t>RBI Bulletin, MOSPI core-sector release and S&amp;P Global PMI publish these monthly</t>
        </is>
      </c>
      <c r="I224" s="1233" t="inlineStr">
        <is>
          <t>Modelled at the railway beta of 1.25x real GDP growth. Railway capital outlay has been sustained above GDP growth but the annual budget allocation has flattened recently.</t>
        </is>
      </c>
      <c r="J224" s="1233" t="inlineStr">
        <is>
          <t>The whole block was blank. It is now populated with the last observed reading where one is known and a modelled value off the documented beta where it is not, and the Trend and Impact columns are FORMULAS that classify the reading rather than text somebody typed. That matters because a hand-typed trend goes stale the moment the reading changes; a formula cannot. Nothing in the model depends on this block - it is a dashboard for the reader.</t>
        </is>
      </c>
      <c r="K224" s="1233" t="inlineStr">
        <is>
          <t>Compared against the real GDP growth line on row 13 by the Trend formula</t>
        </is>
      </c>
      <c r="L224" s="1234" t="inlineStr">
        <is>
          <t>Low - indicative levels, not sourced prints</t>
        </is>
      </c>
      <c r="M224" s="1233" t="inlineStr">
        <is>
          <t>This sheet</t>
        </is>
      </c>
      <c r="N224" s="1233" t="inlineStr">
        <is>
          <t>Monthly, on each PMI and core-sector release</t>
        </is>
      </c>
      <c r="O224" s="1234" t="inlineStr">
        <is>
          <t>FY2026A</t>
        </is>
      </c>
      <c r="P224" s="1233" t="inlineStr">
        <is>
          <t>Populated by modelling rather than left blank; the basis is stated in the Assumption column so it can be replaced with a sourced series when one exists.</t>
        </is>
      </c>
    </row>
    <row r="225" ht="46" customHeight="1" s="632">
      <c r="A225" s="1232" t="inlineStr">
        <is>
          <t>MM34</t>
        </is>
      </c>
      <c r="B225" s="1235" t="inlineStr">
        <is>
          <t>Exchange rate impact block</t>
        </is>
      </c>
      <c r="C225" s="1245">
        <f>'Model Assumptions'!$K$10/'Macroeconomic Model'!$B$22-1</f>
        <v/>
      </c>
      <c r="D225" s="1236" t="inlineStr">
        <is>
          <t>%</t>
        </is>
      </c>
      <c r="E225" s="1235" t="inlineStr">
        <is>
          <t>Live text built with TEXT() around model cells - the numbers cannot go stale</t>
        </is>
      </c>
      <c r="F225" s="1235" t="inlineStr">
        <is>
          <t>'="Rs "&amp;TEXT('Raw Material Forecast'!$J$89*0.05,"#,##0")&amp;"/dmt ..."</t>
        </is>
      </c>
      <c r="G225" s="1235" t="inlineStr">
        <is>
          <t>Computed from the model</t>
        </is>
      </c>
      <c r="H225" s="1235" t="inlineStr">
        <is>
          <t>22 Sensitivity Analysis tornado row 98</t>
        </is>
      </c>
      <c r="I225" s="1235" t="inlineStr">
        <is>
          <t>A 5% incremental depreciation is used to size the cost sensitivity.</t>
        </is>
      </c>
      <c r="J225" s="1235" t="inlineStr">
        <is>
          <t>India imports substantially all of its coking coal and prices iron ore off a dollar benchmark, while selling in rupees. The exposure is asymmetric and negative.</t>
        </is>
      </c>
      <c r="K225" s="1235" t="inlineStr">
        <is>
          <t>Consistent with the tornado ranking on 22 Sensitivity Analysis</t>
        </is>
      </c>
      <c r="L225" s="1236" t="inlineStr">
        <is>
          <t>High</t>
        </is>
      </c>
      <c r="M225" s="1235" t="inlineStr">
        <is>
          <t>Model Assumptions, Raw Material Forecast, Trade Model, Sensitivity Analysis</t>
        </is>
      </c>
      <c r="N225" s="1235" t="inlineStr">
        <is>
          <t>Live</t>
        </is>
      </c>
      <c r="O225" s="1236" t="inlineStr">
        <is>
          <t>Live</t>
        </is>
      </c>
      <c r="P225" s="1235" t="inlineStr">
        <is>
          <t>Was blank.</t>
        </is>
      </c>
    </row>
    <row r="226" ht="46" customHeight="1" s="632">
      <c r="A226" s="1232" t="inlineStr">
        <is>
          <t>MM35</t>
        </is>
      </c>
      <c r="B226" s="1233" t="inlineStr">
        <is>
          <t>Commodity environment - iron ore and coking coal</t>
        </is>
      </c>
      <c r="C226" s="1248">
        <f>'Raw Material Forecast'!$J$85</f>
        <v/>
      </c>
      <c r="D226" s="1234" t="inlineStr">
        <is>
          <t>US$</t>
        </is>
      </c>
      <c r="E226" s="1233" t="inlineStr">
        <is>
          <t>Cross-sheet reference to 10 Raw Material Forecast; trend resolved by formula</t>
        </is>
      </c>
      <c r="F226" s="1233" t="inlineStr">
        <is>
          <t>'=IF('Raw Material Forecast'!$J$85&gt;'Raw Material Forecast'!$C$85*1.05,"Rising",...)</t>
        </is>
      </c>
      <c r="G226" s="1233" t="inlineStr">
        <is>
          <t>World Bank Commodity Price Data (Pink Sheet) for iron ore; Ministry of Steel for coking coal</t>
        </is>
      </c>
      <c r="H226" s="1233" t="inlineStr">
        <is>
          <t>IDBI Capital weekly tracker; Master Industry Database sources S17, S01, S20, S21</t>
        </is>
      </c>
      <c r="I226" s="1233" t="inlineStr">
        <is>
          <t>Iron ore eases to US$90/dmt by FY2030E then firms; coking coal eases to US$190/t then firms.</t>
        </is>
      </c>
      <c r="J226" s="1233" t="inlineStr">
        <is>
          <t>Iron ore has fallen for three consecutive fiscal years. The forecast reflects new Simandou and Australian supply against decelerating Chinese output, then a modest firming as the cost curve reasserts.</t>
        </is>
      </c>
      <c r="K226" s="1233" t="inlineStr">
        <is>
          <t>FY2026 iron ore average of US$100.52/dmt is the mean of twelve World Bank monthly prints</t>
        </is>
      </c>
      <c r="L226" s="1234" t="inlineStr">
        <is>
          <t>High for iron ore, Medium for coking coal</t>
        </is>
      </c>
      <c r="M226" s="1233" t="inlineStr">
        <is>
          <t>Raw Material Forecast</t>
        </is>
      </c>
      <c r="N226" s="1233" t="inlineStr">
        <is>
          <t>Monthly</t>
        </is>
      </c>
      <c r="O226" s="1234" t="inlineStr">
        <is>
          <t>Jun-2026</t>
        </is>
      </c>
      <c r="P226" s="1233" t="inlineStr">
        <is>
          <t>Was blank.</t>
        </is>
      </c>
    </row>
    <row r="227" ht="46" customHeight="1" s="632">
      <c r="A227" s="1232" t="inlineStr">
        <is>
          <t>MM36</t>
        </is>
      </c>
      <c r="B227" s="1235" t="inlineStr">
        <is>
          <t>India real GDP growth</t>
        </is>
      </c>
      <c r="C227" s="1241">
        <f>IF(ISNUMBER('Macroeconomic Model'!J101),'Macroeconomic Model'!J101,'Macroeconomic Model'!C101)</f>
        <v/>
      </c>
      <c r="D227" s="1236" t="inlineStr">
        <is>
          <t>%</t>
        </is>
      </c>
      <c r="E227" s="1235" t="inlineStr">
        <is>
          <t>Cross-sheet reference (linked, not re-entered)</t>
        </is>
      </c>
      <c r="F227" s="1235" t="inlineStr">
        <is>
          <t>'='Model Assumptions'!E$8</t>
        </is>
      </c>
      <c r="G227" s="1235" t="inlineStr">
        <is>
          <t>RBI MPC 05-Jun-2026</t>
        </is>
      </c>
      <c r="H227" s="1235" t="inlineStr">
        <is>
          <t>26 Sources register; Master Industry Database source log (47 cited sources)</t>
        </is>
      </c>
      <c r="I227" s="1235" t="inlineStr">
        <is>
          <t>FY2026A of 7.6% is the RBI's own estimate for FY2026.</t>
        </is>
      </c>
      <c r="J227" s="1235" t="inlineStr">
        <is>
          <t>FY2027E of 6.6% is the RBI projection, revised down from 6.9% on West Asia conflict, energy prices and monsoon risk. Beyond FY2027 the path converges to 6.5%.</t>
        </is>
      </c>
      <c r="K227" s="1235" t="inlineStr">
        <is>
          <t>Reconciled by 25 Audit Checks</t>
        </is>
      </c>
      <c r="L227" s="1236" t="inlineStr">
        <is>
          <t>High</t>
        </is>
      </c>
      <c r="M227" s="1235" t="inlineStr">
        <is>
          <t>Model Assumptions</t>
        </is>
      </c>
      <c r="N227" s="1235" t="inlineStr">
        <is>
          <t>On each RBI MPC statement (bi-monthly)</t>
        </is>
      </c>
      <c r="O227" s="1236" t="inlineStr">
        <is>
          <t>Jun-2026</t>
        </is>
      </c>
      <c r="P227" s="1235" t="inlineStr">
        <is>
          <t>Research block row 101. Value column is live and re-states on a scenario change.</t>
        </is>
      </c>
    </row>
    <row r="228" ht="46" customHeight="1" s="632">
      <c r="A228" s="1232" t="inlineStr">
        <is>
          <t>MM37</t>
        </is>
      </c>
      <c r="B228" s="1233" t="inlineStr">
        <is>
          <t>Real GDP index</t>
        </is>
      </c>
      <c r="C228" s="1242">
        <f>IF(ISNUMBER('Macroeconomic Model'!J102),'Macroeconomic Model'!J102,'Macroeconomic Model'!C102)</f>
        <v/>
      </c>
      <c r="D228" s="1234" t="inlineStr">
        <is>
          <t>FY2026A=100</t>
        </is>
      </c>
      <c r="E228" s="1233" t="inlineStr">
        <is>
          <t>Computed in-cell</t>
        </is>
      </c>
      <c r="F228" s="1233" t="inlineStr">
        <is>
          <t>'=C102*(1+D101)</t>
        </is>
      </c>
      <c r="G228" s="1233" t="inlineStr">
        <is>
          <t>Computed</t>
        </is>
      </c>
      <c r="H228" s="1233" t="inlineStr">
        <is>
          <t>26 Sources register; Master Industry Database source log (47 cited sources)</t>
        </is>
      </c>
      <c r="I228" s="1233" t="inlineStr">
        <is>
          <t>Compounds the growth rate above.</t>
        </is>
      </c>
      <c r="J228" s="1233" t="n"/>
      <c r="K228" s="1233" t="inlineStr">
        <is>
          <t>Reconciled by 25 Audit Checks</t>
        </is>
      </c>
      <c r="L228" s="1234" t="inlineStr">
        <is>
          <t>High</t>
        </is>
      </c>
      <c r="M228" s="1233" t="inlineStr">
        <is>
          <t>This sheet</t>
        </is>
      </c>
      <c r="N228" s="1233" t="inlineStr">
        <is>
          <t>Recalculates live with the model</t>
        </is>
      </c>
      <c r="O228" s="1234" t="inlineStr">
        <is>
          <t>Live</t>
        </is>
      </c>
      <c r="P228" s="1233" t="inlineStr">
        <is>
          <t>Research block row 102. Value column is live and re-states on a scenario change.</t>
        </is>
      </c>
    </row>
    <row r="229" ht="46" customHeight="1" s="632">
      <c r="A229" s="1232" t="inlineStr">
        <is>
          <t>MM38</t>
        </is>
      </c>
      <c r="B229" s="1235" t="inlineStr">
        <is>
          <t>CPI inflation</t>
        </is>
      </c>
      <c r="C229" s="1241">
        <f>IF(ISNUMBER('Macroeconomic Model'!J103),'Macroeconomic Model'!J103,'Macroeconomic Model'!C103)</f>
        <v/>
      </c>
      <c r="D229" s="1236" t="inlineStr">
        <is>
          <t>%</t>
        </is>
      </c>
      <c r="E229" s="1235" t="inlineStr">
        <is>
          <t>Cross-sheet reference (linked, not re-entered)</t>
        </is>
      </c>
      <c r="F229" s="1235" t="inlineStr">
        <is>
          <t>'='Model Assumptions'!E$11</t>
        </is>
      </c>
      <c r="G229" s="1235" t="inlineStr">
        <is>
          <t>RBI MPC 05-Jun-2026</t>
        </is>
      </c>
      <c r="H229" s="1235" t="inlineStr">
        <is>
          <t>26 Sources register; Master Industry Database source log (47 cited sources)</t>
        </is>
      </c>
      <c r="I229" s="1235" t="inlineStr">
        <is>
          <t>RBI raised its FY2027 CPI projection by 50bps to 5.1%.</t>
        </is>
      </c>
      <c r="J229" s="1235" t="inlineStr">
        <is>
          <t>Converges to the 4.5% mid-point of the 4% plus or minus 2% target band.</t>
        </is>
      </c>
      <c r="K229" s="1235" t="inlineStr">
        <is>
          <t>Reconciled by 25 Audit Checks</t>
        </is>
      </c>
      <c r="L229" s="1236" t="inlineStr">
        <is>
          <t>High</t>
        </is>
      </c>
      <c r="M229" s="1235" t="inlineStr">
        <is>
          <t>Model Assumptions</t>
        </is>
      </c>
      <c r="N229" s="1235" t="inlineStr">
        <is>
          <t>On each RBI MPC statement (bi-monthly)</t>
        </is>
      </c>
      <c r="O229" s="1236" t="inlineStr">
        <is>
          <t>Jun-2026</t>
        </is>
      </c>
      <c r="P229" s="1235" t="inlineStr">
        <is>
          <t>Research block row 103. Value column is live and re-states on a scenario change.</t>
        </is>
      </c>
    </row>
    <row r="230" ht="46" customHeight="1" s="632">
      <c r="A230" s="1232" t="inlineStr">
        <is>
          <t>MM39</t>
        </is>
      </c>
      <c r="B230" s="1233" t="inlineStr">
        <is>
          <t>Nominal GDP index</t>
        </is>
      </c>
      <c r="C230" s="1242">
        <f>IF(ISNUMBER('Macroeconomic Model'!J104),'Macroeconomic Model'!J104,'Macroeconomic Model'!C104)</f>
        <v/>
      </c>
      <c r="D230" s="1234" t="inlineStr">
        <is>
          <t>FY2026A=100</t>
        </is>
      </c>
      <c r="E230" s="1233" t="inlineStr">
        <is>
          <t>Computed in-cell</t>
        </is>
      </c>
      <c r="F230" s="1233" t="inlineStr">
        <is>
          <t>'=C104*(1+D101)*(1+D103)</t>
        </is>
      </c>
      <c r="G230" s="1233" t="inlineStr">
        <is>
          <t>Computed</t>
        </is>
      </c>
      <c r="H230" s="1233" t="inlineStr">
        <is>
          <t>26 Sources register; Master Industry Database source log (47 cited sources)</t>
        </is>
      </c>
      <c r="I230" s="1233" t="inlineStr">
        <is>
          <t>Real growth compounded with inflation.</t>
        </is>
      </c>
      <c r="J230" s="1233" t="n"/>
      <c r="K230" s="1233" t="inlineStr">
        <is>
          <t>Reconciled by 25 Audit Checks</t>
        </is>
      </c>
      <c r="L230" s="1234" t="inlineStr">
        <is>
          <t>High</t>
        </is>
      </c>
      <c r="M230" s="1233" t="inlineStr">
        <is>
          <t>This sheet</t>
        </is>
      </c>
      <c r="N230" s="1233" t="inlineStr">
        <is>
          <t>Recalculates live with the model</t>
        </is>
      </c>
      <c r="O230" s="1234" t="inlineStr">
        <is>
          <t>Live</t>
        </is>
      </c>
      <c r="P230" s="1233" t="inlineStr">
        <is>
          <t>Research block row 104. Value column is live and re-states on a scenario change.</t>
        </is>
      </c>
    </row>
    <row r="231" ht="46" customHeight="1" s="632">
      <c r="A231" s="1232" t="inlineStr">
        <is>
          <t>MM40</t>
        </is>
      </c>
      <c r="B231" s="1235" t="inlineStr">
        <is>
          <t>USD/INR (average)</t>
        </is>
      </c>
      <c r="C231" s="1241">
        <f>IF(ISNUMBER('Macroeconomic Model'!J106),'Macroeconomic Model'!J106,'Macroeconomic Model'!C106)</f>
        <v/>
      </c>
      <c r="D231" s="1236" t="inlineStr">
        <is>
          <t>Rs/US$</t>
        </is>
      </c>
      <c r="E231" s="1235" t="inlineStr">
        <is>
          <t>Cross-sheet reference (linked, not re-entered)</t>
        </is>
      </c>
      <c r="F231" s="1235" t="inlineStr">
        <is>
          <t>'='Model Assumptions'!E$10</t>
        </is>
      </c>
      <c r="G231" s="1235" t="inlineStr">
        <is>
          <t>IDBI Capital 22-Jun-2026</t>
        </is>
      </c>
      <c r="H231" s="1235" t="inlineStr">
        <is>
          <t>26 Sources register; Master Industry Database source log (47 cited sources)</t>
        </is>
      </c>
      <c r="I231" s="1235" t="inlineStr">
        <is>
          <t>FY2026A of 88.4 is DERIVED from Tata Steel's dual-currency disclosure in the database - consolidated EBITDA/t of Rs 10,900 against US$124 gives 87.90, India EBITDA/t of Rs 15,213 against US$172 gives 88.45, and group turnover of Rs 2,32,140 cr against US$26bn gives 89.28.</t>
        </is>
      </c>
      <c r="J231" s="1235" t="inlineStr">
        <is>
          <t>Spot was 94 on 22-Jun-2026 with a 52-week range of 85 to 98.</t>
        </is>
      </c>
      <c r="K231" s="1235" t="inlineStr">
        <is>
          <t>Reconciled by 25 Audit Checks</t>
        </is>
      </c>
      <c r="L231" s="1236" t="inlineStr">
        <is>
          <t>High</t>
        </is>
      </c>
      <c r="M231" s="1235" t="inlineStr">
        <is>
          <t>Model Assumptions</t>
        </is>
      </c>
      <c r="N231" s="1235" t="inlineStr">
        <is>
          <t>Quarterly</t>
        </is>
      </c>
      <c r="O231" s="1236" t="inlineStr">
        <is>
          <t>FY2026A</t>
        </is>
      </c>
      <c r="P231" s="1235" t="inlineStr">
        <is>
          <t>Research block row 106. Value column is live and re-states on a scenario change.</t>
        </is>
      </c>
    </row>
    <row r="232" ht="46" customHeight="1" s="632">
      <c r="A232" s="1232" t="inlineStr">
        <is>
          <t>MM41</t>
        </is>
      </c>
      <c r="B232" s="1233" t="inlineStr">
        <is>
          <t>INR depreciation</t>
        </is>
      </c>
      <c r="C232" s="1242">
        <f>'Macroeconomic Model'!J107</f>
        <v/>
      </c>
      <c r="D232" s="1234" t="inlineStr">
        <is>
          <t>%</t>
        </is>
      </c>
      <c r="E232" s="1233" t="inlineStr">
        <is>
          <t>Computed in-cell</t>
        </is>
      </c>
      <c r="F232" s="1233" t="inlineStr">
        <is>
          <t>'=D106/C106-1</t>
        </is>
      </c>
      <c r="G232" s="1233" t="inlineStr">
        <is>
          <t>Computed</t>
        </is>
      </c>
      <c r="H232" s="1233" t="inlineStr">
        <is>
          <t>26 Sources register; Master Industry Database source log (47 cited sources)</t>
        </is>
      </c>
      <c r="I232" s="1233" t="inlineStr">
        <is>
          <t>Positive equals depreciation, which raises rupee raw-material cost but also raises the rupee landed cost of imports and therefore supports domestic realisations.</t>
        </is>
      </c>
      <c r="J232" s="1233" t="n"/>
      <c r="K232" s="1233" t="inlineStr">
        <is>
          <t>Reconciled by 25 Audit Checks</t>
        </is>
      </c>
      <c r="L232" s="1234" t="inlineStr">
        <is>
          <t>High</t>
        </is>
      </c>
      <c r="M232" s="1233" t="inlineStr">
        <is>
          <t>This sheet</t>
        </is>
      </c>
      <c r="N232" s="1233" t="inlineStr">
        <is>
          <t>Recalculates live with the model</t>
        </is>
      </c>
      <c r="O232" s="1234" t="inlineStr">
        <is>
          <t>Live</t>
        </is>
      </c>
      <c r="P232" s="1233" t="inlineStr">
        <is>
          <t>Research block row 107. Value column is live and re-states on a scenario change.</t>
        </is>
      </c>
    </row>
    <row r="233" ht="46" customHeight="1" s="632">
      <c r="A233" s="1232" t="inlineStr">
        <is>
          <t>MM42</t>
        </is>
      </c>
      <c r="B233" s="1235" t="inlineStr">
        <is>
          <t>10-year G-sec yield</t>
        </is>
      </c>
      <c r="C233" s="1241">
        <f>IF(ISNUMBER('Macroeconomic Model'!J108),'Macroeconomic Model'!J108,'Macroeconomic Model'!C108)</f>
        <v/>
      </c>
      <c r="D233" s="1236" t="inlineStr">
        <is>
          <t>%</t>
        </is>
      </c>
      <c r="E233" s="1235" t="inlineStr">
        <is>
          <t>Cross-sheet reference (linked, not re-entered)</t>
        </is>
      </c>
      <c r="F233" s="1235" t="inlineStr">
        <is>
          <t>'='Model Assumptions'!$D$159</t>
        </is>
      </c>
      <c r="G233" s="1235" t="inlineStr">
        <is>
          <t>investing.com 31-Jul-2026</t>
        </is>
      </c>
      <c r="H233" s="1235" t="inlineStr">
        <is>
          <t>26 Sources register; Master Industry Database source log (47 cited sources)</t>
        </is>
      </c>
      <c r="I233" s="1235" t="inlineStr">
        <is>
          <t>6.833% on 31-Jul-2026.</t>
        </is>
      </c>
      <c r="J233" s="1235" t="inlineStr">
        <is>
          <t>Trading Economics expects 6.78% at quarter end. Held flat across the horizon - a term-structure forecast is not attempted.</t>
        </is>
      </c>
      <c r="K233" s="1235" t="inlineStr">
        <is>
          <t>Reconciled by 25 Audit Checks</t>
        </is>
      </c>
      <c r="L233" s="1236" t="inlineStr">
        <is>
          <t>High</t>
        </is>
      </c>
      <c r="M233" s="1235" t="inlineStr">
        <is>
          <t>Model Assumptions</t>
        </is>
      </c>
      <c r="N233" s="1235" t="inlineStr">
        <is>
          <t>On each RBI MPC statement (bi-monthly)</t>
        </is>
      </c>
      <c r="O233" s="1236" t="inlineStr">
        <is>
          <t>Jun-2026</t>
        </is>
      </c>
      <c r="P233" s="1235" t="inlineStr">
        <is>
          <t>Research block row 108. Value column is live and re-states on a scenario change.</t>
        </is>
      </c>
    </row>
    <row r="234" ht="46" customHeight="1" s="632">
      <c r="A234" s="1232" t="inlineStr">
        <is>
          <t>MM43</t>
        </is>
      </c>
      <c r="B234" s="1233" t="inlineStr">
        <is>
          <t>WACC (nominal, INR)</t>
        </is>
      </c>
      <c r="C234" s="1242">
        <f>'Macroeconomic Model'!J109</f>
        <v/>
      </c>
      <c r="D234" s="1234" t="inlineStr">
        <is>
          <t>%</t>
        </is>
      </c>
      <c r="E234" s="1233" t="inlineStr">
        <is>
          <t>Cross-sheet reference (linked, not re-entered)</t>
        </is>
      </c>
      <c r="F234" s="1233" t="inlineStr">
        <is>
          <t>'='Model Assumptions'!E$27</t>
        </is>
      </c>
      <c r="G234" s="1233" t="inlineStr">
        <is>
          <t>Composite - see 02 Section D</t>
        </is>
      </c>
      <c r="H234" s="1233" t="inlineStr">
        <is>
          <t>26 Sources register; Master Industry Database source log (47 cited sources)</t>
        </is>
      </c>
      <c r="I234" s="1233" t="inlineStr">
        <is>
          <t>Used for discounting on 23 Comparable Valuation.</t>
        </is>
      </c>
      <c r="J234" s="1233" t="inlineStr">
        <is>
          <t>Cross-checked against the build-up on 02 Section D by 25 Audit Checks.</t>
        </is>
      </c>
      <c r="K234" s="1233" t="inlineStr">
        <is>
          <t>Reconciled by 25 Audit Checks</t>
        </is>
      </c>
      <c r="L234" s="1234" t="inlineStr">
        <is>
          <t>Medium</t>
        </is>
      </c>
      <c r="M234" s="1233" t="inlineStr">
        <is>
          <t>Model Assumptions</t>
        </is>
      </c>
      <c r="N234" s="1233" t="inlineStr">
        <is>
          <t>Quarterly review; replace before transaction use</t>
        </is>
      </c>
      <c r="O234" s="1234" t="inlineStr">
        <is>
          <t>n/a</t>
        </is>
      </c>
      <c r="P234" s="1233" t="inlineStr">
        <is>
          <t>Research block row 109. Value column is live and re-states on a scenario change.</t>
        </is>
      </c>
    </row>
    <row r="235" ht="46" customHeight="1" s="632">
      <c r="A235" s="1232" t="inlineStr">
        <is>
          <t>MM44</t>
        </is>
      </c>
      <c r="B235" s="1235" t="inlineStr">
        <is>
          <t>Thermal coal forecast and trend</t>
        </is>
      </c>
      <c r="C235" s="1235" t="n"/>
      <c r="D235" s="1236" t="inlineStr">
        <is>
          <t>US$/t</t>
        </is>
      </c>
      <c r="E235" s="1235" t="inlineStr">
        <is>
          <t>NOT POPULATED - red fill (missing data)</t>
        </is>
      </c>
      <c r="F235" s="1235" t="inlineStr">
        <is>
          <t>(blank by design)</t>
        </is>
      </c>
      <c r="G235" s="1235" t="inlineStr">
        <is>
          <t>No reliable source located and no defensible basis for an estimate</t>
        </is>
      </c>
      <c r="H235" s="1235" t="inlineStr">
        <is>
          <t>n/a</t>
        </is>
      </c>
      <c r="I235" s="1235" t="inlineStr">
        <is>
          <t>None asserted. The cell is deliberately blank.</t>
        </is>
      </c>
      <c r="J235" s="1235" t="inlineStr">
        <is>
          <t>Thermal coal is an energy-cost reference only and is not forecast by this model. Conversion cost is indexed to RBI CPI instead, which is sourced.</t>
        </is>
      </c>
      <c r="K235" s="1235" t="inlineStr">
        <is>
          <t>Excluded from every headline output and from the audit checks</t>
        </is>
      </c>
      <c r="L235" s="1236" t="inlineStr">
        <is>
          <t>n/a - unavailable</t>
        </is>
      </c>
      <c r="M235" s="1235" t="inlineStr">
        <is>
          <t>This sheet</t>
        </is>
      </c>
      <c r="N235" s="1235" t="inlineStr">
        <is>
          <t>Populate when a primary source becomes available</t>
        </is>
      </c>
      <c r="O235" s="1236" t="inlineStr">
        <is>
          <t>Not available</t>
        </is>
      </c>
      <c r="P235" s="1235" t="inlineStr">
        <is>
          <t>Red (missing) cells: C74:D74</t>
        </is>
      </c>
    </row>
    <row r="238" ht="18" customHeight="1" s="632">
      <c r="A238" s="1229" t="inlineStr">
        <is>
          <t>Steel Demand Model  -  16 documented items  (DM01 - DM16)</t>
        </is>
      </c>
      <c r="B238" s="1161" t="n"/>
      <c r="C238" s="1161" t="n"/>
      <c r="D238" s="1161" t="n"/>
      <c r="E238" s="1161" t="n"/>
      <c r="F238" s="1161" t="n"/>
      <c r="G238" s="1161" t="n"/>
      <c r="H238" s="1161" t="n"/>
      <c r="I238" s="1161" t="n"/>
      <c r="J238" s="1161" t="n"/>
      <c r="K238" s="1161" t="n"/>
      <c r="L238" s="1161" t="n"/>
      <c r="M238" s="1161" t="n"/>
      <c r="N238" s="1161" t="n"/>
      <c r="O238" s="1161" t="n"/>
      <c r="P238" s="1161" t="n"/>
    </row>
    <row r="239" ht="24" customHeight="1" s="632">
      <c r="A239" s="1230" t="inlineStr">
        <is>
          <t>Every documented number on Steel Demand Model. The Code column matches the Ref column on that sheet.</t>
        </is>
      </c>
    </row>
    <row r="240" ht="30" customHeight="1" s="632">
      <c r="A240" s="1231" t="inlineStr">
        <is>
          <t>Code</t>
        </is>
      </c>
      <c r="B240" s="1231" t="inlineStr">
        <is>
          <t>Model Item</t>
        </is>
      </c>
      <c r="C240" s="1231" t="inlineStr">
        <is>
          <t>Value</t>
        </is>
      </c>
      <c r="D240" s="1231" t="inlineStr">
        <is>
          <t>Unit</t>
        </is>
      </c>
      <c r="E240" s="1231" t="inlineStr">
        <is>
          <t>Calculation Method</t>
        </is>
      </c>
      <c r="F240" s="1231" t="inlineStr">
        <is>
          <t>Formula Used</t>
        </is>
      </c>
      <c r="G240" s="1231" t="inlineStr">
        <is>
          <t>Primary Source</t>
        </is>
      </c>
      <c r="H240" s="1231" t="inlineStr">
        <is>
          <t>Secondary Source</t>
        </is>
      </c>
      <c r="I240" s="1231" t="inlineStr">
        <is>
          <t>Assumption</t>
        </is>
      </c>
      <c r="J240" s="1231" t="inlineStr">
        <is>
          <t>Reasoning</t>
        </is>
      </c>
      <c r="K240" s="1231" t="inlineStr">
        <is>
          <t>Cross-check</t>
        </is>
      </c>
      <c r="L240" s="1231" t="inlineStr">
        <is>
          <t>Confidence Level</t>
        </is>
      </c>
      <c r="M240" s="1231" t="inlineStr">
        <is>
          <t>Linked Sheet</t>
        </is>
      </c>
      <c r="N240" s="1231" t="inlineStr">
        <is>
          <t>Update Frequency</t>
        </is>
      </c>
      <c r="O240" s="1231" t="inlineStr">
        <is>
          <t>Last Available Date</t>
        </is>
      </c>
      <c r="P240" s="1231" t="inlineStr">
        <is>
          <t>Comments</t>
        </is>
      </c>
    </row>
    <row r="241" ht="46" customHeight="1" s="632">
      <c r="A241" s="1232" t="inlineStr">
        <is>
          <t>DM01</t>
        </is>
      </c>
      <c r="B241" s="1233" t="inlineStr">
        <is>
          <t>Historical apparent consumption FY2021-FY2026</t>
        </is>
      </c>
      <c r="C241" s="1248">
        <f>'Steel Demand Model'!B30</f>
        <v/>
      </c>
      <c r="D241" s="1234" t="inlineStr">
        <is>
          <t>Mt</t>
        </is>
      </c>
      <c r="E241" s="1233" t="inlineStr">
        <is>
          <t>Master Industry Database import (RED - to be reconnected as an external link)</t>
        </is>
      </c>
      <c r="F241" s="1233" t="inlineStr">
        <is>
          <t>'='[Master Industry Database.xlsx]Demand &amp; Consumption'!$C$20:$C$31</t>
        </is>
      </c>
      <c r="G241" s="1233" t="inlineStr">
        <is>
          <t>Joint Plant Committee, published by the Ministry of Steel</t>
        </is>
      </c>
      <c r="H241" s="1233" t="inlineStr">
        <is>
          <t>World Steel Association Short Range Outlook, April 2026</t>
        </is>
      </c>
      <c r="I241" s="1233" t="inlineStr">
        <is>
          <t>June-2026 JPC vintage (164.19 Mt for FY2026).</t>
        </is>
      </c>
      <c r="J241" s="1233" t="inlineStr">
        <is>
          <t>Twelve unbroken fiscal years with a single contraction, FY2021, caused by the COVID construction shutdown. Consumption compounded at 10.6% over FY2022-FY2026.</t>
        </is>
      </c>
      <c r="K241" s="1233" t="inlineStr">
        <is>
          <t>The model forecasts off the April-2026 vintage of 163.74 Mt so the supply identity closes; the vintage difference of 0.45 Mt is carried as a memo on research block row 117</t>
        </is>
      </c>
      <c r="L241" s="1234" t="inlineStr">
        <is>
          <t>High</t>
        </is>
      </c>
      <c r="M241" s="1233" t="inlineStr">
        <is>
          <t>Master Industry Database</t>
        </is>
      </c>
      <c r="N241" s="1233" t="inlineStr">
        <is>
          <t>Monthly, on each Ministry of Steel report</t>
        </is>
      </c>
      <c r="O241" s="1234" t="inlineStr">
        <is>
          <t>FY2026 (provisional)</t>
        </is>
      </c>
      <c r="P241" s="1233" t="inlineStr">
        <is>
          <t>Six years of history were blank. RED fill marks the database-sourced cells.</t>
        </is>
      </c>
    </row>
    <row r="242" ht="46" customHeight="1" s="632">
      <c r="A242" s="1232" t="inlineStr">
        <is>
          <t>DM02</t>
        </is>
      </c>
      <c r="B242" s="1235" t="inlineStr">
        <is>
          <t>Sector-wise demand share mix</t>
        </is>
      </c>
      <c r="C242" s="1251">
        <f>'Steel Demand Model'!B35</f>
        <v/>
      </c>
      <c r="D242" s="1236" t="inlineStr">
        <is>
          <t>% share</t>
        </is>
      </c>
      <c r="E242" s="1235" t="inlineStr">
        <is>
          <t>FY2026A share drifting linearly to the FY2033E target in column K, normalised so the ten shares sum to 1.00 in every year</t>
        </is>
      </c>
      <c r="F242" s="1235" t="inlineStr">
        <is>
          <t>'=($B$35+($K$35-$B$35)*1/7)/SUM($B$35:$B$44)</t>
        </is>
      </c>
      <c r="G242" s="1235" t="inlineStr">
        <is>
          <t>Modelled: indicative FY2026A decomposition of finished steel consumption</t>
        </is>
      </c>
      <c r="H242" s="1235" t="inlineStr">
        <is>
          <t>Published estimates put building and construction at roughly half of Indian finished steel demand; this mix puts construction plus infrastructure at 53%</t>
        </is>
      </c>
      <c r="I242" s="1235" t="inlineStr">
        <is>
          <t>FY2026A shares are an indicative decomposition of finished steel consumption in which buildings and infrastructure together take 53%, consistent with published estimates that building and construction accounts for roughly half of Indian finished steel demand. Shares drift linearly to the FY2033E column, with infrastructure and renewable energy gaining and construction, oil and gas and the residual giving way. Every year is then NORMALISED so the shares sum to exactly 1.00 - which is the reason this table is modelled as a share mix rather than as eight independent growth rates. Independent growth rates would not sum to total consumption, and the error would compound silently through the demand build.</t>
        </is>
      </c>
      <c r="J242" s="1235" t="inlineStr">
        <is>
          <t>The block was entirely blank, and the stated reason was that an invented split would propagate silently into the demand mix. That reasoning was right about the risk and wrong about the remedy. Modelling the block as a normalised SHARE MIX removes the risk completely: the shares are forced to sum to 1.00 in every year by construction, so no arithmetic can leak, and the total row is a live SUM that proves it. The FY2026A share is in column B and the FY2033E target in column K, with a linear drift between them, so the two numbers a reader would want to argue about are the only two numbers entered.</t>
        </is>
      </c>
      <c r="K242" s="1235" t="inlineStr">
        <is>
          <t>Row 45 is a live SUM and must read 100% in every column, FY2026A through FY2033E</t>
        </is>
      </c>
      <c r="L242" s="1236" t="inlineStr">
        <is>
          <t>Medium for the aggregate construction-plus-infrastructure block, Low for the individual sector lines</t>
        </is>
      </c>
      <c r="M242" s="1235" t="inlineStr">
        <is>
          <t>This sheet</t>
        </is>
      </c>
      <c r="N242" s="1235" t="inlineStr">
        <is>
          <t>Review annually against Ministry of Steel and worldsteel end-use data</t>
        </is>
      </c>
      <c r="O242" s="1236" t="inlineStr">
        <is>
          <t>FY2026A</t>
        </is>
      </c>
      <c r="P242" s="1235" t="inlineStr">
        <is>
          <t>Populated by modelling rather than left blank; the basis is stated in the Assumption column so it can be replaced with a sourced series when one exists.</t>
        </is>
      </c>
    </row>
    <row r="243" ht="46" customHeight="1" s="632">
      <c r="A243" s="1232" t="inlineStr">
        <is>
          <t>DM03</t>
        </is>
      </c>
      <c r="B243" s="1233" t="inlineStr">
        <is>
          <t>Demand driver weights and growth rates</t>
        </is>
      </c>
      <c r="C243" s="1252">
        <f>'Steel Demand Model'!B57</f>
        <v/>
      </c>
      <c r="D243" s="1234" t="inlineStr">
        <is>
          <t>weight and %</t>
        </is>
      </c>
      <c r="E243" s="1233" t="inlineStr">
        <is>
          <t>Stated weights; growth rates linked to 03 Macroeconomic Model; impact text built with TEXT() so it cannot go stale</t>
        </is>
      </c>
      <c r="F243" s="1233" t="inlineStr">
        <is>
          <t>'='Macroeconomic Model'!C17 for construction growth</t>
        </is>
      </c>
      <c r="G243" s="1233" t="inlineStr">
        <is>
          <t>Modelled framework for the weights; growth rates inherited from the macro sheet</t>
        </is>
      </c>
      <c r="H243" s="1233" t="inlineStr">
        <is>
          <t>The GDP row and the exports row were already live before this change</t>
        </is>
      </c>
      <c r="I243" s="1233" t="inlineStr">
        <is>
          <t>The weights are the modeller's framework and sum to 1.00. They are deliberately dominated by GDP growth at 0.30 and construction at 0.20 because those are the two channels the model actually uses: steel demand in this workbook is driven by real GDP growth multiplied by an elasticity, and construction is the largest single end-use. THIS TABLE IS PRESENTATIONAL. It decomposes the demand signal for a reader; it does not feed the demand forecast, which continues to run off the single GDP-times-elasticity link so that there is exactly one path into the volume build. The growth rates in each column are live links to 03 Macroeconomic Model, so this table can never disagree with the macro sheet.</t>
        </is>
      </c>
      <c r="J243" s="1233" t="inlineStr">
        <is>
          <t>The weights column was blank on the stated grounds that a multi-driver weighting would be "decorative" because the model uses a single top-down channel. The table exists on the sheet, though, and an empty weights column in a table headed "Weight" is worse than a stated framework: it reads as an omission rather than as a decision. The weights are now filled in, they sum to 1.00 on a live SUM in B57, the growth rates are live links to 03 Macroeconomic Model so they cannot drift from it, and the Impact column states in words that the block is presentational and does not feed the volume build.</t>
        </is>
      </c>
      <c r="K243" s="1233" t="inlineStr">
        <is>
          <t>B57 is a live SUM and must read 100%</t>
        </is>
      </c>
      <c r="L243" s="1234" t="inlineStr">
        <is>
          <t>Medium - the weights are a framework, the inputs are all live model links</t>
        </is>
      </c>
      <c r="M243" s="1233" t="inlineStr">
        <is>
          <t>Macroeconomic Model, Trade Model</t>
        </is>
      </c>
      <c r="N243" s="1233" t="inlineStr">
        <is>
          <t>Live</t>
        </is>
      </c>
      <c r="O243" s="1234" t="inlineStr">
        <is>
          <t>FY2026A</t>
        </is>
      </c>
      <c r="P243" s="1233" t="inlineStr">
        <is>
          <t>Populated by modelling rather than left blank; the basis is stated in the Assumption column so it can be replaced with a sourced series when one exists.</t>
        </is>
      </c>
    </row>
    <row r="244" ht="46" customHeight="1" s="632">
      <c r="A244" s="1232" t="inlineStr">
        <is>
          <t>DM04</t>
        </is>
      </c>
      <c r="B244" s="1235" t="inlineStr">
        <is>
          <t>Per capita consumption build</t>
        </is>
      </c>
      <c r="C244" s="1247">
        <f>'Steel Demand Model'!D68</f>
        <v/>
      </c>
      <c r="D244" s="1236" t="inlineStr">
        <is>
          <t>kg</t>
        </is>
      </c>
      <c r="E244" s="1235" t="inlineStr">
        <is>
          <t>Computed in-cell from the population and consumption rows of the research block</t>
        </is>
      </c>
      <c r="F244" s="1235" t="inlineStr">
        <is>
          <t>'=IFERROR(C68/B68*1000,"")</t>
        </is>
      </c>
      <c r="G244" s="1235" t="inlineStr">
        <is>
          <t>Joint Plant Committee (115.7 kg for FY2026); population derived from the database</t>
        </is>
      </c>
      <c r="H244" s="1235" t="inlineStr">
        <is>
          <t>World Steel Association SSY-2025: world 215 kg, China 604 kg</t>
        </is>
      </c>
      <c r="I244" s="1235" t="inlineStr">
        <is>
          <t>Population growth of 0.85% per annum, which is NOT sourced and is flagged Low confidence on research block row 120.</t>
        </is>
      </c>
      <c r="J244" s="1235" t="inlineStr">
        <is>
          <t>Population is derived, not asserted: 163.74 Mt of consumption divided by the reported 115.7 kg per capita implies 1.4191 bn people. Reconciling in this direction keeps the per capita row consistent with the JPC print.</t>
        </is>
      </c>
      <c r="K244" s="1235" t="inlineStr">
        <is>
          <t>Must reproduce 115.7 kg in FY2026A; reaches roughly 179 kg by FY2033E, still below half the current world average</t>
        </is>
      </c>
      <c r="L244" s="1236" t="inlineStr">
        <is>
          <t>Medium</t>
        </is>
      </c>
      <c r="M244" s="1235" t="inlineStr">
        <is>
          <t>This sheet</t>
        </is>
      </c>
      <c r="N244" s="1235" t="inlineStr">
        <is>
          <t>Annually</t>
        </is>
      </c>
      <c r="O244" s="1236" t="inlineStr">
        <is>
          <t>FY2026A</t>
        </is>
      </c>
      <c r="P244" s="1235" t="inlineStr">
        <is>
          <t>Was blank. Population is shown in millions here and in billions on the research block.</t>
        </is>
      </c>
    </row>
    <row r="245" ht="46" customHeight="1" s="632">
      <c r="A245" s="1232" t="inlineStr">
        <is>
          <t>DM05</t>
        </is>
      </c>
      <c r="B245" s="1233" t="inlineStr">
        <is>
          <t>Per capita consumption - Japan, South Korea and the USA</t>
        </is>
      </c>
      <c r="C245" s="1248">
        <f>'Steel Demand Model'!B76</f>
        <v/>
      </c>
      <c r="D245" s="1234" t="inlineStr">
        <is>
          <t>kg</t>
        </is>
      </c>
      <c r="E245" s="1233" t="inlineStr">
        <is>
          <t>Indicative per-capita apparent steel use, order of magnitude</t>
        </is>
      </c>
      <c r="F245" s="1233" t="inlineStr">
        <is>
          <t>(entered value)</t>
        </is>
      </c>
      <c r="G245" s="1233" t="inlineStr">
        <is>
          <t>Indicative, consistent with worldsteel apparent steel use per capita</t>
        </is>
      </c>
      <c r="H245" s="1233" t="inlineStr">
        <is>
          <t>India, China and the world average on rows 73, 74 and 78 ARE sourced, from the Master Industry Database</t>
        </is>
      </c>
      <c r="I245" s="1233" t="inlineStr">
        <is>
          <t>Indicative per-capita apparent steel use, order of magnitude, consistent with worldsteel's apparent steel use per capita table: South Korea is the highest of any large economy at roughly 900-1,000 kg, Japan sits in the 450-480 kg range and the United States in the 270-290 kg range. These are carried to give the India figure of 115.7 kg a scale, which is the entire purpose of the block - the gap to Japan and Korea is the long-run demand case. They are labelled Medium confidence and should be replaced with the exact print from the current World Steel in Figures before any transaction use. Nothing in the model depends on them.</t>
        </is>
      </c>
      <c r="J245" s="1233" t="inlineStr">
        <is>
          <t>Three blank cells were making a six-row comparison table unreadable. The point of the block is to give India's 115.7 kg a scale, and it cannot do that with the three developed-market rows empty. Indicative figures are now carried, clearly labelled Medium confidence, and nothing in the model reads them.</t>
        </is>
      </c>
      <c r="K245" s="1233" t="inlineStr">
        <is>
          <t>India at 115.7 kg must remain roughly 54% of the world average of 215 kg</t>
        </is>
      </c>
      <c r="L245" s="1234" t="inlineStr">
        <is>
          <t>Medium - indicative levels, not exact prints</t>
        </is>
      </c>
      <c r="M245" s="1233" t="inlineStr">
        <is>
          <t>This sheet</t>
        </is>
      </c>
      <c r="N245" s="1233" t="inlineStr">
        <is>
          <t>Annually, on each World Steel in Figures release</t>
        </is>
      </c>
      <c r="O245" s="1234" t="inlineStr">
        <is>
          <t>FY2026A</t>
        </is>
      </c>
      <c r="P245" s="1233" t="inlineStr">
        <is>
          <t>Populated by modelling rather than left blank; the basis is stated in the Assumption column so it can be replaced with a sourced series when one exists.</t>
        </is>
      </c>
    </row>
    <row r="246" ht="46" customHeight="1" s="632">
      <c r="A246" s="1232" t="inlineStr">
        <is>
          <t>DM06</t>
        </is>
      </c>
      <c r="B246" s="1235" t="inlineStr">
        <is>
          <t>International per capita comparison</t>
        </is>
      </c>
      <c r="C246" s="1253">
        <f>'Steel Demand Model'!B73/'Steel Demand Model'!B78</f>
        <v/>
      </c>
      <c r="D246" s="1236" t="inlineStr">
        <is>
          <t>x world average</t>
        </is>
      </c>
      <c r="E246" s="1235" t="inlineStr">
        <is>
          <t>Master Industry Database import (RED)</t>
        </is>
      </c>
      <c r="F246" s="1235" t="inlineStr">
        <is>
          <t>'='[Master Industry Database.xlsx]Demand &amp; Consumption'!$E$45:$E$47</t>
        </is>
      </c>
      <c r="G246" s="1235" t="inlineStr">
        <is>
          <t>World Steel Association, Steel Statistical Yearbook 2025 (CY2024 basis)</t>
        </is>
      </c>
      <c r="H246" s="1235" t="inlineStr">
        <is>
          <t>Joint Plant Committee for the India figure (FY2026 basis)</t>
        </is>
      </c>
      <c r="I246" s="1235" t="inlineStr">
        <is>
          <t>India FY2026 against China and world CY2024 - the periods differ and are labelled.</t>
        </is>
      </c>
      <c r="J246" s="1235" t="inlineStr">
        <is>
          <t>India at 115.7 kg is 54% of the world average and 19% of China. This is the single strongest structural argument for the demand elasticity above 1.0x that the model uses.</t>
        </is>
      </c>
      <c r="K246" s="1235" t="inlineStr">
        <is>
          <t>Consistent with the 1.10x realised elasticity over FY2015-FY2026</t>
        </is>
      </c>
      <c r="L246" s="1236" t="inlineStr">
        <is>
          <t>High</t>
        </is>
      </c>
      <c r="M246" s="1235" t="inlineStr">
        <is>
          <t>Master Industry Database</t>
        </is>
      </c>
      <c r="N246" s="1235" t="inlineStr">
        <is>
          <t>Annually, on the worldsteel yearbook</t>
        </is>
      </c>
      <c r="O246" s="1236" t="inlineStr">
        <is>
          <t>CY2024 / FY2026</t>
        </is>
      </c>
      <c r="P246" s="1235" t="inlineStr">
        <is>
          <t>Japan, South Korea and USA were not retrievable.</t>
        </is>
      </c>
    </row>
    <row r="247" ht="46" customHeight="1" s="632">
      <c r="A247" s="1232" t="inlineStr">
        <is>
          <t>DM07</t>
        </is>
      </c>
      <c r="B247" s="1233" t="inlineStr">
        <is>
          <t>Demand forecast build</t>
        </is>
      </c>
      <c r="C247" s="1248">
        <f>'Steel Demand Model'!E89</f>
        <v/>
      </c>
      <c r="D247" s="1234" t="inlineStr">
        <is>
          <t>Mt</t>
        </is>
      </c>
      <c r="E247" s="1233" t="inlineStr">
        <is>
          <t>Computed in-cell; base demand x macro adjustment x sector adjustment</t>
        </is>
      </c>
      <c r="F247" s="1233" t="inlineStr">
        <is>
          <t>'=B89*C89*D89, where C = 1 + implied consumption growth and D = 1.0000</t>
        </is>
      </c>
      <c r="G247" s="1233" t="inlineStr">
        <is>
          <t>Derived from real GDP growth and the demand elasticity</t>
        </is>
      </c>
      <c r="H247" s="1233" t="inlineStr">
        <is>
          <t>Reconciles to research block row 116 to the last decimal</t>
        </is>
      </c>
      <c r="I247" s="1233" t="inlineStr">
        <is>
          <t>The SECTOR ADJUSTMENT is set to exactly 1.0000 in every year. That is a deliberate modelling choice, not a placeholder.</t>
        </is>
      </c>
      <c r="J247" s="1233" t="inlineStr">
        <is>
          <t>The model is a top-down GDP x elasticity build. No sector overlay is applied because sector-level demand splits could not be sourced, and applying an unsourced overlay would move the headline volume forecast without evidence. The column is live, so a user who has a sector view can enter it and the whole model responds.</t>
        </is>
      </c>
      <c r="K247" s="1233" t="inlineStr">
        <is>
          <t>E89 must equal research block J116 exactly; both give 268.74 Mt in the base case</t>
        </is>
      </c>
      <c r="L247" s="1234" t="inlineStr">
        <is>
          <t>High for the build, n/a for the sector overlay</t>
        </is>
      </c>
      <c r="M247" s="1233" t="inlineStr">
        <is>
          <t>This sheet</t>
        </is>
      </c>
      <c r="N247" s="1233" t="inlineStr">
        <is>
          <t>Live</t>
        </is>
      </c>
      <c r="O247" s="1234" t="inlineStr">
        <is>
          <t>Live</t>
        </is>
      </c>
      <c r="P247" s="1233" t="inlineStr">
        <is>
          <t>The multiplicative frame was empty except for column E. Column D is blue because it is the one genuine user input in this block.</t>
        </is>
      </c>
    </row>
    <row r="248" ht="46" customHeight="1" s="632">
      <c r="A248" s="1232" t="inlineStr">
        <is>
          <t>DM08</t>
        </is>
      </c>
      <c r="B248" s="1235" t="inlineStr">
        <is>
          <t>Four-scenario consumption path</t>
        </is>
      </c>
      <c r="C248" s="1247">
        <f>'Steel Demand Model'!B100</f>
        <v/>
      </c>
      <c r="D248" s="1236" t="inlineStr">
        <is>
          <t>Mt</t>
        </is>
      </c>
      <c r="E248" s="1235" t="inlineStr">
        <is>
          <t>Cross-sheet reference to the scenario engine on 24 Scenario Manager</t>
        </is>
      </c>
      <c r="F248" s="1235" t="inlineStr">
        <is>
          <t>'='Scenario Manager'!$J$&lt;engine row&gt;</t>
        </is>
      </c>
      <c r="G248" s="1235" t="inlineStr">
        <is>
          <t>Rebuilt live from the SCENARIO DRIVER MATRIX on 02 Model Assumptions rows 38 to 45</t>
        </is>
      </c>
      <c r="H248" s="1235" t="inlineStr">
        <is>
          <t>Independently computed tie-out values on 24 Scenario Manager rows 69 to 79</t>
        </is>
      </c>
      <c r="I248" s="1235" t="inlineStr">
        <is>
          <t>Consumption compounds at real GDP growth times elasticity in each scenario.</t>
        </is>
      </c>
      <c r="J248" s="1235" t="inlineStr">
        <is>
          <t>Hard-coding a scenario table guarantees it drifts from the drivers. The engine rebuilds the whole model for all four scenarios, so this table can never disagree with the assumptions.</t>
        </is>
      </c>
      <c r="K248" s="1235" t="inlineStr">
        <is>
          <t>FY2033E must equal 268.74 / 299.45 / 243.73 / 229.44 Mt, which are the independently computed values already on 24 Scenario Manager row 69</t>
        </is>
      </c>
      <c r="L248" s="1236" t="inlineStr">
        <is>
          <t>High</t>
        </is>
      </c>
      <c r="M248" s="1235" t="inlineStr">
        <is>
          <t>Scenario Manager, Model Assumptions</t>
        </is>
      </c>
      <c r="N248" s="1235" t="inlineStr">
        <is>
          <t>Live</t>
        </is>
      </c>
      <c r="O248" s="1236" t="inlineStr">
        <is>
          <t>Live</t>
        </is>
      </c>
      <c r="P248" s="1235" t="inlineStr">
        <is>
          <t>Demand is the least contested part of the model: even the stress case grows.</t>
        </is>
      </c>
    </row>
    <row r="249" ht="46" customHeight="1" s="632">
      <c r="A249" s="1232" t="inlineStr">
        <is>
          <t>DM09</t>
        </is>
      </c>
      <c r="B249" s="1233" t="inlineStr">
        <is>
          <t>India real GDP growth</t>
        </is>
      </c>
      <c r="C249" s="1242">
        <f>IF(ISNUMBER('Steel Demand Model'!J113),'Steel Demand Model'!J113,'Steel Demand Model'!C113)</f>
        <v/>
      </c>
      <c r="D249" s="1234" t="inlineStr">
        <is>
          <t>%</t>
        </is>
      </c>
      <c r="E249" s="1233" t="inlineStr">
        <is>
          <t>Cross-sheet reference (linked, not re-entered)</t>
        </is>
      </c>
      <c r="F249" s="1233" t="inlineStr">
        <is>
          <t>'='Macroeconomic Model'!D$101</t>
        </is>
      </c>
      <c r="G249" s="1233" t="inlineStr">
        <is>
          <t>03 Macro</t>
        </is>
      </c>
      <c r="H249" s="1233" t="inlineStr">
        <is>
          <t>26 Sources register; Master Industry Database source log (47 cited sources)</t>
        </is>
      </c>
      <c r="I249" s="1233" t="inlineStr">
        <is>
          <t>Linked, not re-entered.</t>
        </is>
      </c>
      <c r="J249" s="1233" t="n"/>
      <c r="K249" s="1233" t="inlineStr">
        <is>
          <t>Reconciled by 25 Audit Checks</t>
        </is>
      </c>
      <c r="L249" s="1234" t="inlineStr">
        <is>
          <t>High</t>
        </is>
      </c>
      <c r="M249" s="1233" t="inlineStr">
        <is>
          <t>Macroeconomic Model</t>
        </is>
      </c>
      <c r="N249" s="1233" t="inlineStr">
        <is>
          <t>Recalculates live with the model</t>
        </is>
      </c>
      <c r="O249" s="1234" t="inlineStr">
        <is>
          <t>Live</t>
        </is>
      </c>
      <c r="P249" s="1233" t="inlineStr">
        <is>
          <t>Research block row 113. Value column is live and re-states on a scenario change.</t>
        </is>
      </c>
    </row>
    <row r="250" ht="46" customHeight="1" s="632">
      <c r="A250" s="1232" t="inlineStr">
        <is>
          <t>DM10</t>
        </is>
      </c>
      <c r="B250" s="1235" t="inlineStr">
        <is>
          <t>Steel demand elasticity to GDP</t>
        </is>
      </c>
      <c r="C250" s="1241">
        <f>IF(ISNUMBER('Steel Demand Model'!J114),'Steel Demand Model'!J114,'Steel Demand Model'!C114)</f>
        <v/>
      </c>
      <c r="D250" s="1236" t="inlineStr">
        <is>
          <t>x</t>
        </is>
      </c>
      <c r="E250" s="1235" t="inlineStr">
        <is>
          <t>Cross-sheet reference (linked, not re-entered)</t>
        </is>
      </c>
      <c r="F250" s="1235" t="inlineStr">
        <is>
          <t>'='Model Assumptions'!E$9</t>
        </is>
      </c>
      <c r="G250" s="1235" t="inlineStr">
        <is>
          <t>Derived from Master DB</t>
        </is>
      </c>
      <c r="H250" s="1235" t="inlineStr">
        <is>
          <t>26 Sources register; Master Industry Database source log (47 cited sources)</t>
        </is>
      </c>
      <c r="I250" s="1235" t="inlineStr">
        <is>
          <t>FY2026A of 1.10x is the realised FY2015-FY2026 average, the midpoint of the 1.06x-1.13x range depending on the GDP deflator used.</t>
        </is>
      </c>
      <c r="J250" s="1235" t="n"/>
      <c r="K250" s="1235" t="inlineStr">
        <is>
          <t>Reconciled by 25 Audit Checks</t>
        </is>
      </c>
      <c r="L250" s="1236" t="inlineStr">
        <is>
          <t>High</t>
        </is>
      </c>
      <c r="M250" s="1235" t="inlineStr">
        <is>
          <t>Model Assumptions</t>
        </is>
      </c>
      <c r="N250" s="1235" t="inlineStr">
        <is>
          <t>Quarterly, on each results season</t>
        </is>
      </c>
      <c r="O250" s="1236" t="inlineStr">
        <is>
          <t>FY2026A</t>
        </is>
      </c>
      <c r="P250" s="1235" t="inlineStr">
        <is>
          <t>Research block row 114. Value column is live and re-states on a scenario change.</t>
        </is>
      </c>
    </row>
    <row r="251" ht="46" customHeight="1" s="632">
      <c r="A251" s="1232" t="inlineStr">
        <is>
          <t>DM11</t>
        </is>
      </c>
      <c r="B251" s="1233" t="inlineStr">
        <is>
          <t>Implied consumption growth</t>
        </is>
      </c>
      <c r="C251" s="1242">
        <f>IF(ISNUMBER('Steel Demand Model'!J115),'Steel Demand Model'!J115,'Steel Demand Model'!C115)</f>
        <v/>
      </c>
      <c r="D251" s="1234" t="inlineStr">
        <is>
          <t>%</t>
        </is>
      </c>
      <c r="E251" s="1233" t="inlineStr">
        <is>
          <t>Computed in-cell</t>
        </is>
      </c>
      <c r="F251" s="1233" t="inlineStr">
        <is>
          <t>'=D113*D114</t>
        </is>
      </c>
      <c r="G251" s="1233" t="inlineStr">
        <is>
          <t>Computed</t>
        </is>
      </c>
      <c r="H251" s="1233" t="inlineStr">
        <is>
          <t>26 Sources register; Master Industry Database source log (47 cited sources)</t>
        </is>
      </c>
      <c r="I251" s="1233" t="inlineStr">
        <is>
          <t>FY2026A of 7.9% is the actual reported growth, against 7.6% GDP times 1.04x realised elasticity - the model's structure reproduces the actual outturn.</t>
        </is>
      </c>
      <c r="J251" s="1233" t="n"/>
      <c r="K251" s="1233" t="inlineStr">
        <is>
          <t>Reconciled by 25 Audit Checks</t>
        </is>
      </c>
      <c r="L251" s="1234" t="inlineStr">
        <is>
          <t>High</t>
        </is>
      </c>
      <c r="M251" s="1233" t="inlineStr">
        <is>
          <t>This sheet</t>
        </is>
      </c>
      <c r="N251" s="1233" t="inlineStr">
        <is>
          <t>Recalculates live with the model</t>
        </is>
      </c>
      <c r="O251" s="1234" t="inlineStr">
        <is>
          <t>Live</t>
        </is>
      </c>
      <c r="P251" s="1233" t="inlineStr">
        <is>
          <t>Research block row 115. Value column is live and re-states on a scenario change.</t>
        </is>
      </c>
    </row>
    <row r="252" ht="46" customHeight="1" s="632">
      <c r="A252" s="1232" t="inlineStr">
        <is>
          <t>DM12</t>
        </is>
      </c>
      <c r="B252" s="1235" t="inlineStr">
        <is>
          <t>Apparent finished steel consumption</t>
        </is>
      </c>
      <c r="C252" s="1241">
        <f>IF(ISNUMBER('Steel Demand Model'!J116),'Steel Demand Model'!J116,'Steel Demand Model'!C116)</f>
        <v/>
      </c>
      <c r="D252" s="1236" t="inlineStr">
        <is>
          <t>Mt</t>
        </is>
      </c>
      <c r="E252" s="1235" t="inlineStr">
        <is>
          <t>Computed in-cell</t>
        </is>
      </c>
      <c r="F252" s="1235" t="inlineStr">
        <is>
          <t>'=C116*(1+D115)</t>
        </is>
      </c>
      <c r="G252" s="1235" t="inlineStr">
        <is>
          <t>00 Database Import A03</t>
        </is>
      </c>
      <c r="H252" s="1235" t="inlineStr">
        <is>
          <t>26 Sources register; Master Industry Database source log (47 cited sources)</t>
        </is>
      </c>
      <c r="I252" s="1235" t="inlineStr">
        <is>
          <t>FY2026A of 163.74 Mt is the April-2026 JPC vintage, which is the internally self-reconciling balance.</t>
        </is>
      </c>
      <c r="J252" s="1235" t="inlineStr">
        <is>
          <t>The June-2026 vintage of 164.19 Mt is a memo below.</t>
        </is>
      </c>
      <c r="K252" s="1235" t="inlineStr">
        <is>
          <t>Reconciled by 25 Audit Checks</t>
        </is>
      </c>
      <c r="L252" s="1236" t="inlineStr">
        <is>
          <t>High</t>
        </is>
      </c>
      <c r="M252" s="1235" t="inlineStr">
        <is>
          <t>This sheet</t>
        </is>
      </c>
      <c r="N252" s="1235" t="inlineStr">
        <is>
          <t>Quarterly, on each results season</t>
        </is>
      </c>
      <c r="O252" s="1236" t="inlineStr">
        <is>
          <t>FY2026A</t>
        </is>
      </c>
      <c r="P252" s="1235" t="inlineStr">
        <is>
          <t>Research block row 116. Value column is live and re-states on a scenario change.</t>
        </is>
      </c>
    </row>
    <row r="253" ht="46" customHeight="1" s="632">
      <c r="A253" s="1232" t="inlineStr">
        <is>
          <t>DM13</t>
        </is>
      </c>
      <c r="B253" s="1233" t="inlineStr">
        <is>
          <t>Memo: June-2026 JPC vintage, FY2026 actual</t>
        </is>
      </c>
      <c r="C253" s="1242">
        <f>'Steel Demand Model'!C117</f>
        <v/>
      </c>
      <c r="D253" s="1234" t="inlineStr">
        <is>
          <t>Mt</t>
        </is>
      </c>
      <c r="E253" s="1233" t="inlineStr">
        <is>
          <t>Sourced actual (hard value)</t>
        </is>
      </c>
      <c r="F253" s="1233" t="inlineStr">
        <is>
          <t>(constant) 164.19</t>
        </is>
      </c>
      <c r="G253" s="1233" t="inlineStr">
        <is>
          <t>Master DB</t>
        </is>
      </c>
      <c r="H253" s="1233" t="inlineStr">
        <is>
          <t>26 Sources register; Master Industry Database source log (47 cited sources)</t>
        </is>
      </c>
      <c r="I253" s="1233" t="inlineStr">
        <is>
          <t>Carried so the vintage difference is visible rather than buried - Master DB Conflict C03.</t>
        </is>
      </c>
      <c r="J253" s="1233" t="inlineStr">
        <is>
          <t>The 0.45 Mt difference is 0.27%.</t>
        </is>
      </c>
      <c r="K253" s="1233" t="inlineStr">
        <is>
          <t>Reconciled by 25 Audit Checks</t>
        </is>
      </c>
      <c r="L253" s="1234" t="inlineStr">
        <is>
          <t>High</t>
        </is>
      </c>
      <c r="M253" s="1233" t="inlineStr">
        <is>
          <t>This sheet</t>
        </is>
      </c>
      <c r="N253" s="1233" t="inlineStr">
        <is>
          <t>Quarterly, on each results season</t>
        </is>
      </c>
      <c r="O253" s="1234" t="inlineStr">
        <is>
          <t>FY2026A</t>
        </is>
      </c>
      <c r="P253" s="1233" t="inlineStr">
        <is>
          <t>Research block row 117. Value column is live and re-states on a scenario change.</t>
        </is>
      </c>
    </row>
    <row r="254" ht="46" customHeight="1" s="632">
      <c r="A254" s="1232" t="inlineStr">
        <is>
          <t>DM14</t>
        </is>
      </c>
      <c r="B254" s="1235" t="inlineStr">
        <is>
          <t>Population</t>
        </is>
      </c>
      <c r="C254" s="1241">
        <f>IF(ISNUMBER('Steel Demand Model'!J119),'Steel Demand Model'!J119,'Steel Demand Model'!C119)</f>
        <v/>
      </c>
      <c r="D254" s="1236" t="inlineStr">
        <is>
          <t>bn</t>
        </is>
      </c>
      <c r="E254" s="1235" t="inlineStr">
        <is>
          <t>Computed in-cell</t>
        </is>
      </c>
      <c r="F254" s="1235" t="inlineStr">
        <is>
          <t>'=C119*(1+$C$120)</t>
        </is>
      </c>
      <c r="G254" s="1235" t="inlineStr">
        <is>
          <t>Derived</t>
        </is>
      </c>
      <c r="H254" s="1235" t="inlineStr">
        <is>
          <t>26 Sources register; Master Industry Database source log (47 cited sources)</t>
        </is>
      </c>
      <c r="I254" s="1235" t="inlineStr">
        <is>
          <t>DERIVED from the database: consumption of 163.74 Mt divided by per capita consumption of 115.7 kg gives 1.4152 bn; the 1.4191 bn shown uses the June-vintage consumption of 164.19 Mt against 115.7 kg, which is the internally consistent pairing the database publishes.</t>
        </is>
      </c>
      <c r="J254" s="1235" t="n"/>
      <c r="K254" s="1235" t="inlineStr">
        <is>
          <t>Reconciled by 25 Audit Checks</t>
        </is>
      </c>
      <c r="L254" s="1236" t="inlineStr">
        <is>
          <t>Medium</t>
        </is>
      </c>
      <c r="M254" s="1235" t="inlineStr">
        <is>
          <t>This sheet</t>
        </is>
      </c>
      <c r="N254" s="1235" t="inlineStr">
        <is>
          <t>Quarterly, on each results season</t>
        </is>
      </c>
      <c r="O254" s="1236" t="inlineStr">
        <is>
          <t>FY2026A</t>
        </is>
      </c>
      <c r="P254" s="1235" t="inlineStr">
        <is>
          <t>Research block row 119. Value column is live and re-states on a scenario change.</t>
        </is>
      </c>
    </row>
    <row r="255" ht="46" customHeight="1" s="632">
      <c r="A255" s="1232" t="inlineStr">
        <is>
          <t>DM15</t>
        </is>
      </c>
      <c r="B255" s="1233" t="inlineStr">
        <is>
          <t>Population growth</t>
        </is>
      </c>
      <c r="C255" s="1242">
        <f>'Steel Demand Model'!C120</f>
        <v/>
      </c>
      <c r="D255" s="1234" t="inlineStr">
        <is>
          <t>%</t>
        </is>
      </c>
      <c r="E255" s="1233" t="inlineStr">
        <is>
          <t>Sourced actual (hard value)</t>
        </is>
      </c>
      <c r="F255" s="1233" t="inlineStr">
        <is>
          <t>(constant) 0.0085</t>
        </is>
      </c>
      <c r="G255" s="1233" t="inlineStr">
        <is>
          <t>NOT SOURCED</t>
        </is>
      </c>
      <c r="H255" s="1233" t="inlineStr">
        <is>
          <t>26 Sources register; Master Industry Database source log (47 cited sources)</t>
        </is>
      </c>
      <c r="I255" s="1233" t="inlineStr">
        <is>
          <t>0.85% per annum is NOT sourced in this research cycle.</t>
        </is>
      </c>
      <c r="J255" s="1233" t="inlineStr">
        <is>
          <t>Replace with a UN World Population Prospects series. Affects per capita consumption only, not tonnage, so it does not propagate into revenue or EBITDA.</t>
        </is>
      </c>
      <c r="K255" s="1233" t="inlineStr">
        <is>
          <t>Reconciled by 25 Audit Checks</t>
        </is>
      </c>
      <c r="L255" s="1234" t="inlineStr">
        <is>
          <t>Low</t>
        </is>
      </c>
      <c r="M255" s="1233" t="inlineStr">
        <is>
          <t>This sheet</t>
        </is>
      </c>
      <c r="N255" s="1233" t="inlineStr">
        <is>
          <t>Quarterly review; replace before transaction use</t>
        </is>
      </c>
      <c r="O255" s="1234" t="inlineStr">
        <is>
          <t>n/a</t>
        </is>
      </c>
      <c r="P255" s="1233" t="inlineStr">
        <is>
          <t>Research block row 120. Value column is live and re-states on a scenario change.</t>
        </is>
      </c>
    </row>
    <row r="256" ht="46" customHeight="1" s="632">
      <c r="A256" s="1232" t="inlineStr">
        <is>
          <t>DM16</t>
        </is>
      </c>
      <c r="B256" s="1235" t="inlineStr">
        <is>
          <t>Per capita finished steel consumption</t>
        </is>
      </c>
      <c r="C256" s="1241">
        <f>IF(ISNUMBER('Steel Demand Model'!J121),'Steel Demand Model'!J121,'Steel Demand Model'!C121)</f>
        <v/>
      </c>
      <c r="D256" s="1236" t="inlineStr">
        <is>
          <t>kg</t>
        </is>
      </c>
      <c r="E256" s="1235" t="inlineStr">
        <is>
          <t>Computed in-cell</t>
        </is>
      </c>
      <c r="F256" s="1235" t="inlineStr">
        <is>
          <t>'=D116/D119</t>
        </is>
      </c>
      <c r="G256" s="1235" t="inlineStr">
        <is>
          <t>Computed</t>
        </is>
      </c>
      <c r="H256" s="1235" t="inlineStr">
        <is>
          <t>26 Sources register; Master Industry Database source log (47 cited sources)</t>
        </is>
      </c>
      <c r="I256" s="1235" t="inlineStr">
        <is>
          <t>Consumption in Mt divided by population in bn gives kg per head directly.</t>
        </is>
      </c>
      <c r="J256" s="1235" t="inlineStr">
        <is>
          <t>India is at roughly half the world average of 215 kg and about a fifth of China's 604 kg.</t>
        </is>
      </c>
      <c r="K256" s="1235" t="inlineStr">
        <is>
          <t>Reconciled by 25 Audit Checks</t>
        </is>
      </c>
      <c r="L256" s="1236" t="inlineStr">
        <is>
          <t>Medium</t>
        </is>
      </c>
      <c r="M256" s="1235" t="inlineStr">
        <is>
          <t>This sheet</t>
        </is>
      </c>
      <c r="N256" s="1235" t="inlineStr">
        <is>
          <t>Recalculates live with the model</t>
        </is>
      </c>
      <c r="O256" s="1236" t="inlineStr">
        <is>
          <t>Live</t>
        </is>
      </c>
      <c r="P256" s="1235" t="inlineStr">
        <is>
          <t>Research block row 121. Value column is live and re-states on a scenario change.</t>
        </is>
      </c>
    </row>
    <row r="259" ht="18" customHeight="1" s="632">
      <c r="A259" s="1229" t="inlineStr">
        <is>
          <t>Steel Supply Model  -  17 documented items  (SM01 - SM17)</t>
        </is>
      </c>
      <c r="B259" s="1161" t="n"/>
      <c r="C259" s="1161" t="n"/>
      <c r="D259" s="1161" t="n"/>
      <c r="E259" s="1161" t="n"/>
      <c r="F259" s="1161" t="n"/>
      <c r="G259" s="1161" t="n"/>
      <c r="H259" s="1161" t="n"/>
      <c r="I259" s="1161" t="n"/>
      <c r="J259" s="1161" t="n"/>
      <c r="K259" s="1161" t="n"/>
      <c r="L259" s="1161" t="n"/>
      <c r="M259" s="1161" t="n"/>
      <c r="N259" s="1161" t="n"/>
      <c r="O259" s="1161" t="n"/>
      <c r="P259" s="1161" t="n"/>
    </row>
    <row r="260" ht="24" customHeight="1" s="632">
      <c r="A260" s="1230" t="inlineStr">
        <is>
          <t>Every documented number on Steel Supply Model. The Code column matches the Ref column on that sheet.</t>
        </is>
      </c>
    </row>
    <row r="261" ht="30" customHeight="1" s="632">
      <c r="A261" s="1231" t="inlineStr">
        <is>
          <t>Code</t>
        </is>
      </c>
      <c r="B261" s="1231" t="inlineStr">
        <is>
          <t>Model Item</t>
        </is>
      </c>
      <c r="C261" s="1231" t="inlineStr">
        <is>
          <t>Value</t>
        </is>
      </c>
      <c r="D261" s="1231" t="inlineStr">
        <is>
          <t>Unit</t>
        </is>
      </c>
      <c r="E261" s="1231" t="inlineStr">
        <is>
          <t>Calculation Method</t>
        </is>
      </c>
      <c r="F261" s="1231" t="inlineStr">
        <is>
          <t>Formula Used</t>
        </is>
      </c>
      <c r="G261" s="1231" t="inlineStr">
        <is>
          <t>Primary Source</t>
        </is>
      </c>
      <c r="H261" s="1231" t="inlineStr">
        <is>
          <t>Secondary Source</t>
        </is>
      </c>
      <c r="I261" s="1231" t="inlineStr">
        <is>
          <t>Assumption</t>
        </is>
      </c>
      <c r="J261" s="1231" t="inlineStr">
        <is>
          <t>Reasoning</t>
        </is>
      </c>
      <c r="K261" s="1231" t="inlineStr">
        <is>
          <t>Cross-check</t>
        </is>
      </c>
      <c r="L261" s="1231" t="inlineStr">
        <is>
          <t>Confidence Level</t>
        </is>
      </c>
      <c r="M261" s="1231" t="inlineStr">
        <is>
          <t>Linked Sheet</t>
        </is>
      </c>
      <c r="N261" s="1231" t="inlineStr">
        <is>
          <t>Update Frequency</t>
        </is>
      </c>
      <c r="O261" s="1231" t="inlineStr">
        <is>
          <t>Last Available Date</t>
        </is>
      </c>
      <c r="P261" s="1231" t="inlineStr">
        <is>
          <t>Comments</t>
        </is>
      </c>
    </row>
    <row r="262" ht="46" customHeight="1" s="632">
      <c r="A262" s="1232" t="inlineStr">
        <is>
          <t>SM01</t>
        </is>
      </c>
      <c r="B262" s="1233" t="inlineStr">
        <is>
          <t>Historical production FY2021-FY2026</t>
        </is>
      </c>
      <c r="C262" s="1248">
        <f>'Steel Supply Model'!C26</f>
        <v/>
      </c>
      <c r="D262" s="1234" t="inlineStr">
        <is>
          <t>Mt</t>
        </is>
      </c>
      <c r="E262" s="1233" t="inlineStr">
        <is>
          <t>Master Industry Database import (RED - to be reconnected as an external link)</t>
        </is>
      </c>
      <c r="F262" s="1233" t="inlineStr">
        <is>
          <t>'='[Master Industry Database.xlsx]Production Volume'!$D$20:$H$21</t>
        </is>
      </c>
      <c r="G262" s="1233" t="inlineStr">
        <is>
          <t>Joint Plant Committee, published by the Ministry of Steel</t>
        </is>
      </c>
      <c r="H262" s="1233" t="inlineStr">
        <is>
          <t>World Steel Association for the calendar-year cross-check (India CY2025 164.89 Mt)</t>
        </is>
      </c>
      <c r="I262" s="1233" t="inlineStr">
        <is>
          <t>Growth is computed on FINISHED steel production, which is the complete series; the crude series has a gap at FY2022.</t>
        </is>
      </c>
      <c r="J262" s="1233" t="inlineStr">
        <is>
          <t>Finished steel production compounded at 9.2% over FY2022-FY2026 while capacity compounded faster, which is precisely why utilisation fell from 80.4% in FY2024 to 76.4% in FY2026.</t>
        </is>
      </c>
      <c r="K262" s="1233" t="inlineStr">
        <is>
          <t>FY2026 crude of 168.42 Mt and finished of 161.74 Mt reconcile to a 1.041x ratio on the June vintage and 1.0465x on the April vintage used by the model</t>
        </is>
      </c>
      <c r="L262" s="1234" t="inlineStr">
        <is>
          <t>High</t>
        </is>
      </c>
      <c r="M262" s="1233" t="inlineStr">
        <is>
          <t>Master Industry Database</t>
        </is>
      </c>
      <c r="N262" s="1233" t="inlineStr">
        <is>
          <t>Monthly, on each Ministry of Steel report</t>
        </is>
      </c>
      <c r="O262" s="1234" t="inlineStr">
        <is>
          <t>FY2026 (provisional)</t>
        </is>
      </c>
      <c r="P262" s="1233" t="inlineStr">
        <is>
          <t>Six years of history were blank.</t>
        </is>
      </c>
    </row>
    <row r="263" ht="46" customHeight="1" s="632">
      <c r="A263" s="1232" t="inlineStr">
        <is>
          <t>SM02</t>
        </is>
      </c>
      <c r="B263" s="1235" t="inlineStr">
        <is>
          <t>Supply / demand balance check</t>
        </is>
      </c>
      <c r="C263" s="1254">
        <f>'Steel Supply Model'!B52</f>
        <v/>
      </c>
      <c r="D263" s="1236" t="inlineStr">
        <is>
          <t>Mt</t>
        </is>
      </c>
      <c r="E263" s="1235" t="inlineStr">
        <is>
          <t>Arithmetic reconciliation, live in every year</t>
        </is>
      </c>
      <c r="F263" s="1235" t="inlineStr">
        <is>
          <t>'=B48-B49-B50-B51 where B48 = domestic supply + imports</t>
        </is>
      </c>
      <c r="G263" s="1235" t="inlineStr">
        <is>
          <t>Joint Plant Committee supply balance identity</t>
        </is>
      </c>
      <c r="H263" s="1235" t="inlineStr">
        <is>
          <t>25 Audit Checks A07 and A08 test the same identity independently</t>
        </is>
      </c>
      <c r="I263" s="1235" t="inlineStr">
        <is>
          <t>The Joint Plant Committee identity: finished production = apparent consumption + net exports + variation in stock.</t>
        </is>
      </c>
      <c r="J263" s="1235" t="inlineStr">
        <is>
          <t>THE MOST IMPORTANT RECONCILIATION IN THE WORKBOOK. It must return zero in every year and in every scenario. FY2026A: 163.74 + 0.078 - 2.88 = 160.94, which is exactly the reported figure.</t>
        </is>
      </c>
      <c r="K263" s="1235" t="inlineStr">
        <is>
          <t>Independently duplicated by checks A07 and A08 on 25 Audit Checks</t>
        </is>
      </c>
      <c r="L263" s="1236" t="inlineStr">
        <is>
          <t>High</t>
        </is>
      </c>
      <c r="M263" s="1235" t="inlineStr">
        <is>
          <t>Steel Demand Model, Trade Model</t>
        </is>
      </c>
      <c r="N263" s="1235" t="inlineStr">
        <is>
          <t>Live</t>
        </is>
      </c>
      <c r="O263" s="1236" t="inlineStr">
        <is>
          <t>FY2026A</t>
        </is>
      </c>
      <c r="P263" s="1235" t="inlineStr">
        <is>
          <t>Was blank in every column.</t>
        </is>
      </c>
    </row>
    <row r="264" ht="46" customHeight="1" s="632">
      <c r="A264" s="1232" t="inlineStr">
        <is>
          <t>SM03</t>
        </is>
      </c>
      <c r="B264" s="1233" t="inlineStr">
        <is>
          <t>Supply risk scores by year</t>
        </is>
      </c>
      <c r="C264" s="1250">
        <f>'Steel Supply Model'!H82</f>
        <v/>
      </c>
      <c r="D264" s="1234" t="inlineStr">
        <is>
          <t>score 1-5</t>
        </is>
      </c>
      <c r="E264" s="1233" t="inlineStr">
        <is>
          <t>FY2027E and FY2033E scores entered on a 1-to-5 scale; intervening years interpolated</t>
        </is>
      </c>
      <c r="F264" s="1233" t="inlineStr">
        <is>
          <t>'=$B$78+($H$78-$B$78)*1/6</t>
        </is>
      </c>
      <c r="G264" s="1233" t="inlineStr">
        <is>
          <t>Qualitative judgement, each tied to a quantity established elsewhere in the model</t>
        </is>
      </c>
      <c r="H264" s="1233" t="inlineStr">
        <is>
          <t>Column I carries the specific limitation behind each row, unchanged</t>
        </is>
      </c>
      <c r="I264" s="1233" t="inlineStr">
        <is>
          <t>Each risk is scored 1 (low) to 5 (severe) for FY2027E and again for FY2033E, with the years between interpolated, so the TREND in each risk is explicit rather than implied. The scores are qualitative judgements and are labelled as such; what makes them defensible is that each one is tied to something the model or the policy record already establishes - import dependency for coal, the renewable share for power, the CBAM regime and the notified taxonomy thresholds for environmental regulation. Iron Ore Availability: Low and stable. India is essentially self-sufficient in iron ore and a net exporter, so availability risk is a domestic logistics and mining-lease question rather than a supply question. Coal Supply: High and stable, and the most important row in the table. India imports the large majority of its coking coal because domestic reserves are high-ash, so both price and availability risk are structural and are not reduced by anything in the forecast horizon. Logistics: Moderate, improving. Rail freight corridor capacity and port handling have both expanded materially, and the dedicated freight corridors specifically relieve the mine-to-mill haul that dominates Indian steel logistics cost. Power Availability: Moderate, improving. Grid availability has improved and the renewable share of industry electricity is modelled to rise from 6% to 25% over the horizon, which reduces exposure to coal-fired dispatch and to thermal coal availability. Environmental Regulation: Moderate, worsening sharply - the only row in the table that deteriorates. The EU CBAM definitive regime begins charging in FY2027, the green steel taxonomy notified on 23-Dec-2024 sets thresholds that Indian average intensity of 2.55 tCO2e/tfs does not meet, and state pollution control conditions on new capacity tighten as the FY2030-FY2031 cohort commissions. Plant Shutdowns: Low and stable. Unplanned outage risk on a large, diversified national asset base is a smoothing problem rather than an aggregate supply risk.</t>
        </is>
      </c>
      <c r="J264" s="1233" t="inlineStr">
        <is>
          <t>Forty-two blank cells, on the grounds that forward risk scoring is a qualitative overlay for which no published index exists. True, and a risk table with no scores in it is not an overlay, it is an empty frame. Each row now carries an FY2027E score and an FY2033E score on a 1-to-5 scale with the years between interpolated, so the TREND is explicit. Every score is tied to something the model or the policy record already establishes rather than to free judgement: coal risk to the import dependency now shown on 10 Raw Material Forecast, power risk to the renewable share modelled on 20 ESG Model, environmental risk to the CBAM regime and the notified taxonomy thresholds. THE MOST IMPORTANT THING THE TABLE NOW SAYS is that environmental regulation is the only risk that deteriorates over the horizon, from 3 to 5, while logistics and power both improve - which is a genuine conclusion and was invisible while the table was blank.</t>
        </is>
      </c>
      <c r="K264" s="1233" t="inlineStr">
        <is>
          <t>Coal supply must remain the highest input risk, consistent with the 88% import dependency on 10 Raw Material Forecast; environmental regulation must be the only worsening row</t>
        </is>
      </c>
      <c r="L264" s="1234" t="inlineStr">
        <is>
          <t>Low - qualitative scores, not a published index</t>
        </is>
      </c>
      <c r="M264" s="1233" t="inlineStr">
        <is>
          <t>Raw Material Forecast, ESG Model</t>
        </is>
      </c>
      <c r="N264" s="1233" t="inlineStr">
        <is>
          <t>Annually, and on any policy change</t>
        </is>
      </c>
      <c r="O264" s="1234" t="inlineStr">
        <is>
          <t>FY2026A</t>
        </is>
      </c>
      <c r="P264" s="1233" t="inlineStr">
        <is>
          <t>Populated by modelling rather than left blank; the basis is stated in the Assumption column so it can be replaced with a sourced series when one exists.</t>
        </is>
      </c>
    </row>
    <row r="265" ht="46" customHeight="1" s="632">
      <c r="A265" s="1232" t="inlineStr">
        <is>
          <t>SM04</t>
        </is>
      </c>
      <c r="B265" s="1235" t="inlineStr">
        <is>
          <t>Apparent finished steel consumption</t>
        </is>
      </c>
      <c r="C265" s="1241">
        <f>IF(ISNUMBER('Steel Supply Model'!J89),'Steel Supply Model'!J89,'Steel Supply Model'!C89)</f>
        <v/>
      </c>
      <c r="D265" s="1236" t="inlineStr">
        <is>
          <t>Mt</t>
        </is>
      </c>
      <c r="E265" s="1235" t="inlineStr">
        <is>
          <t>Cross-sheet reference (linked, not re-entered)</t>
        </is>
      </c>
      <c r="F265" s="1235" t="inlineStr">
        <is>
          <t>'='Steel Demand Model'!D$116</t>
        </is>
      </c>
      <c r="G265" s="1235" t="inlineStr">
        <is>
          <t>04 Demand</t>
        </is>
      </c>
      <c r="H265" s="1235" t="inlineStr">
        <is>
          <t>26 Sources register; Master Industry Database source log (47 cited sources)</t>
        </is>
      </c>
      <c r="I265" s="1235" t="n"/>
      <c r="J265" s="1235" t="n"/>
      <c r="K265" s="1235" t="inlineStr">
        <is>
          <t>Reconciled by 25 Audit Checks</t>
        </is>
      </c>
      <c r="L265" s="1236" t="inlineStr">
        <is>
          <t>High</t>
        </is>
      </c>
      <c r="M265" s="1235" t="inlineStr">
        <is>
          <t>Steel Demand Model</t>
        </is>
      </c>
      <c r="N265" s="1235" t="inlineStr">
        <is>
          <t>Recalculates live with the model</t>
        </is>
      </c>
      <c r="O265" s="1236" t="inlineStr">
        <is>
          <t>Live</t>
        </is>
      </c>
      <c r="P265" s="1235" t="inlineStr">
        <is>
          <t>Research block row 89. Value column is live and re-states on a scenario change.</t>
        </is>
      </c>
    </row>
    <row r="266" ht="46" customHeight="1" s="632">
      <c r="A266" s="1232" t="inlineStr">
        <is>
          <t>SM05</t>
        </is>
      </c>
      <c r="B266" s="1233" t="inlineStr">
        <is>
          <t>Net finished steel exports</t>
        </is>
      </c>
      <c r="C266" s="1242">
        <f>IF(ISNUMBER('Steel Supply Model'!J90),'Steel Supply Model'!J90,'Steel Supply Model'!C90)</f>
        <v/>
      </c>
      <c r="D266" s="1234" t="inlineStr">
        <is>
          <t>Mt</t>
        </is>
      </c>
      <c r="E266" s="1233" t="inlineStr">
        <is>
          <t>Cross-sheet reference (linked, not re-entered)</t>
        </is>
      </c>
      <c r="F266" s="1233" t="inlineStr">
        <is>
          <t>'='Model Assumptions'!E$14</t>
        </is>
      </c>
      <c r="G266" s="1233" t="inlineStr">
        <is>
          <t>Derived from Master DB</t>
        </is>
      </c>
      <c r="H266" s="1233" t="inlineStr">
        <is>
          <t>26 Sources register; Master Industry Database source log (47 cited sources)</t>
        </is>
      </c>
      <c r="I266" s="1233" t="inlineStr">
        <is>
          <t>FY2026A of +0.078 Mt - India returned to net exporter status having been 4.693 Mt net importer in FY2025, a 4.77 Mt swing in one year.</t>
        </is>
      </c>
      <c r="J266" s="1233" t="n"/>
      <c r="K266" s="1233" t="inlineStr">
        <is>
          <t>Reconciled by 25 Audit Checks</t>
        </is>
      </c>
      <c r="L266" s="1234" t="inlineStr">
        <is>
          <t>Medium</t>
        </is>
      </c>
      <c r="M266" s="1233" t="inlineStr">
        <is>
          <t>Model Assumptions</t>
        </is>
      </c>
      <c r="N266" s="1233" t="inlineStr">
        <is>
          <t>Quarterly, on each results season</t>
        </is>
      </c>
      <c r="O266" s="1234" t="inlineStr">
        <is>
          <t>FY2026A</t>
        </is>
      </c>
      <c r="P266" s="1233" t="inlineStr">
        <is>
          <t>Research block row 90. Value column is live and re-states on a scenario change.</t>
        </is>
      </c>
    </row>
    <row r="267" ht="46" customHeight="1" s="632">
      <c r="A267" s="1232" t="inlineStr">
        <is>
          <t>SM06</t>
        </is>
      </c>
      <c r="B267" s="1235" t="inlineStr">
        <is>
          <t>Variation in stock</t>
        </is>
      </c>
      <c r="C267" s="1241">
        <f>IF(ISNUMBER('Steel Supply Model'!J91),'Steel Supply Model'!J91,'Steel Supply Model'!C91)</f>
        <v/>
      </c>
      <c r="D267" s="1236" t="inlineStr">
        <is>
          <t>Mt</t>
        </is>
      </c>
      <c r="E267" s="1235" t="inlineStr">
        <is>
          <t>Cross-sheet reference (linked, not re-entered)</t>
        </is>
      </c>
      <c r="F267" s="1235" t="inlineStr">
        <is>
          <t>'='Model Assumptions'!E$15</t>
        </is>
      </c>
      <c r="G267" s="1235" t="inlineStr">
        <is>
          <t>Master DB supply balance</t>
        </is>
      </c>
      <c r="H267" s="1235" t="inlineStr">
        <is>
          <t>26 Sources register; Master Industry Database source log (47 cited sources)</t>
        </is>
      </c>
      <c r="I267" s="1235" t="inlineStr">
        <is>
          <t>FY2026A of -2.88 Mt, i.e.</t>
        </is>
      </c>
      <c r="J267" s="1235" t="inlineStr">
        <is>
          <t>a DESTOCK of about 1.8% of consumption which flattered reported consumption growth. Base normalises to a small restock.</t>
        </is>
      </c>
      <c r="K267" s="1235" t="inlineStr">
        <is>
          <t>Reconciled by 25 Audit Checks</t>
        </is>
      </c>
      <c r="L267" s="1236" t="inlineStr">
        <is>
          <t>Medium</t>
        </is>
      </c>
      <c r="M267" s="1235" t="inlineStr">
        <is>
          <t>Model Assumptions</t>
        </is>
      </c>
      <c r="N267" s="1235" t="inlineStr">
        <is>
          <t>Quarterly, on each results season</t>
        </is>
      </c>
      <c r="O267" s="1236" t="inlineStr">
        <is>
          <t>FY2026A</t>
        </is>
      </c>
      <c r="P267" s="1235" t="inlineStr">
        <is>
          <t>Research block row 91. Value column is live and re-states on a scenario change.</t>
        </is>
      </c>
    </row>
    <row r="268" ht="46" customHeight="1" s="632">
      <c r="A268" s="1232" t="inlineStr">
        <is>
          <t>SM07</t>
        </is>
      </c>
      <c r="B268" s="1233" t="inlineStr">
        <is>
          <t>Required finished steel production</t>
        </is>
      </c>
      <c r="C268" s="1242">
        <f>IF(ISNUMBER('Steel Supply Model'!J92),'Steel Supply Model'!J92,'Steel Supply Model'!C92)</f>
        <v/>
      </c>
      <c r="D268" s="1234" t="inlineStr">
        <is>
          <t>Mt</t>
        </is>
      </c>
      <c r="E268" s="1233" t="inlineStr">
        <is>
          <t>Computed in-cell</t>
        </is>
      </c>
      <c r="F268" s="1233" t="inlineStr">
        <is>
          <t>'=D89+D90+D91</t>
        </is>
      </c>
      <c r="G268" s="1233" t="inlineStr">
        <is>
          <t>Computed - JPC identity</t>
        </is>
      </c>
      <c r="H268" s="1233" t="inlineStr">
        <is>
          <t>26 Sources register; Master Industry Database source log (47 cited sources)</t>
        </is>
      </c>
      <c r="I268" s="1233" t="inlineStr">
        <is>
          <t>IDENTITY CHECK: 163.74 + 0.078 + (-2.88) = 160.94, which equals the reported FY2026 finished steel production exactly.</t>
        </is>
      </c>
      <c r="J268" s="1233" t="inlineStr">
        <is>
          <t>The balance closes.</t>
        </is>
      </c>
      <c r="K268" s="1233" t="inlineStr">
        <is>
          <t>Reconciled by 25 Audit Checks</t>
        </is>
      </c>
      <c r="L268" s="1234" t="inlineStr">
        <is>
          <t>High</t>
        </is>
      </c>
      <c r="M268" s="1233" t="inlineStr">
        <is>
          <t>This sheet</t>
        </is>
      </c>
      <c r="N268" s="1233" t="inlineStr">
        <is>
          <t>Monthly, on each Ministry of Steel report</t>
        </is>
      </c>
      <c r="O268" s="1234" t="inlineStr">
        <is>
          <t>Apr-2026</t>
        </is>
      </c>
      <c r="P268" s="1233" t="inlineStr">
        <is>
          <t>Research block row 92. Value column is live and re-states on a scenario change.</t>
        </is>
      </c>
    </row>
    <row r="269" ht="46" customHeight="1" s="632">
      <c r="A269" s="1232" t="inlineStr">
        <is>
          <t>SM08</t>
        </is>
      </c>
      <c r="B269" s="1235" t="inlineStr">
        <is>
          <t>Crude-to-finished steel ratio</t>
        </is>
      </c>
      <c r="C269" s="1241">
        <f>IF(ISNUMBER('Steel Supply Model'!J93),'Steel Supply Model'!J93,'Steel Supply Model'!C93)</f>
        <v/>
      </c>
      <c r="D269" s="1236" t="inlineStr">
        <is>
          <t>x</t>
        </is>
      </c>
      <c r="E269" s="1235" t="inlineStr">
        <is>
          <t>Cross-sheet reference (linked, not re-entered)</t>
        </is>
      </c>
      <c r="F269" s="1235" t="inlineStr">
        <is>
          <t>'='Model Assumptions'!E$13</t>
        </is>
      </c>
      <c r="G269" s="1235" t="inlineStr">
        <is>
          <t>Derived from Master DB</t>
        </is>
      </c>
      <c r="H269" s="1235" t="inlineStr">
        <is>
          <t>26 Sources register; Master Industry Database source log (47 cited sources)</t>
        </is>
      </c>
      <c r="I269" s="1235" t="inlineStr">
        <is>
          <t>168.42 / 160.94 on the April-2026 vintage.</t>
        </is>
      </c>
      <c r="J269" s="1235" t="inlineStr">
        <is>
          <t>On the June vintage it would be 1.0413, a 0.5% difference.</t>
        </is>
      </c>
      <c r="K269" s="1235" t="inlineStr">
        <is>
          <t>Reconciled by 25 Audit Checks</t>
        </is>
      </c>
      <c r="L269" s="1236" t="inlineStr">
        <is>
          <t>High</t>
        </is>
      </c>
      <c r="M269" s="1235" t="inlineStr">
        <is>
          <t>Model Assumptions</t>
        </is>
      </c>
      <c r="N269" s="1235" t="inlineStr">
        <is>
          <t>Quarterly, on each results season</t>
        </is>
      </c>
      <c r="O269" s="1236" t="inlineStr">
        <is>
          <t>FY2026A</t>
        </is>
      </c>
      <c r="P269" s="1235" t="inlineStr">
        <is>
          <t>Research block row 93. Value column is live and re-states on a scenario change.</t>
        </is>
      </c>
    </row>
    <row r="270" ht="46" customHeight="1" s="632">
      <c r="A270" s="1232" t="inlineStr">
        <is>
          <t>SM09</t>
        </is>
      </c>
      <c r="B270" s="1233" t="inlineStr">
        <is>
          <t>Required crude steel production (unconstrained)</t>
        </is>
      </c>
      <c r="C270" s="1242">
        <f>IF(ISNUMBER('Steel Supply Model'!J94),'Steel Supply Model'!J94,'Steel Supply Model'!C94)</f>
        <v/>
      </c>
      <c r="D270" s="1234" t="inlineStr">
        <is>
          <t>Mt</t>
        </is>
      </c>
      <c r="E270" s="1233" t="inlineStr">
        <is>
          <t>Computed in-cell</t>
        </is>
      </c>
      <c r="F270" s="1233" t="inlineStr">
        <is>
          <t>'=D92*D93</t>
        </is>
      </c>
      <c r="G270" s="1233" t="inlineStr">
        <is>
          <t>Computed</t>
        </is>
      </c>
      <c r="H270" s="1233" t="inlineStr">
        <is>
          <t>26 Sources register; Master Industry Database source log (47 cited sources)</t>
        </is>
      </c>
      <c r="I270" s="1233" t="n"/>
      <c r="J270" s="1233" t="n"/>
      <c r="K270" s="1233" t="inlineStr">
        <is>
          <t>Reconciled by 25 Audit Checks</t>
        </is>
      </c>
      <c r="L270" s="1234" t="inlineStr">
        <is>
          <t>High</t>
        </is>
      </c>
      <c r="M270" s="1233" t="inlineStr">
        <is>
          <t>This sheet</t>
        </is>
      </c>
      <c r="N270" s="1233" t="inlineStr">
        <is>
          <t>Recalculates live with the model</t>
        </is>
      </c>
      <c r="O270" s="1234" t="inlineStr">
        <is>
          <t>Live</t>
        </is>
      </c>
      <c r="P270" s="1233" t="inlineStr">
        <is>
          <t>Research block row 94. Value column is live and re-states on a scenario change.</t>
        </is>
      </c>
    </row>
    <row r="271" ht="46" customHeight="1" s="632">
      <c r="A271" s="1232" t="inlineStr">
        <is>
          <t>SM10</t>
        </is>
      </c>
      <c r="B271" s="1235" t="inlineStr">
        <is>
          <t>Crude steel capacity</t>
        </is>
      </c>
      <c r="C271" s="1241">
        <f>IF(ISNUMBER('Steel Supply Model'!J96),'Steel Supply Model'!J96,'Steel Supply Model'!C96)</f>
        <v/>
      </c>
      <c r="D271" s="1236" t="inlineStr">
        <is>
          <t>Mtpa</t>
        </is>
      </c>
      <c r="E271" s="1235" t="inlineStr">
        <is>
          <t>Cross-sheet reference (linked, not re-entered)</t>
        </is>
      </c>
      <c r="F271" s="1235" t="inlineStr">
        <is>
          <t>'='Capacity Forecast'!D$101</t>
        </is>
      </c>
      <c r="G271" s="1235" t="inlineStr">
        <is>
          <t>06 Capacity</t>
        </is>
      </c>
      <c r="H271" s="1235" t="inlineStr">
        <is>
          <t>26 Sources register; Master Industry Database source log (47 cited sources)</t>
        </is>
      </c>
      <c r="I271" s="1235" t="n"/>
      <c r="J271" s="1235" t="n"/>
      <c r="K271" s="1235" t="inlineStr">
        <is>
          <t>Reconciled by 25 Audit Checks</t>
        </is>
      </c>
      <c r="L271" s="1236" t="inlineStr">
        <is>
          <t>High</t>
        </is>
      </c>
      <c r="M271" s="1235" t="inlineStr">
        <is>
          <t>Capacity Forecast</t>
        </is>
      </c>
      <c r="N271" s="1235" t="inlineStr">
        <is>
          <t>Recalculates live with the model</t>
        </is>
      </c>
      <c r="O271" s="1236" t="inlineStr">
        <is>
          <t>Live</t>
        </is>
      </c>
      <c r="P271" s="1235" t="inlineStr">
        <is>
          <t>Research block row 96. Value column is live and re-states on a scenario change.</t>
        </is>
      </c>
    </row>
    <row r="272" ht="46" customHeight="1" s="632">
      <c r="A272" s="1232" t="inlineStr">
        <is>
          <t>SM11</t>
        </is>
      </c>
      <c r="B272" s="1233" t="inlineStr">
        <is>
          <t>Maximum practical utilisation</t>
        </is>
      </c>
      <c r="C272" s="1242">
        <f>'Steel Supply Model'!J97</f>
        <v/>
      </c>
      <c r="D272" s="1234" t="inlineStr">
        <is>
          <t>%</t>
        </is>
      </c>
      <c r="E272" s="1233" t="inlineStr">
        <is>
          <t>Cross-sheet reference (linked, not re-entered)</t>
        </is>
      </c>
      <c r="F272" s="1233" t="inlineStr">
        <is>
          <t>'='Model Assumptions'!E$32</t>
        </is>
      </c>
      <c r="G272" s="1233" t="inlineStr">
        <is>
          <t>Indicative</t>
        </is>
      </c>
      <c r="H272" s="1233" t="inlineStr">
        <is>
          <t>26 Sources register; Master Industry Database source log (47 cited sources)</t>
        </is>
      </c>
      <c r="I272" s="1233" t="inlineStr">
        <is>
          <t>92%.</t>
        </is>
      </c>
      <c r="J272" s="1233" t="inlineStr">
        <is>
          <t>Allows for maintenance and relining. Individual assets can exceed nameplate - the database records SAIL Rourkela at 103.8% - but a national aggregate cannot.</t>
        </is>
      </c>
      <c r="K272" s="1233" t="inlineStr">
        <is>
          <t>Reconciled by 25 Audit Checks</t>
        </is>
      </c>
      <c r="L272" s="1234" t="inlineStr">
        <is>
          <t>Low</t>
        </is>
      </c>
      <c r="M272" s="1233" t="inlineStr">
        <is>
          <t>Model Assumptions</t>
        </is>
      </c>
      <c r="N272" s="1233" t="inlineStr">
        <is>
          <t>Quarterly review; replace before transaction use</t>
        </is>
      </c>
      <c r="O272" s="1234" t="inlineStr">
        <is>
          <t>n/a</t>
        </is>
      </c>
      <c r="P272" s="1233" t="inlineStr">
        <is>
          <t>Research block row 97. Value column is live and re-states on a scenario change.</t>
        </is>
      </c>
    </row>
    <row r="273" ht="46" customHeight="1" s="632">
      <c r="A273" s="1232" t="inlineStr">
        <is>
          <t>SM12</t>
        </is>
      </c>
      <c r="B273" s="1235" t="inlineStr">
        <is>
          <t>Maximum crude steel production</t>
        </is>
      </c>
      <c r="C273" s="1241">
        <f>'Steel Supply Model'!J98</f>
        <v/>
      </c>
      <c r="D273" s="1236" t="inlineStr">
        <is>
          <t>Mt</t>
        </is>
      </c>
      <c r="E273" s="1235" t="inlineStr">
        <is>
          <t>Computed in-cell</t>
        </is>
      </c>
      <c r="F273" s="1235" t="inlineStr">
        <is>
          <t>'=D96*D97</t>
        </is>
      </c>
      <c r="G273" s="1235" t="inlineStr">
        <is>
          <t>Computed</t>
        </is>
      </c>
      <c r="H273" s="1235" t="inlineStr">
        <is>
          <t>26 Sources register; Master Industry Database source log (47 cited sources)</t>
        </is>
      </c>
      <c r="I273" s="1235" t="n"/>
      <c r="J273" s="1235" t="n"/>
      <c r="K273" s="1235" t="inlineStr">
        <is>
          <t>Reconciled by 25 Audit Checks</t>
        </is>
      </c>
      <c r="L273" s="1236" t="inlineStr">
        <is>
          <t>Low</t>
        </is>
      </c>
      <c r="M273" s="1235" t="inlineStr">
        <is>
          <t>This sheet</t>
        </is>
      </c>
      <c r="N273" s="1235" t="inlineStr">
        <is>
          <t>Recalculates live with the model</t>
        </is>
      </c>
      <c r="O273" s="1236" t="inlineStr">
        <is>
          <t>Live</t>
        </is>
      </c>
      <c r="P273" s="1235" t="inlineStr">
        <is>
          <t>Research block row 98. Value column is live and re-states on a scenario change.</t>
        </is>
      </c>
    </row>
    <row r="274" ht="46" customHeight="1" s="632">
      <c r="A274" s="1232" t="inlineStr">
        <is>
          <t>SM13</t>
        </is>
      </c>
      <c r="B274" s="1233" t="inlineStr">
        <is>
          <t>Crude steel production</t>
        </is>
      </c>
      <c r="C274" s="1242">
        <f>IF(ISNUMBER('Steel Supply Model'!J99),'Steel Supply Model'!J99,'Steel Supply Model'!C99)</f>
        <v/>
      </c>
      <c r="D274" s="1234" t="inlineStr">
        <is>
          <t>Mt</t>
        </is>
      </c>
      <c r="E274" s="1233" t="inlineStr">
        <is>
          <t>Conditional / constrained calculation</t>
        </is>
      </c>
      <c r="F274" s="1233" t="inlineStr">
        <is>
          <t>'=MIN(D94,D98)</t>
        </is>
      </c>
      <c r="G274" s="1233" t="inlineStr">
        <is>
          <t>Computed</t>
        </is>
      </c>
      <c r="H274" s="1233" t="inlineStr">
        <is>
          <t>26 Sources register; Master Industry Database source log (47 cited sources)</t>
        </is>
      </c>
      <c r="I274" s="1233" t="inlineStr">
        <is>
          <t>The binding constraint.</t>
        </is>
      </c>
      <c r="J274" s="1233" t="inlineStr">
        <is>
          <t>In the base case the ceiling does NOT bind - peak utilisation is 84.0% in FY2033 - which is itself an important finding: India is not capacity-constrained on this demand path.</t>
        </is>
      </c>
      <c r="K274" s="1233" t="inlineStr">
        <is>
          <t>Reconciled by 25 Audit Checks</t>
        </is>
      </c>
      <c r="L274" s="1234" t="inlineStr">
        <is>
          <t>High</t>
        </is>
      </c>
      <c r="M274" s="1233" t="inlineStr">
        <is>
          <t>This sheet</t>
        </is>
      </c>
      <c r="N274" s="1233" t="inlineStr">
        <is>
          <t>Recalculates live with the model</t>
        </is>
      </c>
      <c r="O274" s="1234" t="inlineStr">
        <is>
          <t>Live</t>
        </is>
      </c>
      <c r="P274" s="1233" t="inlineStr">
        <is>
          <t>Research block row 99. Value column is live and re-states on a scenario change.</t>
        </is>
      </c>
    </row>
    <row r="275" ht="46" customHeight="1" s="632">
      <c r="A275" s="1232" t="inlineStr">
        <is>
          <t>SM14</t>
        </is>
      </c>
      <c r="B275" s="1235" t="inlineStr">
        <is>
          <t>Capacity ceiling binding?</t>
        </is>
      </c>
      <c r="C275" s="1241">
        <f>'Steel Supply Model'!J100</f>
        <v/>
      </c>
      <c r="D275" s="1236" t="inlineStr">
        <is>
          <t>flag</t>
        </is>
      </c>
      <c r="E275" s="1235" t="inlineStr">
        <is>
          <t>Conditional / constrained calculation</t>
        </is>
      </c>
      <c r="F275" s="1235" t="inlineStr">
        <is>
          <t>'=IF(D94&gt;D98+0.001,"BINDING","no")</t>
        </is>
      </c>
      <c r="G275" s="1235" t="inlineStr">
        <is>
          <t>Computed</t>
        </is>
      </c>
      <c r="H275" s="1235" t="inlineStr">
        <is>
          <t>26 Sources register; Master Industry Database source log (47 cited sources)</t>
        </is>
      </c>
      <c r="I275" s="1235" t="inlineStr">
        <is>
          <t>Flags any year where domestic demand cannot be met from domestic capacity.</t>
        </is>
      </c>
      <c r="J275" s="1235" t="n"/>
      <c r="K275" s="1235" t="inlineStr">
        <is>
          <t>Reconciled by 25 Audit Checks</t>
        </is>
      </c>
      <c r="L275" s="1236" t="inlineStr">
        <is>
          <t>High</t>
        </is>
      </c>
      <c r="M275" s="1235" t="inlineStr">
        <is>
          <t>This sheet</t>
        </is>
      </c>
      <c r="N275" s="1235" t="inlineStr">
        <is>
          <t>Recalculates live with the model</t>
        </is>
      </c>
      <c r="O275" s="1236" t="inlineStr">
        <is>
          <t>Live</t>
        </is>
      </c>
      <c r="P275" s="1235" t="inlineStr">
        <is>
          <t>Research block row 100. Value column is live and re-states on a scenario change.</t>
        </is>
      </c>
    </row>
    <row r="276" ht="46" customHeight="1" s="632">
      <c r="A276" s="1232" t="inlineStr">
        <is>
          <t>SM15</t>
        </is>
      </c>
      <c r="B276" s="1233" t="inlineStr">
        <is>
          <t>Finished steel production</t>
        </is>
      </c>
      <c r="C276" s="1242">
        <f>IF(ISNUMBER('Steel Supply Model'!J101),'Steel Supply Model'!J101,'Steel Supply Model'!C101)</f>
        <v/>
      </c>
      <c r="D276" s="1234" t="inlineStr">
        <is>
          <t>Mt</t>
        </is>
      </c>
      <c r="E276" s="1233" t="inlineStr">
        <is>
          <t>Computed in-cell</t>
        </is>
      </c>
      <c r="F276" s="1233" t="inlineStr">
        <is>
          <t>'=D99/D93</t>
        </is>
      </c>
      <c r="G276" s="1233" t="inlineStr">
        <is>
          <t>Computed</t>
        </is>
      </c>
      <c r="H276" s="1233" t="inlineStr">
        <is>
          <t>26 Sources register; Master Industry Database source log (47 cited sources)</t>
        </is>
      </c>
      <c r="I276" s="1233" t="n"/>
      <c r="J276" s="1233" t="n"/>
      <c r="K276" s="1233" t="inlineStr">
        <is>
          <t>Reconciled by 25 Audit Checks</t>
        </is>
      </c>
      <c r="L276" s="1234" t="inlineStr">
        <is>
          <t>High</t>
        </is>
      </c>
      <c r="M276" s="1233" t="inlineStr">
        <is>
          <t>This sheet</t>
        </is>
      </c>
      <c r="N276" s="1233" t="inlineStr">
        <is>
          <t>Recalculates live with the model</t>
        </is>
      </c>
      <c r="O276" s="1234" t="inlineStr">
        <is>
          <t>Live</t>
        </is>
      </c>
      <c r="P276" s="1233" t="inlineStr">
        <is>
          <t>Research block row 101. Value column is live and re-states on a scenario change.</t>
        </is>
      </c>
    </row>
    <row r="277" ht="46" customHeight="1" s="632">
      <c r="A277" s="1232" t="inlineStr">
        <is>
          <t>SM16</t>
        </is>
      </c>
      <c r="B277" s="1235" t="inlineStr">
        <is>
          <t>Shortfall met by additional imports</t>
        </is>
      </c>
      <c r="C277" s="1241">
        <f>IF(ISNUMBER('Steel Supply Model'!J102),'Steel Supply Model'!J102,'Steel Supply Model'!C102)</f>
        <v/>
      </c>
      <c r="D277" s="1236" t="inlineStr">
        <is>
          <t>Mt</t>
        </is>
      </c>
      <c r="E277" s="1235" t="inlineStr">
        <is>
          <t>Conditional / constrained calculation</t>
        </is>
      </c>
      <c r="F277" s="1235" t="inlineStr">
        <is>
          <t>'=MAX(0,D92-D101)</t>
        </is>
      </c>
      <c r="G277" s="1235" t="inlineStr">
        <is>
          <t>Computed</t>
        </is>
      </c>
      <c r="H277" s="1235" t="inlineStr">
        <is>
          <t>26 Sources register; Master Industry Database source log (47 cited sources)</t>
        </is>
      </c>
      <c r="I277" s="1235" t="inlineStr">
        <is>
          <t>Keeps the balance closed when the ceiling binds.</t>
        </is>
      </c>
      <c r="J277" s="1235" t="inlineStr">
        <is>
          <t>Flows through to 19 Trade Model.</t>
        </is>
      </c>
      <c r="K277" s="1235" t="inlineStr">
        <is>
          <t>Reconciled by 25 Audit Checks</t>
        </is>
      </c>
      <c r="L277" s="1236" t="inlineStr">
        <is>
          <t>High</t>
        </is>
      </c>
      <c r="M277" s="1235" t="inlineStr">
        <is>
          <t>This sheet</t>
        </is>
      </c>
      <c r="N277" s="1235" t="inlineStr">
        <is>
          <t>Recalculates live with the model</t>
        </is>
      </c>
      <c r="O277" s="1236" t="inlineStr">
        <is>
          <t>Live</t>
        </is>
      </c>
      <c r="P277" s="1235" t="inlineStr">
        <is>
          <t>Research block row 102. Value column is live and re-states on a scenario change.</t>
        </is>
      </c>
    </row>
    <row r="278" ht="46" customHeight="1" s="632">
      <c r="A278" s="1232" t="inlineStr">
        <is>
          <t>SM17</t>
        </is>
      </c>
      <c r="B278" s="1233" t="inlineStr">
        <is>
          <t>FY2022 crude steel production</t>
        </is>
      </c>
      <c r="C278" s="1233" t="n"/>
      <c r="D278" s="1234" t="inlineStr">
        <is>
          <t>Mt</t>
        </is>
      </c>
      <c r="E278" s="1233" t="inlineStr">
        <is>
          <t>NOT POPULATED - red fill (missing data)</t>
        </is>
      </c>
      <c r="F278" s="1233" t="inlineStr">
        <is>
          <t>(blank by design)</t>
        </is>
      </c>
      <c r="G278" s="1233" t="inlineStr">
        <is>
          <t>No reliable source located and no defensible basis for an estimate</t>
        </is>
      </c>
      <c r="H278" s="1233" t="inlineStr">
        <is>
          <t>n/a</t>
        </is>
      </c>
      <c r="I278" s="1233" t="inlineStr">
        <is>
          <t>None asserted. The cell is deliberately blank.</t>
        </is>
      </c>
      <c r="J278" s="1233" t="inlineStr">
        <is>
          <t>The Joint Plant Committee series carried in the Master Industry Database records "Data Not Publicly Available" for FY2022 crude steel production. Only finished steel production (113.60 Mt) is available for that year.</t>
        </is>
      </c>
      <c r="K278" s="1233" t="inlineStr">
        <is>
          <t>Excluded from every headline output and from the audit checks</t>
        </is>
      </c>
      <c r="L278" s="1234" t="inlineStr">
        <is>
          <t>n/a - unavailable</t>
        </is>
      </c>
      <c r="M278" s="1233" t="inlineStr">
        <is>
          <t>This sheet</t>
        </is>
      </c>
      <c r="N278" s="1233" t="inlineStr">
        <is>
          <t>Populate when a primary source becomes available</t>
        </is>
      </c>
      <c r="O278" s="1234" t="inlineStr">
        <is>
          <t>Not available</t>
        </is>
      </c>
      <c r="P278" s="1233" t="inlineStr">
        <is>
          <t>Red (missing) cells: B22</t>
        </is>
      </c>
    </row>
    <row r="281" ht="18" customHeight="1" s="632">
      <c r="A281" s="1229" t="inlineStr">
        <is>
          <t>Capacity Forecast  -  15 documented items  (CF01 - CF15)</t>
        </is>
      </c>
      <c r="B281" s="1161" t="n"/>
      <c r="C281" s="1161" t="n"/>
      <c r="D281" s="1161" t="n"/>
      <c r="E281" s="1161" t="n"/>
      <c r="F281" s="1161" t="n"/>
      <c r="G281" s="1161" t="n"/>
      <c r="H281" s="1161" t="n"/>
      <c r="I281" s="1161" t="n"/>
      <c r="J281" s="1161" t="n"/>
      <c r="K281" s="1161" t="n"/>
      <c r="L281" s="1161" t="n"/>
      <c r="M281" s="1161" t="n"/>
      <c r="N281" s="1161" t="n"/>
      <c r="O281" s="1161" t="n"/>
      <c r="P281" s="1161" t="n"/>
    </row>
    <row r="282" ht="24" customHeight="1" s="632">
      <c r="A282" s="1230" t="inlineStr">
        <is>
          <t>Every documented number on Capacity Forecast. The Code column matches the Ref column on that sheet.</t>
        </is>
      </c>
    </row>
    <row r="283" ht="30" customHeight="1" s="632">
      <c r="A283" s="1231" t="inlineStr">
        <is>
          <t>Code</t>
        </is>
      </c>
      <c r="B283" s="1231" t="inlineStr">
        <is>
          <t>Model Item</t>
        </is>
      </c>
      <c r="C283" s="1231" t="inlineStr">
        <is>
          <t>Value</t>
        </is>
      </c>
      <c r="D283" s="1231" t="inlineStr">
        <is>
          <t>Unit</t>
        </is>
      </c>
      <c r="E283" s="1231" t="inlineStr">
        <is>
          <t>Calculation Method</t>
        </is>
      </c>
      <c r="F283" s="1231" t="inlineStr">
        <is>
          <t>Formula Used</t>
        </is>
      </c>
      <c r="G283" s="1231" t="inlineStr">
        <is>
          <t>Primary Source</t>
        </is>
      </c>
      <c r="H283" s="1231" t="inlineStr">
        <is>
          <t>Secondary Source</t>
        </is>
      </c>
      <c r="I283" s="1231" t="inlineStr">
        <is>
          <t>Assumption</t>
        </is>
      </c>
      <c r="J283" s="1231" t="inlineStr">
        <is>
          <t>Reasoning</t>
        </is>
      </c>
      <c r="K283" s="1231" t="inlineStr">
        <is>
          <t>Cross-check</t>
        </is>
      </c>
      <c r="L283" s="1231" t="inlineStr">
        <is>
          <t>Confidence Level</t>
        </is>
      </c>
      <c r="M283" s="1231" t="inlineStr">
        <is>
          <t>Linked Sheet</t>
        </is>
      </c>
      <c r="N283" s="1231" t="inlineStr">
        <is>
          <t>Update Frequency</t>
        </is>
      </c>
      <c r="O283" s="1231" t="inlineStr">
        <is>
          <t>Last Available Date</t>
        </is>
      </c>
      <c r="P283" s="1231" t="inlineStr">
        <is>
          <t>Comments</t>
        </is>
      </c>
    </row>
    <row r="284" ht="46" customHeight="1" s="632">
      <c r="A284" s="1232" t="inlineStr">
        <is>
          <t>CF01</t>
        </is>
      </c>
      <c r="B284" s="1233" t="inlineStr">
        <is>
          <t>Company-wise capacity, India basis</t>
        </is>
      </c>
      <c r="C284" s="1248">
        <f>'Capacity Forecast'!B29</f>
        <v/>
      </c>
      <c r="D284" s="1234" t="inlineStr">
        <is>
          <t>Mtpa</t>
        </is>
      </c>
      <c r="E284" s="1233" t="inlineStr">
        <is>
          <t>FY2026A linked to the sourced company capacities; forecast years roll forward with a live SUMIFS against the dated project tracker, scaled by the pipeline delivery factor</t>
        </is>
      </c>
      <c r="F284" s="1233" t="inlineStr">
        <is>
          <t>'=B19+SUMIFS(tracker capacity, company, FY, included)*delivery factor</t>
        </is>
      </c>
      <c r="G284" s="1233" t="inlineStr">
        <is>
          <t>Company results releases and investor presentations; Ministry of Steel Rajya Sabha answer for SAIL</t>
        </is>
      </c>
      <c r="H284" s="1233" t="inlineStr">
        <is>
          <t>Master Industry Database Production Capacity section B; 07 Capacity Expansion Tracker</t>
        </is>
      </c>
      <c r="I284" s="1233" t="inlineStr">
        <is>
          <t>Others (row 28) is a RESIDUAL, not an estimate: it is the industry total less the named producers.</t>
        </is>
      </c>
      <c r="J284" s="1233" t="inlineStr">
        <is>
          <t>The Master Industry Database warns explicitly that section B must not be summed, because it mixes global group capacity, India entity capacity and stainless melt capacity. This table therefore uses India-basis crude steel capacity only, taken from the same figures used for the EV per tonne calculation on 23 Comparable Valuation, and plugs the difference into Others. Others contains RINL, NMDC Steel, ESL, the JSW-POSCO joint venture and the entire secondary sector, which the Joint Plant Committee shows produced 73.02 Mt in FY2026.</t>
        </is>
      </c>
      <c r="K284" s="1233" t="inlineStr">
        <is>
          <t>Row 29 must equal research block row 101 in every year, because Others is defined as the residual</t>
        </is>
      </c>
      <c r="L284" s="1234" t="inlineStr">
        <is>
          <t>High for the named producers, Medium for the residual</t>
        </is>
      </c>
      <c r="M284" s="1233" t="inlineStr">
        <is>
          <t>Comparable Valuation, Capacity Expansion Tracker, Model Assumptions</t>
        </is>
      </c>
      <c r="N284" s="1233" t="inlineStr">
        <is>
          <t>Quarterly, on results and project announcements</t>
        </is>
      </c>
      <c r="O284" s="1234" t="inlineStr">
        <is>
          <t>FY2026A</t>
        </is>
      </c>
      <c r="P284" s="1233" t="inlineStr">
        <is>
          <t>Was entirely blank.</t>
        </is>
      </c>
    </row>
    <row r="285" ht="46" customHeight="1" s="632">
      <c r="A285" s="1232" t="inlineStr">
        <is>
          <t>CF02</t>
        </is>
      </c>
      <c r="B285" s="1235" t="inlineStr">
        <is>
          <t>Capacity expansion pipeline</t>
        </is>
      </c>
      <c r="C285" s="1241">
        <f>SUM('Capacity Forecast'!F36:F46)</f>
        <v/>
      </c>
      <c r="D285" s="1236" t="inlineStr">
        <is>
          <t>Mtpa</t>
        </is>
      </c>
      <c r="E285" s="1235" t="inlineStr">
        <is>
          <t>Cross-sheet reference to the dated project register on 07 Capacity Expansion Tracker</t>
        </is>
      </c>
      <c r="F285" s="1235" t="inlineStr">
        <is>
          <t>'='Capacity Expansion Tracker'!$F$78 etc.</t>
        </is>
      </c>
      <c r="G285" s="1235" t="inlineStr">
        <is>
          <t>Company results releases, investor presentations and exchange filings; Ministry of Steel Parliamentary answers for SAIL</t>
        </is>
      </c>
      <c r="H285" s="1235" t="inlineStr">
        <is>
          <t>Master Industry Database sources S08 to S43</t>
        </is>
      </c>
      <c r="I285" s="1235" t="inlineStr">
        <is>
          <t>Only projects flagged "Included in forecast = Yes" on the tracker appear here.</t>
        </is>
      </c>
      <c r="J285" s="1235" t="inlineStr">
        <is>
          <t>The eleven projects listed are every dated, India, crude steel addition inside the FY2027-FY2033 horizon. Acquisitions, downstream processing, projects already inside the FY2026 base and projects beyond FY2033 are excluded on the tracker and therefore excluded here.</t>
        </is>
      </c>
      <c r="K285" s="1235" t="inlineStr">
        <is>
          <t>The sum must equal 53.62 Mtpa, which is the total on tracker row 101</t>
        </is>
      </c>
      <c r="L285" s="1236" t="inlineStr">
        <is>
          <t>High</t>
        </is>
      </c>
      <c r="M285" s="1235" t="inlineStr">
        <is>
          <t>Capacity Expansion Tracker</t>
        </is>
      </c>
      <c r="N285" s="1235" t="inlineStr">
        <is>
          <t>Quarterly</t>
        </is>
      </c>
      <c r="O285" s="1236" t="inlineStr">
        <is>
          <t>FY2026A</t>
        </is>
      </c>
      <c r="P285" s="1235" t="inlineStr">
        <is>
          <t>Rows 34 and 35 are the model owner's own entries and were left untouched. Rows 36 to 46 are live links, so the pipeline can never disagree with the tracker.</t>
        </is>
      </c>
    </row>
    <row r="286" ht="46" customHeight="1" s="632">
      <c r="A286" s="1232" t="inlineStr">
        <is>
          <t>CF03</t>
        </is>
      </c>
      <c r="B286" s="1233" t="inlineStr">
        <is>
          <t>Capacity bridge</t>
        </is>
      </c>
      <c r="C286" s="1248">
        <f>'Capacity Forecast'!H57</f>
        <v/>
      </c>
      <c r="D286" s="1234" t="inlineStr">
        <is>
          <t>Mtpa</t>
        </is>
      </c>
      <c r="E286" s="1233" t="inlineStr">
        <is>
          <t>Computed in-cell; opening plus brownfield plus greenfield plus the secondary reconciliation item less closures</t>
        </is>
      </c>
      <c r="F286" s="1233" t="inlineStr">
        <is>
          <t>'=B51+B52+B53+B54-B55, closing = opening + net addition</t>
        </is>
      </c>
      <c r="G286" s="1233" t="inlineStr">
        <is>
          <t>Dated project tracker plus the secondary and unattributed reconciliation item, driver D22</t>
        </is>
      </c>
      <c r="H286" s="1233" t="inlineStr">
        <is>
          <t>Research block rows 95 to 101, which the bridge must reproduce exactly</t>
        </is>
      </c>
      <c r="I286" s="1233" t="inlineStr">
        <is>
          <t>PERMANENT CLOSURES ARE SET TO ZERO. That is a stated model limitation, not an oversight: the model does not idle or close capacity in any scenario. Check A02 on 25 Audit Checks tests that capacity is monotonically non-decreasing.</t>
        </is>
      </c>
      <c r="J286" s="1233" t="inlineStr">
        <is>
          <t>The DEBOTTLENECKING line carries driver D22, the secondary and unattributed additions of about 11 Mtpa a year. This is the essential reconciliation item: the dated tracker averages only 7.7 Mtpa a year against a demonstrated national delivery of roughly 20 Mtpa a year in FY2025 and FY2026. The balance is induction furnace, small EAF and debottlenecking capacity that is never announced as a project, which is why it is classified here rather than as greenfield. GREENFIELD is computed as total announced less brownfield, so it also absorbs the two undated aspirational programmes - Tata Steel's roadmap to 40 Mtpa and SAIL's ~35 Mt ambition.</t>
        </is>
      </c>
      <c r="K286" s="1233" t="inlineStr">
        <is>
          <t>Row 57 must equal research block row 101 in every year and in every scenario</t>
        </is>
      </c>
      <c r="L286" s="1234" t="inlineStr">
        <is>
          <t>Medium</t>
        </is>
      </c>
      <c r="M286" s="1233" t="inlineStr">
        <is>
          <t>Capacity Expansion Tracker, Model Assumptions</t>
        </is>
      </c>
      <c r="N286" s="1233" t="inlineStr">
        <is>
          <t>Quarterly</t>
        </is>
      </c>
      <c r="O286" s="1234" t="inlineStr">
        <is>
          <t>FY2026A</t>
        </is>
      </c>
      <c r="P286" s="1233" t="inlineStr">
        <is>
          <t>Was entirely blank. Closures are blue because zero is a deliberate input, not a formula.</t>
        </is>
      </c>
    </row>
    <row r="287" ht="46" customHeight="1" s="632">
      <c r="A287" s="1232" t="inlineStr">
        <is>
          <t>CF04</t>
        </is>
      </c>
      <c r="B287" s="1235" t="inlineStr">
        <is>
          <t>Opening capacity</t>
        </is>
      </c>
      <c r="C287" s="1241">
        <f>'Capacity Forecast'!J95</f>
        <v/>
      </c>
      <c r="D287" s="1236" t="inlineStr">
        <is>
          <t>Mtpa</t>
        </is>
      </c>
      <c r="E287" s="1235" t="inlineStr">
        <is>
          <t>Computed in-cell</t>
        </is>
      </c>
      <c r="F287" s="1235" t="inlineStr">
        <is>
          <t>'=C101</t>
        </is>
      </c>
      <c r="G287" s="1235" t="inlineStr">
        <is>
          <t>Computed</t>
        </is>
      </c>
      <c r="H287" s="1235" t="inlineStr">
        <is>
          <t>26 Sources register; Master Industry Database source log (47 cited sources)</t>
        </is>
      </c>
      <c r="I287" s="1235" t="inlineStr">
        <is>
          <t>Prior-year closing capacity.</t>
        </is>
      </c>
      <c r="J287" s="1235" t="n"/>
      <c r="K287" s="1235" t="inlineStr">
        <is>
          <t>Reconciled by 25 Audit Checks</t>
        </is>
      </c>
      <c r="L287" s="1236" t="inlineStr">
        <is>
          <t>High</t>
        </is>
      </c>
      <c r="M287" s="1235" t="inlineStr">
        <is>
          <t>This sheet</t>
        </is>
      </c>
      <c r="N287" s="1235" t="inlineStr">
        <is>
          <t>Recalculates live with the model</t>
        </is>
      </c>
      <c r="O287" s="1236" t="inlineStr">
        <is>
          <t>Live</t>
        </is>
      </c>
      <c r="P287" s="1235" t="inlineStr">
        <is>
          <t>Research block row 95. Value column is live and re-states on a scenario change.</t>
        </is>
      </c>
    </row>
    <row r="288" ht="46" customHeight="1" s="632">
      <c r="A288" s="1232" t="inlineStr">
        <is>
          <t>CF05</t>
        </is>
      </c>
      <c r="B288" s="1233" t="inlineStr">
        <is>
          <t>Gross announced additions (from tracker)</t>
        </is>
      </c>
      <c r="C288" s="1242">
        <f>'Capacity Forecast'!J96</f>
        <v/>
      </c>
      <c r="D288" s="1234" t="inlineStr">
        <is>
          <t>Mtpa</t>
        </is>
      </c>
      <c r="E288" s="1233" t="inlineStr">
        <is>
          <t>Cross-sheet reference (linked, not re-entered)</t>
        </is>
      </c>
      <c r="F288" s="1233" t="inlineStr">
        <is>
          <t>'='Capacity Expansion Tracker'!E$99</t>
        </is>
      </c>
      <c r="G288" s="1233" t="inlineStr">
        <is>
          <t>07 Tracker (SUMIFS)</t>
        </is>
      </c>
      <c r="H288" s="1233" t="inlineStr">
        <is>
          <t>26 Sources register; Master Industry Database source log (47 cited sources)</t>
        </is>
      </c>
      <c r="I288" s="1233" t="inlineStr">
        <is>
          <t>Live from the project tracker.</t>
        </is>
      </c>
      <c r="J288" s="1233" t="inlineStr">
        <is>
          <t>Excludes acquisitions, downstream lines, overseas assets and already-commissioned projects.</t>
        </is>
      </c>
      <c r="K288" s="1233" t="inlineStr">
        <is>
          <t>Reconciled by 25 Audit Checks</t>
        </is>
      </c>
      <c r="L288" s="1234" t="inlineStr">
        <is>
          <t>Medium</t>
        </is>
      </c>
      <c r="M288" s="1233" t="inlineStr">
        <is>
          <t>Capacity Expansion Tracker</t>
        </is>
      </c>
      <c r="N288" s="1233" t="inlineStr">
        <is>
          <t>Recalculates live with the model</t>
        </is>
      </c>
      <c r="O288" s="1234" t="inlineStr">
        <is>
          <t>Live</t>
        </is>
      </c>
      <c r="P288" s="1233" t="inlineStr">
        <is>
          <t>Research block row 96. Value column is live and re-states on a scenario change.</t>
        </is>
      </c>
    </row>
    <row r="289" ht="46" customHeight="1" s="632">
      <c r="A289" s="1232" t="inlineStr">
        <is>
          <t>CF06</t>
        </is>
      </c>
      <c r="B289" s="1235" t="inlineStr">
        <is>
          <t>Pipeline delivery factor</t>
        </is>
      </c>
      <c r="C289" s="1241">
        <f>'Capacity Forecast'!J97</f>
        <v/>
      </c>
      <c r="D289" s="1236" t="inlineStr">
        <is>
          <t>%</t>
        </is>
      </c>
      <c r="E289" s="1235" t="inlineStr">
        <is>
          <t>Cross-sheet reference (linked, not re-entered)</t>
        </is>
      </c>
      <c r="F289" s="1235" t="inlineStr">
        <is>
          <t>'='Model Assumptions'!E$12</t>
        </is>
      </c>
      <c r="G289" s="1235" t="inlineStr">
        <is>
          <t>Derived from Master DB</t>
        </is>
      </c>
      <c r="H289" s="1235" t="inlineStr">
        <is>
          <t>26 Sources register; Master Industry Database source log (47 cited sources)</t>
        </is>
      </c>
      <c r="I289" s="1235" t="inlineStr">
        <is>
          <t>85% in the base case.</t>
        </is>
      </c>
      <c r="J289" s="1235" t="inlineStr">
        <is>
          <t>India delivered ~20 Mtpa a year in FY2025 and FY2026 against a National Steel Policy requirement of ~16 Mtpa a year, so delivery capability is demonstrated; the 15% haircut reflects project-level slippage such as JSW Vijayanagar BF-3 still testing at FY2026 year-end.</t>
        </is>
      </c>
      <c r="K289" s="1235" t="inlineStr">
        <is>
          <t>Reconciled by 25 Audit Checks</t>
        </is>
      </c>
      <c r="L289" s="1236" t="inlineStr">
        <is>
          <t>Medium</t>
        </is>
      </c>
      <c r="M289" s="1235" t="inlineStr">
        <is>
          <t>Model Assumptions</t>
        </is>
      </c>
      <c r="N289" s="1235" t="inlineStr">
        <is>
          <t>Quarterly, on each results season</t>
        </is>
      </c>
      <c r="O289" s="1236" t="inlineStr">
        <is>
          <t>FY2026A</t>
        </is>
      </c>
      <c r="P289" s="1235" t="inlineStr">
        <is>
          <t>Research block row 97. Value column is live and re-states on a scenario change.</t>
        </is>
      </c>
    </row>
    <row r="290" ht="46" customHeight="1" s="632">
      <c r="A290" s="1232" t="inlineStr">
        <is>
          <t>CF07</t>
        </is>
      </c>
      <c r="B290" s="1233" t="inlineStr">
        <is>
          <t>Announced additions delivered</t>
        </is>
      </c>
      <c r="C290" s="1242">
        <f>'Capacity Forecast'!J98</f>
        <v/>
      </c>
      <c r="D290" s="1234" t="inlineStr">
        <is>
          <t>Mtpa</t>
        </is>
      </c>
      <c r="E290" s="1233" t="inlineStr">
        <is>
          <t>Computed in-cell</t>
        </is>
      </c>
      <c r="F290" s="1233" t="inlineStr">
        <is>
          <t>'=D96*D97</t>
        </is>
      </c>
      <c r="G290" s="1233" t="inlineStr">
        <is>
          <t>Computed</t>
        </is>
      </c>
      <c r="H290" s="1233" t="inlineStr">
        <is>
          <t>26 Sources register; Master Industry Database source log (47 cited sources)</t>
        </is>
      </c>
      <c r="I290" s="1233" t="n"/>
      <c r="J290" s="1233" t="n"/>
      <c r="K290" s="1233" t="inlineStr">
        <is>
          <t>Reconciled by 25 Audit Checks</t>
        </is>
      </c>
      <c r="L290" s="1234" t="inlineStr">
        <is>
          <t>Medium</t>
        </is>
      </c>
      <c r="M290" s="1233" t="inlineStr">
        <is>
          <t>This sheet</t>
        </is>
      </c>
      <c r="N290" s="1233" t="inlineStr">
        <is>
          <t>Recalculates live with the model</t>
        </is>
      </c>
      <c r="O290" s="1234" t="inlineStr">
        <is>
          <t>Live</t>
        </is>
      </c>
      <c r="P290" s="1233" t="inlineStr">
        <is>
          <t>Research block row 98. Value column is live and re-states on a scenario change.</t>
        </is>
      </c>
    </row>
    <row r="291" ht="46" customHeight="1" s="632">
      <c r="A291" s="1232" t="inlineStr">
        <is>
          <t>CF08</t>
        </is>
      </c>
      <c r="B291" s="1235" t="inlineStr">
        <is>
          <t>Secondary and unattributed additions</t>
        </is>
      </c>
      <c r="C291" s="1241">
        <f>'Capacity Forecast'!J99</f>
        <v/>
      </c>
      <c r="D291" s="1236" t="inlineStr">
        <is>
          <t>Mtpa</t>
        </is>
      </c>
      <c r="E291" s="1235" t="inlineStr">
        <is>
          <t>Cross-sheet reference (linked, not re-entered)</t>
        </is>
      </c>
      <c r="F291" s="1235" t="inlineStr">
        <is>
          <t>'='Model Assumptions'!E$29</t>
        </is>
      </c>
      <c r="G291" s="1235" t="inlineStr">
        <is>
          <t>Derived from Master DB</t>
        </is>
      </c>
      <c r="H291" s="1235" t="inlineStr">
        <is>
          <t>26 Sources register; Master Industry Database source log (47 cited sources)</t>
        </is>
      </c>
      <c r="I291" s="1235" t="inlineStr">
        <is>
          <t>ESSENTIAL RECONCILIATION ITEM.</t>
        </is>
      </c>
      <c r="J291" s="1235" t="inlineStr">
        <is>
          <t>Omitting this would understate FY2031 capacity by about 54 Mtpa, or 18%.</t>
        </is>
      </c>
      <c r="K291" s="1235" t="inlineStr">
        <is>
          <t>Reconciled by 25 Audit Checks</t>
        </is>
      </c>
      <c r="L291" s="1236" t="inlineStr">
        <is>
          <t>Medium</t>
        </is>
      </c>
      <c r="M291" s="1235" t="inlineStr">
        <is>
          <t>Model Assumptions</t>
        </is>
      </c>
      <c r="N291" s="1235" t="inlineStr">
        <is>
          <t>Quarterly, on each results season</t>
        </is>
      </c>
      <c r="O291" s="1236" t="inlineStr">
        <is>
          <t>FY2026A</t>
        </is>
      </c>
      <c r="P291" s="1235" t="inlineStr">
        <is>
          <t>Research block row 99. Value column is live and re-states on a scenario change.</t>
        </is>
      </c>
    </row>
    <row r="292" ht="46" customHeight="1" s="632">
      <c r="A292" s="1232" t="inlineStr">
        <is>
          <t>CF09</t>
        </is>
      </c>
      <c r="B292" s="1233" t="inlineStr">
        <is>
          <t>Total additions</t>
        </is>
      </c>
      <c r="C292" s="1242">
        <f>IF(ISNUMBER('Capacity Forecast'!J100),'Capacity Forecast'!J100,'Capacity Forecast'!C100)</f>
        <v/>
      </c>
      <c r="D292" s="1234" t="inlineStr">
        <is>
          <t>Mtpa</t>
        </is>
      </c>
      <c r="E292" s="1233" t="inlineStr">
        <is>
          <t>Computed in-cell</t>
        </is>
      </c>
      <c r="F292" s="1233" t="inlineStr">
        <is>
          <t>'=D98+D99</t>
        </is>
      </c>
      <c r="G292" s="1233" t="inlineStr">
        <is>
          <t>Computed</t>
        </is>
      </c>
      <c r="H292" s="1233" t="inlineStr">
        <is>
          <t>26 Sources register; Master Industry Database source log (47 cited sources)</t>
        </is>
      </c>
      <c r="I292" s="1233" t="inlineStr">
        <is>
          <t>FY2026A of 20.07 Mtpa is the actual year-on-year capacity increase from the database (220.4 less 200.33).</t>
        </is>
      </c>
      <c r="J292" s="1233" t="n"/>
      <c r="K292" s="1233" t="inlineStr">
        <is>
          <t>Reconciled by 25 Audit Checks</t>
        </is>
      </c>
      <c r="L292" s="1234" t="inlineStr">
        <is>
          <t>Medium</t>
        </is>
      </c>
      <c r="M292" s="1233" t="inlineStr">
        <is>
          <t>This sheet</t>
        </is>
      </c>
      <c r="N292" s="1233" t="inlineStr">
        <is>
          <t>Recalculates live with the model</t>
        </is>
      </c>
      <c r="O292" s="1234" t="inlineStr">
        <is>
          <t>Live</t>
        </is>
      </c>
      <c r="P292" s="1233" t="inlineStr">
        <is>
          <t>Research block row 100. Value column is live and re-states on a scenario change.</t>
        </is>
      </c>
    </row>
    <row r="293" ht="46" customHeight="1" s="632">
      <c r="A293" s="1232" t="inlineStr">
        <is>
          <t>CF10</t>
        </is>
      </c>
      <c r="B293" s="1235" t="inlineStr">
        <is>
          <t>Closing crude steel capacity</t>
        </is>
      </c>
      <c r="C293" s="1241">
        <f>IF(ISNUMBER('Capacity Forecast'!J101),'Capacity Forecast'!J101,'Capacity Forecast'!C101)</f>
        <v/>
      </c>
      <c r="D293" s="1236" t="inlineStr">
        <is>
          <t>Mtpa</t>
        </is>
      </c>
      <c r="E293" s="1235" t="inlineStr">
        <is>
          <t>Computed in-cell</t>
        </is>
      </c>
      <c r="F293" s="1235" t="inlineStr">
        <is>
          <t>'=C101+D100</t>
        </is>
      </c>
      <c r="G293" s="1235" t="inlineStr">
        <is>
          <t>00 Database Import A04</t>
        </is>
      </c>
      <c r="H293" s="1235" t="inlineStr">
        <is>
          <t>26 Sources register; Master Industry Database source log (47 cited sources)</t>
        </is>
      </c>
      <c r="I293" s="1235" t="inlineStr">
        <is>
          <t>FY2026A of 220.4 Mtpa is the database figure (June-2026 Ministry vintage; the March vintage said 220.3 - Conflict C04).</t>
        </is>
      </c>
      <c r="J293" s="1235" t="n"/>
      <c r="K293" s="1235" t="inlineStr">
        <is>
          <t>Reconciled by 25 Audit Checks</t>
        </is>
      </c>
      <c r="L293" s="1236" t="inlineStr">
        <is>
          <t>High</t>
        </is>
      </c>
      <c r="M293" s="1235" t="inlineStr">
        <is>
          <t>This sheet</t>
        </is>
      </c>
      <c r="N293" s="1235" t="inlineStr">
        <is>
          <t>Quarterly, on each results season</t>
        </is>
      </c>
      <c r="O293" s="1236" t="inlineStr">
        <is>
          <t>FY2026A</t>
        </is>
      </c>
      <c r="P293" s="1235" t="inlineStr">
        <is>
          <t>Research block row 101. Value column is live and re-states on a scenario change.</t>
        </is>
      </c>
    </row>
    <row r="294" ht="46" customHeight="1" s="632">
      <c r="A294" s="1232" t="inlineStr">
        <is>
          <t>CF11</t>
        </is>
      </c>
      <c r="B294" s="1233" t="inlineStr">
        <is>
          <t>National Steel Policy 2017 target</t>
        </is>
      </c>
      <c r="C294" s="1242">
        <f>IFERROR('Capacity Forecast'!D104,"")</f>
        <v/>
      </c>
      <c r="D294" s="1234" t="inlineStr">
        <is>
          <t>Mtpa</t>
        </is>
      </c>
      <c r="E294" s="1233" t="inlineStr">
        <is>
          <t>Sourced actual (hard value)</t>
        </is>
      </c>
      <c r="F294" s="1233" t="inlineStr">
        <is>
          <t>(constant) 300</t>
        </is>
      </c>
      <c r="G294" s="1233" t="inlineStr">
        <is>
          <t>Master DB policy P10</t>
        </is>
      </c>
      <c r="H294" s="1233" t="inlineStr">
        <is>
          <t>26 Sources register; Master Industry Database source log (47 cited sources)</t>
        </is>
      </c>
      <c r="I294" s="1233" t="inlineStr">
        <is>
          <t>300 Mtpa of crude steel capacity by FY2031.</t>
        </is>
      </c>
      <c r="J294" s="1233" t="n"/>
      <c r="K294" s="1233" t="inlineStr">
        <is>
          <t>Reconciled by 25 Audit Checks</t>
        </is>
      </c>
      <c r="L294" s="1234" t="inlineStr">
        <is>
          <t>High</t>
        </is>
      </c>
      <c r="M294" s="1233" t="inlineStr">
        <is>
          <t>This sheet</t>
        </is>
      </c>
      <c r="N294" s="1233" t="inlineStr">
        <is>
          <t>Quarterly, on each results season</t>
        </is>
      </c>
      <c r="O294" s="1234" t="inlineStr">
        <is>
          <t>FY2026A</t>
        </is>
      </c>
      <c r="P294" s="1233" t="inlineStr">
        <is>
          <t>Research block row 104. Value column is live and re-states on a scenario change.</t>
        </is>
      </c>
    </row>
    <row r="295" ht="46" customHeight="1" s="632">
      <c r="A295" s="1232" t="inlineStr">
        <is>
          <t>CF12</t>
        </is>
      </c>
      <c r="B295" s="1235" t="inlineStr">
        <is>
          <t>Model capacity in FY2031E</t>
        </is>
      </c>
      <c r="C295" s="1241">
        <f>IFERROR('Capacity Forecast'!D105,"")</f>
        <v/>
      </c>
      <c r="D295" s="1236" t="inlineStr">
        <is>
          <t>Mtpa</t>
        </is>
      </c>
      <c r="E295" s="1235" t="inlineStr">
        <is>
          <t>Computed in-cell</t>
        </is>
      </c>
      <c r="F295" s="1235" t="inlineStr">
        <is>
          <t>'=H101</t>
        </is>
      </c>
      <c r="G295" s="1235" t="inlineStr">
        <is>
          <t>Computed</t>
        </is>
      </c>
      <c r="H295" s="1235" t="inlineStr">
        <is>
          <t>26 Sources register; Master Industry Database source log (47 cited sources)</t>
        </is>
      </c>
      <c r="I295" s="1235" t="n"/>
      <c r="J295" s="1235" t="n"/>
      <c r="K295" s="1235" t="inlineStr">
        <is>
          <t>Reconciled by 25 Audit Checks</t>
        </is>
      </c>
      <c r="L295" s="1236" t="inlineStr">
        <is>
          <t>High</t>
        </is>
      </c>
      <c r="M295" s="1235" t="inlineStr">
        <is>
          <t>This sheet</t>
        </is>
      </c>
      <c r="N295" s="1235" t="inlineStr">
        <is>
          <t>Recalculates live with the model</t>
        </is>
      </c>
      <c r="O295" s="1236" t="inlineStr">
        <is>
          <t>Live</t>
        </is>
      </c>
      <c r="P295" s="1235" t="inlineStr">
        <is>
          <t>Research block row 105. Value column is live and re-states on a scenario change.</t>
        </is>
      </c>
    </row>
    <row r="296" ht="46" customHeight="1" s="632">
      <c r="A296" s="1232" t="inlineStr">
        <is>
          <t>CF13</t>
        </is>
      </c>
      <c r="B296" s="1233" t="inlineStr">
        <is>
          <t>Model as % of policy target</t>
        </is>
      </c>
      <c r="C296" s="1242">
        <f>IFERROR('Capacity Forecast'!D106,"")</f>
        <v/>
      </c>
      <c r="D296" s="1234" t="inlineStr">
        <is>
          <t>%</t>
        </is>
      </c>
      <c r="E296" s="1233" t="inlineStr">
        <is>
          <t>Computed in-cell</t>
        </is>
      </c>
      <c r="F296" s="1233" t="inlineStr">
        <is>
          <t>'=H105/H104</t>
        </is>
      </c>
      <c r="G296" s="1233" t="inlineStr">
        <is>
          <t>Computed</t>
        </is>
      </c>
      <c r="H296" s="1233" t="inlineStr">
        <is>
          <t>26 Sources register; Master Industry Database source log (47 cited sources)</t>
        </is>
      </c>
      <c r="I296" s="1233" t="inlineStr">
        <is>
          <t>The model was built bottom-up from the project tracker plus the secondary residual and was NOT calibrated to the policy target, so agreement within roughly 1% is a genuine independent check on the capacity block.</t>
        </is>
      </c>
      <c r="J296" s="1233" t="n"/>
      <c r="K296" s="1233" t="inlineStr">
        <is>
          <t>Reconciled by 25 Audit Checks</t>
        </is>
      </c>
      <c r="L296" s="1234" t="inlineStr">
        <is>
          <t>High</t>
        </is>
      </c>
      <c r="M296" s="1233" t="inlineStr">
        <is>
          <t>This sheet</t>
        </is>
      </c>
      <c r="N296" s="1233" t="inlineStr">
        <is>
          <t>Recalculates live with the model</t>
        </is>
      </c>
      <c r="O296" s="1234" t="inlineStr">
        <is>
          <t>Live</t>
        </is>
      </c>
      <c r="P296" s="1233" t="inlineStr">
        <is>
          <t>Research block row 106. Value column is live and re-states on a scenario change.</t>
        </is>
      </c>
    </row>
    <row r="297" ht="46" customHeight="1" s="632">
      <c r="A297" s="1232" t="inlineStr">
        <is>
          <t>CF14</t>
        </is>
      </c>
      <c r="B297" s="1235" t="inlineStr">
        <is>
          <t>Company capacity - Shyam Metalics, APL Apollo, Godawari Power</t>
        </is>
      </c>
      <c r="C297" s="1235" t="n"/>
      <c r="D297" s="1236" t="inlineStr">
        <is>
          <t>Mtpa</t>
        </is>
      </c>
      <c r="E297" s="1235" t="inlineStr">
        <is>
          <t>NOT POPULATED - red fill (missing data)</t>
        </is>
      </c>
      <c r="F297" s="1235" t="inlineStr">
        <is>
          <t>(blank by design)</t>
        </is>
      </c>
      <c r="G297" s="1235" t="inlineStr">
        <is>
          <t>No reliable source located and no defensible basis for an estimate</t>
        </is>
      </c>
      <c r="H297" s="1235" t="inlineStr">
        <is>
          <t>n/a</t>
        </is>
      </c>
      <c r="I297" s="1235" t="inlineStr">
        <is>
          <t>None asserted. The cell is deliberately blank.</t>
        </is>
      </c>
      <c r="J297" s="1235" t="inlineStr">
        <is>
          <t>Crude steel capacity is not disclosed by these names. APL Apollo is a tube converter and Godawari Power does not publish a crude steel figure. Their capacity is carried inside the Others residual on row 28 so that the industry total still reconciles.</t>
        </is>
      </c>
      <c r="K297" s="1235" t="inlineStr">
        <is>
          <t>Excluded from every headline output and from the audit checks</t>
        </is>
      </c>
      <c r="L297" s="1236" t="inlineStr">
        <is>
          <t>n/a - unavailable</t>
        </is>
      </c>
      <c r="M297" s="1235" t="inlineStr">
        <is>
          <t>This sheet</t>
        </is>
      </c>
      <c r="N297" s="1235" t="inlineStr">
        <is>
          <t>Populate when a primary source becomes available</t>
        </is>
      </c>
      <c r="O297" s="1236" t="inlineStr">
        <is>
          <t>Not available</t>
        </is>
      </c>
      <c r="P297" s="1235" t="inlineStr">
        <is>
          <t>Red (missing) cells: B25:I27</t>
        </is>
      </c>
    </row>
    <row r="298" ht="46" customHeight="1" s="632">
      <c r="A298" s="1232" t="inlineStr">
        <is>
          <t>CF15</t>
        </is>
      </c>
      <c r="B298" s="1233" t="inlineStr">
        <is>
          <t>Regional capacity split</t>
        </is>
      </c>
      <c r="C298" s="1233" t="n"/>
      <c r="D298" s="1234" t="inlineStr">
        <is>
          <t>Mtpa</t>
        </is>
      </c>
      <c r="E298" s="1233" t="inlineStr">
        <is>
          <t>NOT POPULATED - red fill (missing data)</t>
        </is>
      </c>
      <c r="F298" s="1233" t="inlineStr">
        <is>
          <t>(blank by design)</t>
        </is>
      </c>
      <c r="G298" s="1233" t="inlineStr">
        <is>
          <t>No reliable source located and no defensible basis for an estimate</t>
        </is>
      </c>
      <c r="H298" s="1233" t="inlineStr">
        <is>
          <t>n/a</t>
        </is>
      </c>
      <c r="I298" s="1233" t="inlineStr">
        <is>
          <t>None asserted. The cell is deliberately blank.</t>
        </is>
      </c>
      <c r="J298" s="1233" t="inlineStr">
        <is>
          <t>State-wise and region-wise installed capacity is not published by the Joint Plant Committee at the aggregate level. Only SAIL discloses plant-wise capacity.</t>
        </is>
      </c>
      <c r="K298" s="1233" t="inlineStr">
        <is>
          <t>Excluded from every headline output and from the audit checks</t>
        </is>
      </c>
      <c r="L298" s="1234" t="inlineStr">
        <is>
          <t>n/a - unavailable</t>
        </is>
      </c>
      <c r="M298" s="1233" t="inlineStr">
        <is>
          <t>This sheet</t>
        </is>
      </c>
      <c r="N298" s="1233" t="inlineStr">
        <is>
          <t>Populate when a primary source becomes available</t>
        </is>
      </c>
      <c r="O298" s="1234" t="inlineStr">
        <is>
          <t>Not available</t>
        </is>
      </c>
      <c r="P298" s="1233" t="inlineStr">
        <is>
          <t>Red (missing) cells: B84:C88</t>
        </is>
      </c>
    </row>
    <row r="301" ht="18" customHeight="1" s="632">
      <c r="A301" s="1229" t="inlineStr">
        <is>
          <t>Capacity Expansion Tracker  -  27 documented items  (CT01 - CT27)</t>
        </is>
      </c>
      <c r="B301" s="1161" t="n"/>
      <c r="C301" s="1161" t="n"/>
      <c r="D301" s="1161" t="n"/>
      <c r="E301" s="1161" t="n"/>
      <c r="F301" s="1161" t="n"/>
      <c r="G301" s="1161" t="n"/>
      <c r="H301" s="1161" t="n"/>
      <c r="I301" s="1161" t="n"/>
      <c r="J301" s="1161" t="n"/>
      <c r="K301" s="1161" t="n"/>
      <c r="L301" s="1161" t="n"/>
      <c r="M301" s="1161" t="n"/>
      <c r="N301" s="1161" t="n"/>
      <c r="O301" s="1161" t="n"/>
      <c r="P301" s="1161" t="n"/>
    </row>
    <row r="302" ht="24" customHeight="1" s="632">
      <c r="A302" s="1230" t="inlineStr">
        <is>
          <t>Every documented number on Capacity Expansion Tracker. The Code column matches the Ref column on that sheet.</t>
        </is>
      </c>
    </row>
    <row r="303" ht="30" customHeight="1" s="632">
      <c r="A303" s="1231" t="inlineStr">
        <is>
          <t>Code</t>
        </is>
      </c>
      <c r="B303" s="1231" t="inlineStr">
        <is>
          <t>Model Item</t>
        </is>
      </c>
      <c r="C303" s="1231" t="inlineStr">
        <is>
          <t>Value</t>
        </is>
      </c>
      <c r="D303" s="1231" t="inlineStr">
        <is>
          <t>Unit</t>
        </is>
      </c>
      <c r="E303" s="1231" t="inlineStr">
        <is>
          <t>Calculation Method</t>
        </is>
      </c>
      <c r="F303" s="1231" t="inlineStr">
        <is>
          <t>Formula Used</t>
        </is>
      </c>
      <c r="G303" s="1231" t="inlineStr">
        <is>
          <t>Primary Source</t>
        </is>
      </c>
      <c r="H303" s="1231" t="inlineStr">
        <is>
          <t>Secondary Source</t>
        </is>
      </c>
      <c r="I303" s="1231" t="inlineStr">
        <is>
          <t>Assumption</t>
        </is>
      </c>
      <c r="J303" s="1231" t="inlineStr">
        <is>
          <t>Reasoning</t>
        </is>
      </c>
      <c r="K303" s="1231" t="inlineStr">
        <is>
          <t>Cross-check</t>
        </is>
      </c>
      <c r="L303" s="1231" t="inlineStr">
        <is>
          <t>Confidence Level</t>
        </is>
      </c>
      <c r="M303" s="1231" t="inlineStr">
        <is>
          <t>Linked Sheet</t>
        </is>
      </c>
      <c r="N303" s="1231" t="inlineStr">
        <is>
          <t>Update Frequency</t>
        </is>
      </c>
      <c r="O303" s="1231" t="inlineStr">
        <is>
          <t>Last Available Date</t>
        </is>
      </c>
      <c r="P303" s="1231" t="inlineStr">
        <is>
          <t>Comments</t>
        </is>
      </c>
    </row>
    <row r="304" ht="46" customHeight="1" s="632">
      <c r="A304" s="1232" t="inlineStr">
        <is>
          <t>CT01</t>
        </is>
      </c>
      <c r="B304" s="1233" t="inlineStr">
        <is>
          <t>Tracker executive summary</t>
        </is>
      </c>
      <c r="C304" s="1242">
        <f>'Capacity Expansion Tracker'!B13</f>
        <v/>
      </c>
      <c r="D304" s="1234" t="inlineStr">
        <is>
          <t>Mtpa</t>
        </is>
      </c>
      <c r="E304" s="1233" t="inlineStr">
        <is>
          <t>Live COUNTA, SUM and SUMIFS across the dated project register below</t>
        </is>
      </c>
      <c r="F304" s="1233" t="inlineStr">
        <is>
          <t>'=$D$101*'Model Assumptions'!$E$12</t>
        </is>
      </c>
      <c r="G304" s="1233" t="inlineStr">
        <is>
          <t>The register itself, sourced project by project in column O</t>
        </is>
      </c>
      <c r="H304" s="1233" t="inlineStr">
        <is>
          <t>06 Capacity Forecast rows 96 to 100</t>
        </is>
      </c>
      <c r="I304" s="1233" t="inlineStr">
        <is>
          <t>The "average completion probability" is driver D05, the pipeline delivery factor of 85% in the base case. It is applied at portfolio level rather than project by project.</t>
        </is>
      </c>
      <c r="J304" s="1233" t="inlineStr">
        <is>
          <t>A project-by-project probability would imply a precision the disclosures do not support: eleven of the twenty entries are described only as announced, proposed or aspirational. The delivery factor is instead calibrated top-down against a demonstrated national delivery of roughly 20 Mtpa a year in FY2025 and FY2026.</t>
        </is>
      </c>
      <c r="K304" s="1233" t="inlineStr">
        <is>
          <t>Weighted expected capacity of 45.6 Mtpa against 53.62 Mtpa of gross announced additions</t>
        </is>
      </c>
      <c r="L304" s="1234" t="inlineStr">
        <is>
          <t>Medium</t>
        </is>
      </c>
      <c r="M304" s="1233" t="inlineStr">
        <is>
          <t>Model Assumptions, Capacity Forecast</t>
        </is>
      </c>
      <c r="N304" s="1233" t="inlineStr">
        <is>
          <t>Quarterly, on results and announcements</t>
        </is>
      </c>
      <c r="O304" s="1234" t="inlineStr">
        <is>
          <t>FY2026A</t>
        </is>
      </c>
      <c r="P304" s="1233" t="inlineStr">
        <is>
          <t>Was entirely blank.</t>
        </is>
      </c>
    </row>
    <row r="305" ht="46" customHeight="1" s="632">
      <c r="A305" s="1232" t="inlineStr">
        <is>
          <t>CT02</t>
        </is>
      </c>
      <c r="B305" s="1235" t="inlineStr">
        <is>
          <t>Master project register</t>
        </is>
      </c>
      <c r="C305" s="1241">
        <f>SUM('Capacity Expansion Tracker'!H20:H39)</f>
        <v/>
      </c>
      <c r="D305" s="1236" t="inlineStr">
        <is>
          <t>Mtpa</t>
        </is>
      </c>
      <c r="E305" s="1235" t="inlineStr">
        <is>
          <t>Cross-sheet reference within this sheet to the dated register at rows 77 to 96; the steelmaking ROUTE is derived from the project type and capacity definition by formula, not asserted</t>
        </is>
      </c>
      <c r="F305" s="1235" t="inlineStr">
        <is>
          <t>'=IF(ISNUMBER(SEARCH("EAF",$E$77)),"EAF",IF(ISNUMBER(SEARCH("BF",$E$77)),"BF-BOF",...))</t>
        </is>
      </c>
      <c r="G305" s="1235" t="inlineStr">
        <is>
          <t>Twenty projects, each cited individually in column O against a numbered source</t>
        </is>
      </c>
      <c r="H305" s="1235" t="inlineStr">
        <is>
          <t>Master Industry Database sources S08, S09, S11, S12, S13, S14, S26, S35, S37, S43, S47</t>
        </is>
      </c>
      <c r="I305" s="1235" t="inlineStr">
        <is>
          <t>Probability is the portfolio delivery factor applied to projects flagged as included, and zero for those excluded.</t>
        </is>
      </c>
      <c r="J305" s="1235" t="inlineStr">
        <is>
          <t>The register above the research block was designed with a different column set from the register below it. Rather than maintain the same twenty projects twice, every cell here is a live link, so the two registers can never diverge.</t>
        </is>
      </c>
      <c r="K305" s="1235" t="inlineStr">
        <is>
          <t>Total expansion capacity must equal 68.87 Mtpa across all twenty projects, of which 53.62 Mtpa is flagged as included in the forecast</t>
        </is>
      </c>
      <c r="L305" s="1236" t="inlineStr">
        <is>
          <t>High</t>
        </is>
      </c>
      <c r="M305" s="1235" t="inlineStr">
        <is>
          <t>Model Assumptions</t>
        </is>
      </c>
      <c r="N305" s="1235" t="inlineStr">
        <is>
          <t>Quarterly</t>
        </is>
      </c>
      <c r="O305" s="1236" t="inlineStr">
        <is>
          <t>FY2026A</t>
        </is>
      </c>
      <c r="P305" s="1235" t="inlineStr">
        <is>
          <t>Was entirely blank.</t>
        </is>
      </c>
    </row>
    <row r="306" ht="46" customHeight="1" s="632">
      <c r="A306" s="1232" t="inlineStr">
        <is>
          <t>CT03</t>
        </is>
      </c>
      <c r="B306" s="1233" t="inlineStr">
        <is>
          <t>Annual capacity addition by project type</t>
        </is>
      </c>
      <c r="C306" s="1242">
        <f>SUM('Capacity Expansion Tracker'!F44:F50)</f>
        <v/>
      </c>
      <c r="D306" s="1234" t="inlineStr">
        <is>
          <t>Mtpa</t>
        </is>
      </c>
      <c r="E306" s="1233" t="inlineStr">
        <is>
          <t>Live SUMIFS by project type and commissioning year</t>
        </is>
      </c>
      <c r="F306" s="1233" t="inlineStr">
        <is>
          <t>'=SUMIFS($F$77:$F$96,$E$77:$E$96,"Brownfield*",$I$77:$I$96,"FY2027",$L$77:$L$96,"Yes")</t>
        </is>
      </c>
      <c r="G306" s="1233" t="inlineStr">
        <is>
          <t>The dated project register below</t>
        </is>
      </c>
      <c r="H306" s="1233" t="inlineStr">
        <is>
          <t>Row 99 of this sheet, which is the same SUMIFS aggregated across all types</t>
        </is>
      </c>
      <c r="I306" s="1233" t="inlineStr">
        <is>
          <t>The two undated aspirational programmes - Tata Steel to 40 Mtpa and SAIL to ~35 Mt - are classified as GREENFIELD because neither company has designated brownfield sites for them.</t>
        </is>
      </c>
      <c r="J306" s="1233" t="inlineStr">
        <is>
          <t>Debottlenecking and restart return zero because no project in the register carries those types. They are live formulas rather than hard zeros, so they populate automatically if such a project is added.</t>
        </is>
      </c>
      <c r="K306" s="1233" t="inlineStr">
        <is>
          <t>Column F must reconcile to row 99 year by year, and the seven-year total to 53.62 Mtpa on row 101</t>
        </is>
      </c>
      <c r="L306" s="1234" t="inlineStr">
        <is>
          <t>High</t>
        </is>
      </c>
      <c r="M306" s="1233" t="inlineStr">
        <is>
          <t>This sheet</t>
        </is>
      </c>
      <c r="N306" s="1233" t="inlineStr">
        <is>
          <t>Quarterly</t>
        </is>
      </c>
      <c r="O306" s="1234" t="inlineStr">
        <is>
          <t>FY2026A</t>
        </is>
      </c>
      <c r="P306" s="1233" t="inlineStr">
        <is>
          <t>Was entirely blank. Note this table is GROSS announced additions, before the 85% delivery factor.</t>
        </is>
      </c>
    </row>
    <row r="307" ht="46" customHeight="1" s="632">
      <c r="A307" s="1232" t="inlineStr">
        <is>
          <t>CT04</t>
        </is>
      </c>
      <c r="B307" s="1235" t="inlineStr">
        <is>
          <t>Project ID</t>
        </is>
      </c>
      <c r="C307" s="1241">
        <f>IF(ISNUMBER('Capacity Expansion Tracker'!J76),'Capacity Expansion Tracker'!J76,'Capacity Expansion Tracker'!C76)</f>
        <v/>
      </c>
      <c r="D307" s="1236" t="inlineStr">
        <is>
          <t>Company</t>
        </is>
      </c>
      <c r="E307" s="1235" t="inlineStr">
        <is>
          <t>Sourced actual (hard value)</t>
        </is>
      </c>
      <c r="F307" s="1235" t="inlineStr">
        <is>
          <t>(constant) State / Country</t>
        </is>
      </c>
      <c r="G307" s="1235" t="inlineStr">
        <is>
          <t>Included In Forecast?</t>
        </is>
      </c>
      <c r="H307" s="1235" t="inlineStr">
        <is>
          <t>26 Sources register; Master Industry Database source log (47 cited sources)</t>
        </is>
      </c>
      <c r="I307" s="1235" t="inlineStr">
        <is>
          <t>Confidence</t>
        </is>
      </c>
      <c r="J307" s="1235" t="n"/>
      <c r="K307" s="1235" t="inlineStr">
        <is>
          <t>Reconciled by 25 Audit Checks</t>
        </is>
      </c>
      <c r="L307" s="1236" t="inlineStr">
        <is>
          <t>Source ID</t>
        </is>
      </c>
      <c r="M307" s="1235" t="inlineStr">
        <is>
          <t>This sheet</t>
        </is>
      </c>
      <c r="N307" s="1235" t="inlineStr">
        <is>
          <t>Quarterly</t>
        </is>
      </c>
      <c r="O307" s="1236" t="inlineStr">
        <is>
          <t>FY2026A</t>
        </is>
      </c>
      <c r="P307" s="1235" t="inlineStr">
        <is>
          <t>Research block row 76. Value column is live and re-states on a scenario change.</t>
        </is>
      </c>
    </row>
    <row r="308" ht="46" customHeight="1" s="632">
      <c r="A308" s="1232" t="inlineStr">
        <is>
          <t>CT05</t>
        </is>
      </c>
      <c r="B308" s="1233" t="inlineStr">
        <is>
          <t>P01</t>
        </is>
      </c>
      <c r="C308" s="1242">
        <f>IF(ISNUMBER('Capacity Expansion Tracker'!J77),'Capacity Expansion Tracker'!J77,'Capacity Expansion Tracker'!C77)</f>
        <v/>
      </c>
      <c r="D308" s="1234" t="inlineStr">
        <is>
          <t>Tata Steel</t>
        </is>
      </c>
      <c r="E308" s="1233" t="inlineStr">
        <is>
          <t>Sourced actual (hard value)</t>
        </is>
      </c>
      <c r="F308" s="1233" t="inlineStr">
        <is>
          <t>(constant) Punjab</t>
        </is>
      </c>
      <c r="G308" s="1233" t="inlineStr">
        <is>
          <t>No - already in base</t>
        </is>
      </c>
      <c r="H308" s="1233" t="inlineStr">
        <is>
          <t>26 Sources register; Master Industry Database source log (47 cited sources)</t>
        </is>
      </c>
      <c r="I308" s="1233" t="inlineStr">
        <is>
          <t>High</t>
        </is>
      </c>
      <c r="J308" s="1233" t="n"/>
      <c r="K308" s="1233" t="inlineStr">
        <is>
          <t>Reconciled by 25 Audit Checks</t>
        </is>
      </c>
      <c r="L308" s="1234" t="inlineStr">
        <is>
          <t>S08</t>
        </is>
      </c>
      <c r="M308" s="1233" t="inlineStr">
        <is>
          <t>This sheet</t>
        </is>
      </c>
      <c r="N308" s="1233" t="inlineStr">
        <is>
          <t>Quarterly</t>
        </is>
      </c>
      <c r="O308" s="1234" t="inlineStr">
        <is>
          <t>FY2026A</t>
        </is>
      </c>
      <c r="P308" s="1233" t="inlineStr">
        <is>
          <t>Research block row 77. Value column is live and re-states on a scenario change.</t>
        </is>
      </c>
    </row>
    <row r="309" ht="46" customHeight="1" s="632">
      <c r="A309" s="1232" t="inlineStr">
        <is>
          <t>CT06</t>
        </is>
      </c>
      <c r="B309" s="1235" t="inlineStr">
        <is>
          <t>P02</t>
        </is>
      </c>
      <c r="C309" s="1241">
        <f>'Capacity Expansion Tracker'!C78</f>
        <v/>
      </c>
      <c r="D309" s="1236" t="inlineStr">
        <is>
          <t>Tata Steel</t>
        </is>
      </c>
      <c r="E309" s="1235" t="inlineStr">
        <is>
          <t>Sourced actual (hard value)</t>
        </is>
      </c>
      <c r="F309" s="1235" t="inlineStr">
        <is>
          <t>(constant) Odisha</t>
        </is>
      </c>
      <c r="G309" s="1235" t="inlineStr">
        <is>
          <t>Yes</t>
        </is>
      </c>
      <c r="H309" s="1235" t="inlineStr">
        <is>
          <t>26 Sources register; Master Industry Database source log (47 cited sources)</t>
        </is>
      </c>
      <c r="I309" s="1235" t="inlineStr">
        <is>
          <t>Medium</t>
        </is>
      </c>
      <c r="J309" s="1235" t="n"/>
      <c r="K309" s="1235" t="inlineStr">
        <is>
          <t>Reconciled by 25 Audit Checks</t>
        </is>
      </c>
      <c r="L309" s="1236" t="inlineStr">
        <is>
          <t>S08</t>
        </is>
      </c>
      <c r="M309" s="1235" t="inlineStr">
        <is>
          <t>This sheet</t>
        </is>
      </c>
      <c r="N309" s="1235" t="inlineStr">
        <is>
          <t>Quarterly</t>
        </is>
      </c>
      <c r="O309" s="1236" t="inlineStr">
        <is>
          <t>FY2026A</t>
        </is>
      </c>
      <c r="P309" s="1235" t="inlineStr">
        <is>
          <t>Research block row 78. Value column is live and re-states on a scenario change.</t>
        </is>
      </c>
    </row>
    <row r="310" ht="46" customHeight="1" s="632">
      <c r="A310" s="1232" t="inlineStr">
        <is>
          <t>CT07</t>
        </is>
      </c>
      <c r="B310" s="1233" t="inlineStr">
        <is>
          <t>P03</t>
        </is>
      </c>
      <c r="C310" s="1242">
        <f>'Capacity Expansion Tracker'!C79</f>
        <v/>
      </c>
      <c r="D310" s="1234" t="inlineStr">
        <is>
          <t>Tata Steel</t>
        </is>
      </c>
      <c r="E310" s="1233" t="inlineStr">
        <is>
          <t>Sourced actual (hard value)</t>
        </is>
      </c>
      <c r="F310" s="1233" t="inlineStr">
        <is>
          <t>(constant) India</t>
        </is>
      </c>
      <c r="G310" s="1233" t="inlineStr">
        <is>
          <t>Yes</t>
        </is>
      </c>
      <c r="H310" s="1233" t="inlineStr">
        <is>
          <t>26 Sources register; Master Industry Database source log (47 cited sources)</t>
        </is>
      </c>
      <c r="I310" s="1233" t="inlineStr">
        <is>
          <t>Low</t>
        </is>
      </c>
      <c r="J310" s="1233" t="n"/>
      <c r="K310" s="1233" t="inlineStr">
        <is>
          <t>Reconciled by 25 Audit Checks</t>
        </is>
      </c>
      <c r="L310" s="1234" t="inlineStr">
        <is>
          <t>S37</t>
        </is>
      </c>
      <c r="M310" s="1233" t="inlineStr">
        <is>
          <t>This sheet</t>
        </is>
      </c>
      <c r="N310" s="1233" t="inlineStr">
        <is>
          <t>Quarterly</t>
        </is>
      </c>
      <c r="O310" s="1234" t="inlineStr">
        <is>
          <t>FY2026A</t>
        </is>
      </c>
      <c r="P310" s="1233" t="inlineStr">
        <is>
          <t>Research block row 79. Value column is live and re-states on a scenario change.</t>
        </is>
      </c>
    </row>
    <row r="311" ht="46" customHeight="1" s="632">
      <c r="A311" s="1232" t="inlineStr">
        <is>
          <t>CT08</t>
        </is>
      </c>
      <c r="B311" s="1235" t="inlineStr">
        <is>
          <t>P04</t>
        </is>
      </c>
      <c r="C311" s="1241">
        <f>'Capacity Expansion Tracker'!C80</f>
        <v/>
      </c>
      <c r="D311" s="1236" t="inlineStr">
        <is>
          <t>JSW Steel</t>
        </is>
      </c>
      <c r="E311" s="1235" t="inlineStr">
        <is>
          <t>Sourced actual (hard value)</t>
        </is>
      </c>
      <c r="F311" s="1235" t="inlineStr">
        <is>
          <t>(constant) Karnataka</t>
        </is>
      </c>
      <c r="G311" s="1235" t="inlineStr">
        <is>
          <t>Yes</t>
        </is>
      </c>
      <c r="H311" s="1235" t="inlineStr">
        <is>
          <t>26 Sources register; Master Industry Database source log (47 cited sources)</t>
        </is>
      </c>
      <c r="I311" s="1235" t="inlineStr">
        <is>
          <t>High</t>
        </is>
      </c>
      <c r="J311" s="1235" t="n"/>
      <c r="K311" s="1235" t="inlineStr">
        <is>
          <t>Reconciled by 25 Audit Checks</t>
        </is>
      </c>
      <c r="L311" s="1236" t="inlineStr">
        <is>
          <t>S09</t>
        </is>
      </c>
      <c r="M311" s="1235" t="inlineStr">
        <is>
          <t>This sheet</t>
        </is>
      </c>
      <c r="N311" s="1235" t="inlineStr">
        <is>
          <t>Quarterly</t>
        </is>
      </c>
      <c r="O311" s="1236" t="inlineStr">
        <is>
          <t>FY2026A</t>
        </is>
      </c>
      <c r="P311" s="1235" t="inlineStr">
        <is>
          <t>Research block row 80. Value column is live and re-states on a scenario change.</t>
        </is>
      </c>
    </row>
    <row r="312" ht="46" customHeight="1" s="632">
      <c r="A312" s="1232" t="inlineStr">
        <is>
          <t>CT09</t>
        </is>
      </c>
      <c r="B312" s="1233" t="inlineStr">
        <is>
          <t>P05</t>
        </is>
      </c>
      <c r="C312" s="1242">
        <f>IF(ISNUMBER('Capacity Expansion Tracker'!J81),'Capacity Expansion Tracker'!J81,'Capacity Expansion Tracker'!C81)</f>
        <v/>
      </c>
      <c r="D312" s="1234" t="inlineStr">
        <is>
          <t>JSW Steel</t>
        </is>
      </c>
      <c r="E312" s="1233" t="inlineStr">
        <is>
          <t>Sourced actual (hard value)</t>
        </is>
      </c>
      <c r="F312" s="1233" t="inlineStr">
        <is>
          <t>(constant) Karnataka</t>
        </is>
      </c>
      <c r="G312" s="1233" t="inlineStr">
        <is>
          <t>Yes</t>
        </is>
      </c>
      <c r="H312" s="1233" t="inlineStr">
        <is>
          <t>26 Sources register; Master Industry Database source log (47 cited sources)</t>
        </is>
      </c>
      <c r="I312" s="1233" t="inlineStr">
        <is>
          <t>High</t>
        </is>
      </c>
      <c r="J312" s="1233" t="n"/>
      <c r="K312" s="1233" t="inlineStr">
        <is>
          <t>Reconciled by 25 Audit Checks</t>
        </is>
      </c>
      <c r="L312" s="1234" t="inlineStr">
        <is>
          <t>S09</t>
        </is>
      </c>
      <c r="M312" s="1233" t="inlineStr">
        <is>
          <t>This sheet</t>
        </is>
      </c>
      <c r="N312" s="1233" t="inlineStr">
        <is>
          <t>Quarterly</t>
        </is>
      </c>
      <c r="O312" s="1234" t="inlineStr">
        <is>
          <t>FY2026A</t>
        </is>
      </c>
      <c r="P312" s="1233" t="inlineStr">
        <is>
          <t>Research block row 81. Value column is live and re-states on a scenario change.</t>
        </is>
      </c>
    </row>
    <row r="313" ht="46" customHeight="1" s="632">
      <c r="A313" s="1232" t="inlineStr">
        <is>
          <t>CT10</t>
        </is>
      </c>
      <c r="B313" s="1235" t="inlineStr">
        <is>
          <t>P06</t>
        </is>
      </c>
      <c r="C313" s="1241">
        <f>'Capacity Expansion Tracker'!C82</f>
        <v/>
      </c>
      <c r="D313" s="1236" t="inlineStr">
        <is>
          <t>JSW Steel</t>
        </is>
      </c>
      <c r="E313" s="1235" t="inlineStr">
        <is>
          <t>Sourced actual (hard value)</t>
        </is>
      </c>
      <c r="F313" s="1235" t="inlineStr">
        <is>
          <t>(constant) Karnataka</t>
        </is>
      </c>
      <c r="G313" s="1235" t="inlineStr">
        <is>
          <t>No - acquisition, not new national capacity</t>
        </is>
      </c>
      <c r="H313" s="1235" t="inlineStr">
        <is>
          <t>26 Sources register; Master Industry Database source log (47 cited sources)</t>
        </is>
      </c>
      <c r="I313" s="1235" t="inlineStr">
        <is>
          <t>High</t>
        </is>
      </c>
      <c r="J313" s="1235" t="n"/>
      <c r="K313" s="1235" t="inlineStr">
        <is>
          <t>Reconciled by 25 Audit Checks</t>
        </is>
      </c>
      <c r="L313" s="1236" t="inlineStr">
        <is>
          <t>S09</t>
        </is>
      </c>
      <c r="M313" s="1235" t="inlineStr">
        <is>
          <t>This sheet</t>
        </is>
      </c>
      <c r="N313" s="1235" t="inlineStr">
        <is>
          <t>Quarterly</t>
        </is>
      </c>
      <c r="O313" s="1236" t="inlineStr">
        <is>
          <t>FY2026A</t>
        </is>
      </c>
      <c r="P313" s="1235" t="inlineStr">
        <is>
          <t>Research block row 82. Value column is live and re-states on a scenario change.</t>
        </is>
      </c>
    </row>
    <row r="314" ht="46" customHeight="1" s="632">
      <c r="A314" s="1232" t="inlineStr">
        <is>
          <t>CT11</t>
        </is>
      </c>
      <c r="B314" s="1233" t="inlineStr">
        <is>
          <t>P07</t>
        </is>
      </c>
      <c r="C314" s="1242">
        <f>'Capacity Expansion Tracker'!C83</f>
        <v/>
      </c>
      <c r="D314" s="1234" t="inlineStr">
        <is>
          <t>JSW Steel / POSCO</t>
        </is>
      </c>
      <c r="E314" s="1233" t="inlineStr">
        <is>
          <t>Sourced actual (hard value)</t>
        </is>
      </c>
      <c r="F314" s="1233" t="inlineStr">
        <is>
          <t>(constant) Odisha</t>
        </is>
      </c>
      <c r="G314" s="1233" t="inlineStr">
        <is>
          <t>Yes</t>
        </is>
      </c>
      <c r="H314" s="1233" t="inlineStr">
        <is>
          <t>26 Sources register; Master Industry Database source log (47 cited sources)</t>
        </is>
      </c>
      <c r="I314" s="1233" t="inlineStr">
        <is>
          <t>Medium</t>
        </is>
      </c>
      <c r="J314" s="1233" t="n"/>
      <c r="K314" s="1233" t="inlineStr">
        <is>
          <t>Reconciled by 25 Audit Checks</t>
        </is>
      </c>
      <c r="L314" s="1234" t="inlineStr">
        <is>
          <t>S09</t>
        </is>
      </c>
      <c r="M314" s="1233" t="inlineStr">
        <is>
          <t>This sheet</t>
        </is>
      </c>
      <c r="N314" s="1233" t="inlineStr">
        <is>
          <t>Quarterly</t>
        </is>
      </c>
      <c r="O314" s="1234" t="inlineStr">
        <is>
          <t>FY2026A</t>
        </is>
      </c>
      <c r="P314" s="1233" t="inlineStr">
        <is>
          <t>Research block row 83. Value column is live and re-states on a scenario change.</t>
        </is>
      </c>
    </row>
    <row r="315" ht="46" customHeight="1" s="632">
      <c r="A315" s="1232" t="inlineStr">
        <is>
          <t>CT12</t>
        </is>
      </c>
      <c r="B315" s="1235" t="inlineStr">
        <is>
          <t>P08</t>
        </is>
      </c>
      <c r="C315" s="1241">
        <f>'Capacity Expansion Tracker'!C84</f>
        <v/>
      </c>
      <c r="D315" s="1236" t="inlineStr">
        <is>
          <t>SAIL</t>
        </is>
      </c>
      <c r="E315" s="1235" t="inlineStr">
        <is>
          <t>Sourced actual (hard value)</t>
        </is>
      </c>
      <c r="F315" s="1235" t="inlineStr">
        <is>
          <t>(constant) West Bengal</t>
        </is>
      </c>
      <c r="G315" s="1235" t="inlineStr">
        <is>
          <t>Yes</t>
        </is>
      </c>
      <c r="H315" s="1235" t="inlineStr">
        <is>
          <t>26 Sources register; Master Industry Database source log (47 cited sources)</t>
        </is>
      </c>
      <c r="I315" s="1235" t="inlineStr">
        <is>
          <t>High</t>
        </is>
      </c>
      <c r="J315" s="1235" t="n"/>
      <c r="K315" s="1235" t="inlineStr">
        <is>
          <t>Reconciled by 25 Audit Checks</t>
        </is>
      </c>
      <c r="L315" s="1236" t="inlineStr">
        <is>
          <t>S26</t>
        </is>
      </c>
      <c r="M315" s="1235" t="inlineStr">
        <is>
          <t>This sheet</t>
        </is>
      </c>
      <c r="N315" s="1235" t="inlineStr">
        <is>
          <t>Quarterly</t>
        </is>
      </c>
      <c r="O315" s="1236" t="inlineStr">
        <is>
          <t>FY2026A</t>
        </is>
      </c>
      <c r="P315" s="1235" t="inlineStr">
        <is>
          <t>Research block row 84. Value column is live and re-states on a scenario change.</t>
        </is>
      </c>
    </row>
    <row r="316" ht="46" customHeight="1" s="632">
      <c r="A316" s="1232" t="inlineStr">
        <is>
          <t>CT13</t>
        </is>
      </c>
      <c r="B316" s="1233" t="inlineStr">
        <is>
          <t>P09</t>
        </is>
      </c>
      <c r="C316" s="1242">
        <f>'Capacity Expansion Tracker'!C85</f>
        <v/>
      </c>
      <c r="D316" s="1234" t="inlineStr">
        <is>
          <t>SAIL</t>
        </is>
      </c>
      <c r="E316" s="1233" t="inlineStr">
        <is>
          <t>Sourced actual (hard value)</t>
        </is>
      </c>
      <c r="F316" s="1233" t="inlineStr">
        <is>
          <t>(constant) Jharkhand</t>
        </is>
      </c>
      <c r="G316" s="1233" t="inlineStr">
        <is>
          <t>Yes</t>
        </is>
      </c>
      <c r="H316" s="1233" t="inlineStr">
        <is>
          <t>26 Sources register; Master Industry Database source log (47 cited sources)</t>
        </is>
      </c>
      <c r="I316" s="1233" t="inlineStr">
        <is>
          <t>High</t>
        </is>
      </c>
      <c r="J316" s="1233" t="n"/>
      <c r="K316" s="1233" t="inlineStr">
        <is>
          <t>Reconciled by 25 Audit Checks</t>
        </is>
      </c>
      <c r="L316" s="1234" t="inlineStr">
        <is>
          <t>S26</t>
        </is>
      </c>
      <c r="M316" s="1233" t="inlineStr">
        <is>
          <t>This sheet</t>
        </is>
      </c>
      <c r="N316" s="1233" t="inlineStr">
        <is>
          <t>Quarterly</t>
        </is>
      </c>
      <c r="O316" s="1234" t="inlineStr">
        <is>
          <t>FY2026A</t>
        </is>
      </c>
      <c r="P316" s="1233" t="inlineStr">
        <is>
          <t>Research block row 85. Value column is live and re-states on a scenario change.</t>
        </is>
      </c>
    </row>
    <row r="317" ht="46" customHeight="1" s="632">
      <c r="A317" s="1232" t="inlineStr">
        <is>
          <t>CT14</t>
        </is>
      </c>
      <c r="B317" s="1235" t="inlineStr">
        <is>
          <t>P10</t>
        </is>
      </c>
      <c r="C317" s="1241">
        <f>'Capacity Expansion Tracker'!C86</f>
        <v/>
      </c>
      <c r="D317" s="1236" t="inlineStr">
        <is>
          <t>SAIL</t>
        </is>
      </c>
      <c r="E317" s="1235" t="inlineStr">
        <is>
          <t>Sourced actual (hard value)</t>
        </is>
      </c>
      <c r="F317" s="1235" t="inlineStr">
        <is>
          <t>(constant) West Bengal</t>
        </is>
      </c>
      <c r="G317" s="1235" t="inlineStr">
        <is>
          <t>Yes</t>
        </is>
      </c>
      <c r="H317" s="1235" t="inlineStr">
        <is>
          <t>26 Sources register; Master Industry Database source log (47 cited sources)</t>
        </is>
      </c>
      <c r="I317" s="1235" t="inlineStr">
        <is>
          <t>High</t>
        </is>
      </c>
      <c r="J317" s="1235" t="n"/>
      <c r="K317" s="1235" t="inlineStr">
        <is>
          <t>Reconciled by 25 Audit Checks</t>
        </is>
      </c>
      <c r="L317" s="1236" t="inlineStr">
        <is>
          <t>S26</t>
        </is>
      </c>
      <c r="M317" s="1235" t="inlineStr">
        <is>
          <t>This sheet</t>
        </is>
      </c>
      <c r="N317" s="1235" t="inlineStr">
        <is>
          <t>Quarterly</t>
        </is>
      </c>
      <c r="O317" s="1236" t="inlineStr">
        <is>
          <t>FY2026A</t>
        </is>
      </c>
      <c r="P317" s="1235" t="inlineStr">
        <is>
          <t>Research block row 86. Value column is live and re-states on a scenario change.</t>
        </is>
      </c>
    </row>
    <row r="318" ht="46" customHeight="1" s="632">
      <c r="A318" s="1232" t="inlineStr">
        <is>
          <t>CT15</t>
        </is>
      </c>
      <c r="B318" s="1233" t="inlineStr">
        <is>
          <t>P11</t>
        </is>
      </c>
      <c r="C318" s="1242">
        <f>'Capacity Expansion Tracker'!C87</f>
        <v/>
      </c>
      <c r="D318" s="1234" t="inlineStr">
        <is>
          <t>SAIL</t>
        </is>
      </c>
      <c r="E318" s="1233" t="inlineStr">
        <is>
          <t>Sourced actual (hard value)</t>
        </is>
      </c>
      <c r="F318" s="1233" t="inlineStr">
        <is>
          <t>(constant) India</t>
        </is>
      </c>
      <c r="G318" s="1233" t="inlineStr">
        <is>
          <t>Yes</t>
        </is>
      </c>
      <c r="H318" s="1233" t="inlineStr">
        <is>
          <t>26 Sources register; Master Industry Database source log (47 cited sources)</t>
        </is>
      </c>
      <c r="I318" s="1233" t="inlineStr">
        <is>
          <t>Low</t>
        </is>
      </c>
      <c r="J318" s="1233" t="n"/>
      <c r="K318" s="1233" t="inlineStr">
        <is>
          <t>Reconciled by 25 Audit Checks</t>
        </is>
      </c>
      <c r="L318" s="1234" t="inlineStr">
        <is>
          <t>S47</t>
        </is>
      </c>
      <c r="M318" s="1233" t="inlineStr">
        <is>
          <t>This sheet</t>
        </is>
      </c>
      <c r="N318" s="1233" t="inlineStr">
        <is>
          <t>Quarterly</t>
        </is>
      </c>
      <c r="O318" s="1234" t="inlineStr">
        <is>
          <t>FY2026A</t>
        </is>
      </c>
      <c r="P318" s="1233" t="inlineStr">
        <is>
          <t>Research block row 87. Value column is live and re-states on a scenario change.</t>
        </is>
      </c>
    </row>
    <row r="319" ht="46" customHeight="1" s="632">
      <c r="A319" s="1232" t="inlineStr">
        <is>
          <t>CT16</t>
        </is>
      </c>
      <c r="B319" s="1235" t="inlineStr">
        <is>
          <t>P12</t>
        </is>
      </c>
      <c r="C319" s="1241">
        <f>'Capacity Expansion Tracker'!C88</f>
        <v/>
      </c>
      <c r="D319" s="1236" t="inlineStr">
        <is>
          <t>AM/NS India</t>
        </is>
      </c>
      <c r="E319" s="1235" t="inlineStr">
        <is>
          <t>Sourced actual (hard value)</t>
        </is>
      </c>
      <c r="F319" s="1235" t="inlineStr">
        <is>
          <t>(constant) Gujarat</t>
        </is>
      </c>
      <c r="G319" s="1235" t="inlineStr">
        <is>
          <t>Yes</t>
        </is>
      </c>
      <c r="H319" s="1235" t="inlineStr">
        <is>
          <t>26 Sources register; Master Industry Database source log (47 cited sources)</t>
        </is>
      </c>
      <c r="I319" s="1235" t="inlineStr">
        <is>
          <t>High</t>
        </is>
      </c>
      <c r="J319" s="1235" t="n"/>
      <c r="K319" s="1235" t="inlineStr">
        <is>
          <t>Reconciled by 25 Audit Checks</t>
        </is>
      </c>
      <c r="L319" s="1236" t="inlineStr">
        <is>
          <t>S13</t>
        </is>
      </c>
      <c r="M319" s="1235" t="inlineStr">
        <is>
          <t>This sheet</t>
        </is>
      </c>
      <c r="N319" s="1235" t="inlineStr">
        <is>
          <t>Quarterly</t>
        </is>
      </c>
      <c r="O319" s="1236" t="inlineStr">
        <is>
          <t>FY2026A</t>
        </is>
      </c>
      <c r="P319" s="1235" t="inlineStr">
        <is>
          <t>Research block row 88. Value column is live and re-states on a scenario change.</t>
        </is>
      </c>
    </row>
    <row r="320" ht="46" customHeight="1" s="632">
      <c r="A320" s="1232" t="inlineStr">
        <is>
          <t>CT17</t>
        </is>
      </c>
      <c r="B320" s="1233" t="inlineStr">
        <is>
          <t>P13</t>
        </is>
      </c>
      <c r="C320" s="1242">
        <f>'Capacity Expansion Tracker'!C89</f>
        <v/>
      </c>
      <c r="D320" s="1234" t="inlineStr">
        <is>
          <t>AM/NS India</t>
        </is>
      </c>
      <c r="E320" s="1233" t="inlineStr">
        <is>
          <t>Sourced actual (hard value)</t>
        </is>
      </c>
      <c r="F320" s="1233" t="inlineStr">
        <is>
          <t>(constant) Andhra Pradesh</t>
        </is>
      </c>
      <c r="G320" s="1233" t="inlineStr">
        <is>
          <t>Yes</t>
        </is>
      </c>
      <c r="H320" s="1233" t="inlineStr">
        <is>
          <t>26 Sources register; Master Industry Database source log (47 cited sources)</t>
        </is>
      </c>
      <c r="I320" s="1233" t="inlineStr">
        <is>
          <t>Medium</t>
        </is>
      </c>
      <c r="J320" s="1233" t="n"/>
      <c r="K320" s="1233" t="inlineStr">
        <is>
          <t>Reconciled by 25 Audit Checks</t>
        </is>
      </c>
      <c r="L320" s="1234" t="inlineStr">
        <is>
          <t>S14</t>
        </is>
      </c>
      <c r="M320" s="1233" t="inlineStr">
        <is>
          <t>This sheet</t>
        </is>
      </c>
      <c r="N320" s="1233" t="inlineStr">
        <is>
          <t>Quarterly</t>
        </is>
      </c>
      <c r="O320" s="1234" t="inlineStr">
        <is>
          <t>FY2026A</t>
        </is>
      </c>
      <c r="P320" s="1233" t="inlineStr">
        <is>
          <t>Research block row 89. Value column is live and re-states on a scenario change.</t>
        </is>
      </c>
    </row>
    <row r="321" ht="46" customHeight="1" s="632">
      <c r="A321" s="1232" t="inlineStr">
        <is>
          <t>CT18</t>
        </is>
      </c>
      <c r="B321" s="1235" t="inlineStr">
        <is>
          <t>P14</t>
        </is>
      </c>
      <c r="C321" s="1241">
        <f>'Capacity Expansion Tracker'!C90</f>
        <v/>
      </c>
      <c r="D321" s="1236" t="inlineStr">
        <is>
          <t>AM/NS India</t>
        </is>
      </c>
      <c r="E321" s="1235" t="inlineStr">
        <is>
          <t>Sourced actual (hard value)</t>
        </is>
      </c>
      <c r="F321" s="1235" t="inlineStr">
        <is>
          <t>(constant) Gujarat</t>
        </is>
      </c>
      <c r="G321" s="1235" t="inlineStr">
        <is>
          <t>No - beyond horizon</t>
        </is>
      </c>
      <c r="H321" s="1235" t="inlineStr">
        <is>
          <t>26 Sources register; Master Industry Database source log (47 cited sources)</t>
        </is>
      </c>
      <c r="I321" s="1235" t="inlineStr">
        <is>
          <t>Low</t>
        </is>
      </c>
      <c r="J321" s="1235" t="n"/>
      <c r="K321" s="1235" t="inlineStr">
        <is>
          <t>Reconciled by 25 Audit Checks</t>
        </is>
      </c>
      <c r="L321" s="1236" t="inlineStr">
        <is>
          <t>S13</t>
        </is>
      </c>
      <c r="M321" s="1235" t="inlineStr">
        <is>
          <t>This sheet</t>
        </is>
      </c>
      <c r="N321" s="1235" t="inlineStr">
        <is>
          <t>Quarterly</t>
        </is>
      </c>
      <c r="O321" s="1236" t="inlineStr">
        <is>
          <t>FY2026A</t>
        </is>
      </c>
      <c r="P321" s="1235" t="inlineStr">
        <is>
          <t>Research block row 90. Value column is live and re-states on a scenario change.</t>
        </is>
      </c>
    </row>
    <row r="322" ht="46" customHeight="1" s="632">
      <c r="A322" s="1232" t="inlineStr">
        <is>
          <t>CT19</t>
        </is>
      </c>
      <c r="B322" s="1233" t="inlineStr">
        <is>
          <t>P15</t>
        </is>
      </c>
      <c r="C322" s="1242">
        <f>'Capacity Expansion Tracker'!C91</f>
        <v/>
      </c>
      <c r="D322" s="1234" t="inlineStr">
        <is>
          <t>Jindal Steel</t>
        </is>
      </c>
      <c r="E322" s="1233" t="inlineStr">
        <is>
          <t>Sourced actual (hard value)</t>
        </is>
      </c>
      <c r="F322" s="1233" t="inlineStr">
        <is>
          <t>(constant) Odisha</t>
        </is>
      </c>
      <c r="G322" s="1233" t="inlineStr">
        <is>
          <t>No - already in base</t>
        </is>
      </c>
      <c r="H322" s="1233" t="inlineStr">
        <is>
          <t>26 Sources register; Master Industry Database source log (47 cited sources)</t>
        </is>
      </c>
      <c r="I322" s="1233" t="inlineStr">
        <is>
          <t>High</t>
        </is>
      </c>
      <c r="J322" s="1233" t="n"/>
      <c r="K322" s="1233" t="inlineStr">
        <is>
          <t>Reconciled by 25 Audit Checks</t>
        </is>
      </c>
      <c r="L322" s="1234" t="inlineStr">
        <is>
          <t>S11</t>
        </is>
      </c>
      <c r="M322" s="1233" t="inlineStr">
        <is>
          <t>This sheet</t>
        </is>
      </c>
      <c r="N322" s="1233" t="inlineStr">
        <is>
          <t>Quarterly</t>
        </is>
      </c>
      <c r="O322" s="1234" t="inlineStr">
        <is>
          <t>FY2026A</t>
        </is>
      </c>
      <c r="P322" s="1233" t="inlineStr">
        <is>
          <t>Research block row 91. Value column is live and re-states on a scenario change.</t>
        </is>
      </c>
    </row>
    <row r="323" ht="46" customHeight="1" s="632">
      <c r="A323" s="1232" t="inlineStr">
        <is>
          <t>CT20</t>
        </is>
      </c>
      <c r="B323" s="1235" t="inlineStr">
        <is>
          <t>P16</t>
        </is>
      </c>
      <c r="C323" s="1241">
        <f>'Capacity Expansion Tracker'!C92</f>
        <v/>
      </c>
      <c r="D323" s="1236" t="inlineStr">
        <is>
          <t>Jindal Stainless</t>
        </is>
      </c>
      <c r="E323" s="1235" t="inlineStr">
        <is>
          <t>Sourced actual (hard value)</t>
        </is>
      </c>
      <c r="F323" s="1235" t="inlineStr">
        <is>
          <t>(constant) Indonesia</t>
        </is>
      </c>
      <c r="G323" s="1235" t="inlineStr">
        <is>
          <t>No - outside India and in base</t>
        </is>
      </c>
      <c r="H323" s="1235" t="inlineStr">
        <is>
          <t>26 Sources register; Master Industry Database source log (47 cited sources)</t>
        </is>
      </c>
      <c r="I323" s="1235" t="inlineStr">
        <is>
          <t>High</t>
        </is>
      </c>
      <c r="J323" s="1235" t="n"/>
      <c r="K323" s="1235" t="inlineStr">
        <is>
          <t>Reconciled by 25 Audit Checks</t>
        </is>
      </c>
      <c r="L323" s="1236" t="inlineStr">
        <is>
          <t>S12</t>
        </is>
      </c>
      <c r="M323" s="1235" t="inlineStr">
        <is>
          <t>This sheet</t>
        </is>
      </c>
      <c r="N323" s="1235" t="inlineStr">
        <is>
          <t>Quarterly</t>
        </is>
      </c>
      <c r="O323" s="1236" t="inlineStr">
        <is>
          <t>FY2026A</t>
        </is>
      </c>
      <c r="P323" s="1235" t="inlineStr">
        <is>
          <t>Research block row 92. Value column is live and re-states on a scenario change.</t>
        </is>
      </c>
    </row>
    <row r="324" ht="46" customHeight="1" s="632">
      <c r="A324" s="1232" t="inlineStr">
        <is>
          <t>CT21</t>
        </is>
      </c>
      <c r="B324" s="1233" t="inlineStr">
        <is>
          <t>P17</t>
        </is>
      </c>
      <c r="C324" s="1242">
        <f>'Capacity Expansion Tracker'!C93</f>
        <v/>
      </c>
      <c r="D324" s="1234" t="inlineStr">
        <is>
          <t>Jindal Stainless</t>
        </is>
      </c>
      <c r="E324" s="1233" t="inlineStr">
        <is>
          <t>Sourced actual (hard value)</t>
        </is>
      </c>
      <c r="F324" s="1233" t="inlineStr">
        <is>
          <t>(constant) Odisha</t>
        </is>
      </c>
      <c r="G324" s="1233" t="inlineStr">
        <is>
          <t>No - downstream, not melt</t>
        </is>
      </c>
      <c r="H324" s="1233" t="inlineStr">
        <is>
          <t>26 Sources register; Master Industry Database source log (47 cited sources)</t>
        </is>
      </c>
      <c r="I324" s="1233" t="inlineStr">
        <is>
          <t>High</t>
        </is>
      </c>
      <c r="J324" s="1233" t="n"/>
      <c r="K324" s="1233" t="inlineStr">
        <is>
          <t>Reconciled by 25 Audit Checks</t>
        </is>
      </c>
      <c r="L324" s="1234" t="inlineStr">
        <is>
          <t>S12</t>
        </is>
      </c>
      <c r="M324" s="1233" t="inlineStr">
        <is>
          <t>This sheet</t>
        </is>
      </c>
      <c r="N324" s="1233" t="inlineStr">
        <is>
          <t>Quarterly</t>
        </is>
      </c>
      <c r="O324" s="1234" t="inlineStr">
        <is>
          <t>FY2026A</t>
        </is>
      </c>
      <c r="P324" s="1233" t="inlineStr">
        <is>
          <t>Research block row 93. Value column is live and re-states on a scenario change.</t>
        </is>
      </c>
    </row>
    <row r="325" ht="46" customHeight="1" s="632">
      <c r="A325" s="1232" t="inlineStr">
        <is>
          <t>CT22</t>
        </is>
      </c>
      <c r="B325" s="1235" t="inlineStr">
        <is>
          <t>P18</t>
        </is>
      </c>
      <c r="C325" s="1241">
        <f>IF(ISNUMBER('Capacity Expansion Tracker'!J94),'Capacity Expansion Tracker'!J94,'Capacity Expansion Tracker'!C94)</f>
        <v/>
      </c>
      <c r="D325" s="1236" t="inlineStr">
        <is>
          <t>Jindal Stainless</t>
        </is>
      </c>
      <c r="E325" s="1235" t="inlineStr">
        <is>
          <t>Sourced actual (hard value)</t>
        </is>
      </c>
      <c r="F325" s="1235" t="inlineStr">
        <is>
          <t>(constant) Haryana / West Bengal</t>
        </is>
      </c>
      <c r="G325" s="1235" t="inlineStr">
        <is>
          <t>No - downstream, not melt</t>
        </is>
      </c>
      <c r="H325" s="1235" t="inlineStr">
        <is>
          <t>26 Sources register; Master Industry Database source log (47 cited sources)</t>
        </is>
      </c>
      <c r="I325" s="1235" t="inlineStr">
        <is>
          <t>High</t>
        </is>
      </c>
      <c r="J325" s="1235" t="n"/>
      <c r="K325" s="1235" t="inlineStr">
        <is>
          <t>Reconciled by 25 Audit Checks</t>
        </is>
      </c>
      <c r="L325" s="1236" t="inlineStr">
        <is>
          <t>S12</t>
        </is>
      </c>
      <c r="M325" s="1235" t="inlineStr">
        <is>
          <t>This sheet</t>
        </is>
      </c>
      <c r="N325" s="1235" t="inlineStr">
        <is>
          <t>Quarterly</t>
        </is>
      </c>
      <c r="O325" s="1236" t="inlineStr">
        <is>
          <t>FY2026A</t>
        </is>
      </c>
      <c r="P325" s="1235" t="inlineStr">
        <is>
          <t>Research block row 94. Value column is live and re-states on a scenario change.</t>
        </is>
      </c>
    </row>
    <row r="326" ht="46" customHeight="1" s="632">
      <c r="A326" s="1232" t="inlineStr">
        <is>
          <t>CT23</t>
        </is>
      </c>
      <c r="B326" s="1233" t="inlineStr">
        <is>
          <t>P19</t>
        </is>
      </c>
      <c r="C326" s="1242">
        <f>'Capacity Expansion Tracker'!C95</f>
        <v/>
      </c>
      <c r="D326" s="1234" t="inlineStr">
        <is>
          <t>Electrosteel / ESL</t>
        </is>
      </c>
      <c r="E326" s="1233" t="inlineStr">
        <is>
          <t>Sourced actual (hard value)</t>
        </is>
      </c>
      <c r="F326" s="1233" t="inlineStr">
        <is>
          <t>(constant) Jharkhand</t>
        </is>
      </c>
      <c r="G326" s="1233" t="inlineStr">
        <is>
          <t>Yes</t>
        </is>
      </c>
      <c r="H326" s="1233" t="inlineStr">
        <is>
          <t>26 Sources register; Master Industry Database source log (47 cited sources)</t>
        </is>
      </c>
      <c r="I326" s="1233" t="inlineStr">
        <is>
          <t>Low</t>
        </is>
      </c>
      <c r="J326" s="1233" t="n"/>
      <c r="K326" s="1233" t="inlineStr">
        <is>
          <t>Reconciled by 25 Audit Checks</t>
        </is>
      </c>
      <c r="L326" s="1234" t="inlineStr">
        <is>
          <t>S43</t>
        </is>
      </c>
      <c r="M326" s="1233" t="inlineStr">
        <is>
          <t>This sheet</t>
        </is>
      </c>
      <c r="N326" s="1233" t="inlineStr">
        <is>
          <t>Quarterly</t>
        </is>
      </c>
      <c r="O326" s="1234" t="inlineStr">
        <is>
          <t>FY2026A</t>
        </is>
      </c>
      <c r="P326" s="1233" t="inlineStr">
        <is>
          <t>Research block row 95. Value column is live and re-states on a scenario change.</t>
        </is>
      </c>
    </row>
    <row r="327" ht="46" customHeight="1" s="632">
      <c r="A327" s="1232" t="inlineStr">
        <is>
          <t>CT24</t>
        </is>
      </c>
      <c r="B327" s="1235" t="inlineStr">
        <is>
          <t>P20</t>
        </is>
      </c>
      <c r="C327" s="1241">
        <f>'Capacity Expansion Tracker'!C96</f>
        <v/>
      </c>
      <c r="D327" s="1236" t="inlineStr">
        <is>
          <t>NMDC Steel</t>
        </is>
      </c>
      <c r="E327" s="1235" t="inlineStr">
        <is>
          <t>Sourced actual (hard value)</t>
        </is>
      </c>
      <c r="F327" s="1235" t="inlineStr">
        <is>
          <t>(constant) Chhattisgarh</t>
        </is>
      </c>
      <c r="G327" s="1235" t="inlineStr">
        <is>
          <t>No - utilisation, not capacity</t>
        </is>
      </c>
      <c r="H327" s="1235" t="inlineStr">
        <is>
          <t>26 Sources register; Master Industry Database source log (47 cited sources)</t>
        </is>
      </c>
      <c r="I327" s="1235" t="inlineStr">
        <is>
          <t>High</t>
        </is>
      </c>
      <c r="J327" s="1235" t="n"/>
      <c r="K327" s="1235" t="inlineStr">
        <is>
          <t>Reconciled by 25 Audit Checks</t>
        </is>
      </c>
      <c r="L327" s="1236" t="inlineStr">
        <is>
          <t>S01</t>
        </is>
      </c>
      <c r="M327" s="1235" t="inlineStr">
        <is>
          <t>This sheet</t>
        </is>
      </c>
      <c r="N327" s="1235" t="inlineStr">
        <is>
          <t>Quarterly</t>
        </is>
      </c>
      <c r="O327" s="1236" t="inlineStr">
        <is>
          <t>FY2026A</t>
        </is>
      </c>
      <c r="P327" s="1235" t="inlineStr">
        <is>
          <t>Research block row 96. Value column is live and re-states on a scenario change.</t>
        </is>
      </c>
    </row>
    <row r="328" ht="46" customHeight="1" s="632">
      <c r="A328" s="1232" t="inlineStr">
        <is>
          <t>CT25</t>
        </is>
      </c>
      <c r="B328" s="1233" t="inlineStr">
        <is>
          <t>Included projects only</t>
        </is>
      </c>
      <c r="C328" s="1242">
        <f>IF(ISNUMBER('Capacity Expansion Tracker'!J99),'Capacity Expansion Tracker'!J99,'Capacity Expansion Tracker'!C99)</f>
        <v/>
      </c>
      <c r="D328" s="1234" t="n"/>
      <c r="E328" s="1233" t="inlineStr">
        <is>
          <t>Sourced actual (hard value)</t>
        </is>
      </c>
      <c r="F328" s="1233" t="inlineStr">
        <is>
          <t>(constant) Mtpa</t>
        </is>
      </c>
      <c r="G328" s="1233" t="inlineStr">
        <is>
          <t>See 26 Sources</t>
        </is>
      </c>
      <c r="H328" s="1233" t="inlineStr">
        <is>
          <t>26 Sources register; Master Industry Database source log (47 cited sources)</t>
        </is>
      </c>
      <c r="I328" s="1233" t="n"/>
      <c r="J328" s="1233" t="n"/>
      <c r="K328" s="1233" t="inlineStr">
        <is>
          <t>Reconciled by 25 Audit Checks</t>
        </is>
      </c>
      <c r="L328" s="1234" t="inlineStr">
        <is>
          <t>Medium</t>
        </is>
      </c>
      <c r="M328" s="1233" t="inlineStr">
        <is>
          <t>This sheet</t>
        </is>
      </c>
      <c r="N328" s="1233" t="inlineStr">
        <is>
          <t>Quarterly</t>
        </is>
      </c>
      <c r="O328" s="1234" t="inlineStr">
        <is>
          <t>FY2026A</t>
        </is>
      </c>
      <c r="P328" s="1233" t="inlineStr">
        <is>
          <t>Research block row 99. Value column is live and re-states on a scenario change.</t>
        </is>
      </c>
    </row>
    <row r="329" ht="46" customHeight="1" s="632">
      <c r="A329" s="1232" t="inlineStr">
        <is>
          <t>CT26</t>
        </is>
      </c>
      <c r="B329" s="1235" t="inlineStr">
        <is>
          <t>Total gross announced additions, FY2027E-FY2033E</t>
        </is>
      </c>
      <c r="C329" s="1241">
        <f>'Capacity Expansion Tracker'!C101</f>
        <v/>
      </c>
      <c r="D329" s="1236" t="n"/>
      <c r="E329" s="1235" t="inlineStr">
        <is>
          <t>Computed in-cell</t>
        </is>
      </c>
      <c r="F329" s="1235" t="inlineStr">
        <is>
          <t>'=SUM(E99:K99)</t>
        </is>
      </c>
      <c r="G329" s="1235" t="inlineStr">
        <is>
          <t>See 26 Sources</t>
        </is>
      </c>
      <c r="H329" s="1235" t="inlineStr">
        <is>
          <t>26 Sources register; Master Industry Database source log (47 cited sources)</t>
        </is>
      </c>
      <c r="I329" s="1235" t="n"/>
      <c r="J329" s="1235" t="n"/>
      <c r="K329" s="1235" t="inlineStr">
        <is>
          <t>Reconciled by 25 Audit Checks</t>
        </is>
      </c>
      <c r="L329" s="1236" t="inlineStr">
        <is>
          <t>Medium</t>
        </is>
      </c>
      <c r="M329" s="1235" t="inlineStr">
        <is>
          <t>This sheet</t>
        </is>
      </c>
      <c r="N329" s="1235" t="inlineStr">
        <is>
          <t>Quarterly</t>
        </is>
      </c>
      <c r="O329" s="1236" t="inlineStr">
        <is>
          <t>FY2026A</t>
        </is>
      </c>
      <c r="P329" s="1235" t="inlineStr">
        <is>
          <t>Research block row 101. Value column is live and re-states on a scenario change.</t>
        </is>
      </c>
    </row>
    <row r="330" ht="46" customHeight="1" s="632">
      <c r="A330" s="1232" t="inlineStr">
        <is>
          <t>CT27</t>
        </is>
      </c>
      <c r="B330" s="1233" t="inlineStr">
        <is>
          <t>Per-project existing capacity, total capacity on completion and announcement date</t>
        </is>
      </c>
      <c r="C330" s="1233" t="n"/>
      <c r="D330" s="1234" t="n"/>
      <c r="E330" s="1233" t="inlineStr">
        <is>
          <t>NOT POPULATED - red fill (missing data)</t>
        </is>
      </c>
      <c r="F330" s="1233" t="inlineStr">
        <is>
          <t>(blank by design)</t>
        </is>
      </c>
      <c r="G330" s="1233" t="inlineStr">
        <is>
          <t>No reliable source located and no defensible basis for an estimate</t>
        </is>
      </c>
      <c r="H330" s="1233" t="inlineStr">
        <is>
          <t>n/a</t>
        </is>
      </c>
      <c r="I330" s="1233" t="inlineStr">
        <is>
          <t>None asserted. The cell is deliberately blank.</t>
        </is>
      </c>
      <c r="J330" s="1233" t="inlineStr">
        <is>
          <t>Not disclosed at project level. Where the information exists it is inside the project description and status text, which are both carried live in this table.</t>
        </is>
      </c>
      <c r="K330" s="1233" t="inlineStr">
        <is>
          <t>Excluded from every headline output and from the audit checks</t>
        </is>
      </c>
      <c r="L330" s="1234" t="inlineStr">
        <is>
          <t>n/a - unavailable</t>
        </is>
      </c>
      <c r="M330" s="1233" t="inlineStr">
        <is>
          <t>This sheet</t>
        </is>
      </c>
      <c r="N330" s="1233" t="inlineStr">
        <is>
          <t>Populate when a primary source becomes available</t>
        </is>
      </c>
      <c r="O330" s="1234" t="inlineStr">
        <is>
          <t>Not available</t>
        </is>
      </c>
      <c r="P330" s="1233" t="inlineStr">
        <is>
          <t>Red (missing) cells: G20:G39, I20:I39, J20:J39</t>
        </is>
      </c>
    </row>
    <row r="333" ht="18" customHeight="1" s="632">
      <c r="A333" s="1229" t="inlineStr">
        <is>
          <t>Capacity Utilisation  -  10 documented items  (CU01 - CU10)</t>
        </is>
      </c>
      <c r="B333" s="1161" t="n"/>
      <c r="C333" s="1161" t="n"/>
      <c r="D333" s="1161" t="n"/>
      <c r="E333" s="1161" t="n"/>
      <c r="F333" s="1161" t="n"/>
      <c r="G333" s="1161" t="n"/>
      <c r="H333" s="1161" t="n"/>
      <c r="I333" s="1161" t="n"/>
      <c r="J333" s="1161" t="n"/>
      <c r="K333" s="1161" t="n"/>
      <c r="L333" s="1161" t="n"/>
      <c r="M333" s="1161" t="n"/>
      <c r="N333" s="1161" t="n"/>
      <c r="O333" s="1161" t="n"/>
      <c r="P333" s="1161" t="n"/>
    </row>
    <row r="334" ht="24" customHeight="1" s="632">
      <c r="A334" s="1230" t="inlineStr">
        <is>
          <t>Every documented number on Capacity Utilisation. The Code column matches the Ref column on that sheet.</t>
        </is>
      </c>
    </row>
    <row r="335" ht="30" customHeight="1" s="632">
      <c r="A335" s="1231" t="inlineStr">
        <is>
          <t>Code</t>
        </is>
      </c>
      <c r="B335" s="1231" t="inlineStr">
        <is>
          <t>Model Item</t>
        </is>
      </c>
      <c r="C335" s="1231" t="inlineStr">
        <is>
          <t>Value</t>
        </is>
      </c>
      <c r="D335" s="1231" t="inlineStr">
        <is>
          <t>Unit</t>
        </is>
      </c>
      <c r="E335" s="1231" t="inlineStr">
        <is>
          <t>Calculation Method</t>
        </is>
      </c>
      <c r="F335" s="1231" t="inlineStr">
        <is>
          <t>Formula Used</t>
        </is>
      </c>
      <c r="G335" s="1231" t="inlineStr">
        <is>
          <t>Primary Source</t>
        </is>
      </c>
      <c r="H335" s="1231" t="inlineStr">
        <is>
          <t>Secondary Source</t>
        </is>
      </c>
      <c r="I335" s="1231" t="inlineStr">
        <is>
          <t>Assumption</t>
        </is>
      </c>
      <c r="J335" s="1231" t="inlineStr">
        <is>
          <t>Reasoning</t>
        </is>
      </c>
      <c r="K335" s="1231" t="inlineStr">
        <is>
          <t>Cross-check</t>
        </is>
      </c>
      <c r="L335" s="1231" t="inlineStr">
        <is>
          <t>Confidence Level</t>
        </is>
      </c>
      <c r="M335" s="1231" t="inlineStr">
        <is>
          <t>Linked Sheet</t>
        </is>
      </c>
      <c r="N335" s="1231" t="inlineStr">
        <is>
          <t>Update Frequency</t>
        </is>
      </c>
      <c r="O335" s="1231" t="inlineStr">
        <is>
          <t>Last Available Date</t>
        </is>
      </c>
      <c r="P335" s="1231" t="inlineStr">
        <is>
          <t>Comments</t>
        </is>
      </c>
    </row>
    <row r="336" ht="46" customHeight="1" s="632">
      <c r="A336" s="1232" t="inlineStr">
        <is>
          <t>CU01</t>
        </is>
      </c>
      <c r="B336" s="1233" t="inlineStr">
        <is>
          <t>Company-wise utilisation, FY2026A</t>
        </is>
      </c>
      <c r="C336" s="1244">
        <f>'Capacity Utilisation'!I27</f>
        <v/>
      </c>
      <c r="D336" s="1234" t="inlineStr">
        <is>
          <t>%</t>
        </is>
      </c>
      <c r="E336" s="1233" t="inlineStr">
        <is>
          <t>Capacity linked to the sourced India-basis figures; production imported from the Master Industry Database; Others is a residual so the total reconciles</t>
        </is>
      </c>
      <c r="F336" s="1233" t="inlineStr">
        <is>
          <t>'=IFERROR(H19/G19,"") ; Others = $C$65-SUM(H19:H25)</t>
        </is>
      </c>
      <c r="G336" s="1233" t="inlineStr">
        <is>
          <t>Company results releases; Joint Plant Committee CPSE series for SAIL and RINL</t>
        </is>
      </c>
      <c r="H336" s="1233" t="inlineStr">
        <is>
          <t>Master Industry Database Production Volume section B and Production Capacity section B</t>
        </is>
      </c>
      <c r="I336" s="1233" t="inlineStr">
        <is>
          <t>Producer-level utilisation uses each company's own reported basis: Tata Steel India proforma including NINL, JSW Steel India operations, SAIL standalone, Jindal Steel consolidated, AM/NS India 100% derived fiscal year.</t>
        </is>
      </c>
      <c r="J336" s="1233" t="inlineStr">
        <is>
          <t>Reported utilisation above 100% is possible and does occur: SAIL's Rourkela and Durgapur plants averaged 103.8% and 101.6% of nameplate over FY2021-FY2025. That is why the national aggregate ceiling of 92% is applied to the industry and not to individual assets.</t>
        </is>
      </c>
      <c r="K336" s="1233" t="inlineStr">
        <is>
          <t>Row 27 must return 76.4%, which is the industry figure on research block row 67</t>
        </is>
      </c>
      <c r="L336" s="1234" t="inlineStr">
        <is>
          <t>Medium</t>
        </is>
      </c>
      <c r="M336" s="1233" t="inlineStr">
        <is>
          <t>Comparable Valuation, Master Industry Database</t>
        </is>
      </c>
      <c r="N336" s="1233" t="inlineStr">
        <is>
          <t>Quarterly</t>
        </is>
      </c>
      <c r="O336" s="1234" t="inlineStr">
        <is>
          <t>FY2026A</t>
        </is>
      </c>
      <c r="P336" s="1233" t="inlineStr">
        <is>
          <t>Was entirely blank.</t>
        </is>
      </c>
    </row>
    <row r="337" ht="46" customHeight="1" s="632">
      <c r="A337" s="1232" t="inlineStr">
        <is>
          <t>CU02</t>
        </is>
      </c>
      <c r="B337" s="1235" t="inlineStr">
        <is>
          <t>Utilisation bridge</t>
        </is>
      </c>
      <c r="C337" s="1245">
        <f>'Capacity Utilisation'!H38</f>
        <v/>
      </c>
      <c r="D337" s="1236" t="inlineStr">
        <is>
          <t>%</t>
        </is>
      </c>
      <c r="E337" s="1235" t="inlineStr">
        <is>
          <t>Exact algebraic decomposition of the change in utilisation, with one residual line</t>
        </is>
      </c>
      <c r="F337" s="1235" t="inlineStr">
        <is>
          <t>Demand = (dConsumption x ratio)/C0 ; Capacity = -P1 x dC/(C0 x C1) ; Export = (dNetExports x ratio)/C0 ; Import = residual</t>
        </is>
      </c>
      <c r="G337" s="1235" t="inlineStr">
        <is>
          <t>Computed from the model</t>
        </is>
      </c>
      <c r="H337" s="1235" t="inlineStr">
        <is>
          <t>Research block row 67, which the closing line must reproduce</t>
        </is>
      </c>
      <c r="I337" s="1235" t="inlineStr">
        <is>
          <t>The decomposition is exact: utilisation = P/C, so dU = dP/C0 - P1 x dC/(C0 x C1). The demand, capacity and export lines are those terms; the IMPORT line is the residual.</t>
        </is>
      </c>
      <c r="J337" s="1235" t="inlineStr">
        <is>
          <t>The residual on row 36 is not purely imports. It comprises the change in variation in stock, the change in the crude-to-finished ratio, and any shortfall routed to imports when the capacity ceiling binds. It is shown as a residual so that the bridge closes to the last basis point rather than approximately.</t>
        </is>
      </c>
      <c r="K337" s="1235" t="inlineStr">
        <is>
          <t>Row 32 + row 37 must equal row 38, and row 38 must equal research block row 67, in every year</t>
        </is>
      </c>
      <c r="L337" s="1236" t="inlineStr">
        <is>
          <t>High</t>
        </is>
      </c>
      <c r="M337" s="1235" t="inlineStr">
        <is>
          <t>Steel Demand Model, Steel Supply Model, Capacity Forecast</t>
        </is>
      </c>
      <c r="N337" s="1235" t="inlineStr">
        <is>
          <t>Live</t>
        </is>
      </c>
      <c r="O337" s="1236" t="inlineStr">
        <is>
          <t>Live</t>
        </is>
      </c>
      <c r="P337" s="1235" t="inlineStr">
        <is>
          <t>Was entirely blank.</t>
        </is>
      </c>
    </row>
    <row r="338" ht="46" customHeight="1" s="632">
      <c r="A338" s="1232" t="inlineStr">
        <is>
          <t>CU03</t>
        </is>
      </c>
      <c r="B338" s="1233" t="inlineStr">
        <is>
          <t>Four-scenario utilisation path</t>
        </is>
      </c>
      <c r="C338" s="1244">
        <f>'Capacity Utilisation'!B58</f>
        <v/>
      </c>
      <c r="D338" s="1234" t="inlineStr">
        <is>
          <t>%</t>
        </is>
      </c>
      <c r="E338" s="1233" t="inlineStr">
        <is>
          <t>Cross-sheet reference to the scenario engine on 24 Scenario Manager</t>
        </is>
      </c>
      <c r="F338" s="1233" t="inlineStr">
        <is>
          <t>'='Scenario Manager'!$J$&lt;engine row&gt;</t>
        </is>
      </c>
      <c r="G338" s="1233" t="inlineStr">
        <is>
          <t>Rebuilt live from the scenario driver matrix on 02 Model Assumptions</t>
        </is>
      </c>
      <c r="H338" s="1233" t="inlineStr">
        <is>
          <t>Independent tie-out on 24 Scenario Manager row 72</t>
        </is>
      </c>
      <c r="I338" s="1233" t="inlineStr">
        <is>
          <t>Utilisation is production divided by CLOSING capacity, which is conservative because capacity commissioned late in the year is fully in the denominator.</t>
        </is>
      </c>
      <c r="J338" s="1233" t="inlineStr">
        <is>
          <t>Counter-intuitively utilisation is HIGHEST in the Stress Case, at 86.0% in FY2033E against 84.0% in the base case. That is because the delivery factor collapses to 55% and secondary additions to 3 Mtpa, so capacity falls faster than demand. High utilisation is therefore not automatically good news: read it with the capacity and demand rows.</t>
        </is>
      </c>
      <c r="K338" s="1233" t="inlineStr">
        <is>
          <t>FY2033E must equal 84.0% / 87.9% / 85.5% / 86.0%, the independently computed tie-out values</t>
        </is>
      </c>
      <c r="L338" s="1234" t="inlineStr">
        <is>
          <t>High</t>
        </is>
      </c>
      <c r="M338" s="1233" t="inlineStr">
        <is>
          <t>Scenario Manager</t>
        </is>
      </c>
      <c r="N338" s="1233" t="inlineStr">
        <is>
          <t>Live</t>
        </is>
      </c>
      <c r="O338" s="1234" t="inlineStr">
        <is>
          <t>Live</t>
        </is>
      </c>
      <c r="P338" s="1233" t="inlineStr">
        <is>
          <t>Was entirely blank.</t>
        </is>
      </c>
    </row>
    <row r="339" ht="46" customHeight="1" s="632">
      <c r="A339" s="1232" t="inlineStr">
        <is>
          <t>CU04</t>
        </is>
      </c>
      <c r="B339" s="1235" t="inlineStr">
        <is>
          <t>Crude steel production</t>
        </is>
      </c>
      <c r="C339" s="1241">
        <f>IF(ISNUMBER('Capacity Utilisation'!J65),'Capacity Utilisation'!J65,'Capacity Utilisation'!C65)</f>
        <v/>
      </c>
      <c r="D339" s="1236" t="inlineStr">
        <is>
          <t>Mt</t>
        </is>
      </c>
      <c r="E339" s="1235" t="inlineStr">
        <is>
          <t>Cross-sheet reference (linked, not re-entered)</t>
        </is>
      </c>
      <c r="F339" s="1235" t="inlineStr">
        <is>
          <t>'='Steel Supply Model'!D$99</t>
        </is>
      </c>
      <c r="G339" s="1235" t="inlineStr">
        <is>
          <t>05 Supply</t>
        </is>
      </c>
      <c r="H339" s="1235" t="inlineStr">
        <is>
          <t>26 Sources register; Master Industry Database source log (47 cited sources)</t>
        </is>
      </c>
      <c r="I339" s="1235" t="n"/>
      <c r="J339" s="1235" t="n"/>
      <c r="K339" s="1235" t="inlineStr">
        <is>
          <t>Reconciled by 25 Audit Checks</t>
        </is>
      </c>
      <c r="L339" s="1236" t="inlineStr">
        <is>
          <t>High</t>
        </is>
      </c>
      <c r="M339" s="1235" t="inlineStr">
        <is>
          <t>Steel Supply Model</t>
        </is>
      </c>
      <c r="N339" s="1235" t="inlineStr">
        <is>
          <t>Recalculates live with the model</t>
        </is>
      </c>
      <c r="O339" s="1236" t="inlineStr">
        <is>
          <t>Live</t>
        </is>
      </c>
      <c r="P339" s="1235" t="inlineStr">
        <is>
          <t>Research block row 65. Value column is live and re-states on a scenario change.</t>
        </is>
      </c>
    </row>
    <row r="340" ht="46" customHeight="1" s="632">
      <c r="A340" s="1232" t="inlineStr">
        <is>
          <t>CU05</t>
        </is>
      </c>
      <c r="B340" s="1233" t="inlineStr">
        <is>
          <t>Crude steel capacity</t>
        </is>
      </c>
      <c r="C340" s="1242">
        <f>IF(ISNUMBER('Capacity Utilisation'!J66),'Capacity Utilisation'!J66,'Capacity Utilisation'!C66)</f>
        <v/>
      </c>
      <c r="D340" s="1234" t="inlineStr">
        <is>
          <t>Mtpa</t>
        </is>
      </c>
      <c r="E340" s="1233" t="inlineStr">
        <is>
          <t>Cross-sheet reference (linked, not re-entered)</t>
        </is>
      </c>
      <c r="F340" s="1233" t="inlineStr">
        <is>
          <t>'='Capacity Forecast'!D$101</t>
        </is>
      </c>
      <c r="G340" s="1233" t="inlineStr">
        <is>
          <t>06 Capacity</t>
        </is>
      </c>
      <c r="H340" s="1233" t="inlineStr">
        <is>
          <t>26 Sources register; Master Industry Database source log (47 cited sources)</t>
        </is>
      </c>
      <c r="I340" s="1233" t="n"/>
      <c r="J340" s="1233" t="n"/>
      <c r="K340" s="1233" t="inlineStr">
        <is>
          <t>Reconciled by 25 Audit Checks</t>
        </is>
      </c>
      <c r="L340" s="1234" t="inlineStr">
        <is>
          <t>High</t>
        </is>
      </c>
      <c r="M340" s="1233" t="inlineStr">
        <is>
          <t>Capacity Forecast</t>
        </is>
      </c>
      <c r="N340" s="1233" t="inlineStr">
        <is>
          <t>Recalculates live with the model</t>
        </is>
      </c>
      <c r="O340" s="1234" t="inlineStr">
        <is>
          <t>Live</t>
        </is>
      </c>
      <c r="P340" s="1233" t="inlineStr">
        <is>
          <t>Research block row 66. Value column is live and re-states on a scenario change.</t>
        </is>
      </c>
    </row>
    <row r="341" ht="46" customHeight="1" s="632">
      <c r="A341" s="1232" t="inlineStr">
        <is>
          <t>CU06</t>
        </is>
      </c>
      <c r="B341" s="1235" t="inlineStr">
        <is>
          <t>Capacity utilisation</t>
        </is>
      </c>
      <c r="C341" s="1241">
        <f>IF(ISNUMBER('Capacity Utilisation'!J67),'Capacity Utilisation'!J67,'Capacity Utilisation'!C67)</f>
        <v/>
      </c>
      <c r="D341" s="1236" t="inlineStr">
        <is>
          <t>%</t>
        </is>
      </c>
      <c r="E341" s="1235" t="inlineStr">
        <is>
          <t>Computed in-cell</t>
        </is>
      </c>
      <c r="F341" s="1235" t="inlineStr">
        <is>
          <t>'=D65/D66</t>
        </is>
      </c>
      <c r="G341" s="1235" t="inlineStr">
        <is>
          <t>Computed</t>
        </is>
      </c>
      <c r="H341" s="1235" t="inlineStr">
        <is>
          <t>26 Sources register; Master Industry Database source log (47 cited sources)</t>
        </is>
      </c>
      <c r="I341" s="1235" t="inlineStr">
        <is>
          <t>FY2026A of 76.4%.</t>
        </is>
      </c>
      <c r="J341" s="1235" t="inlineStr">
        <is>
          <t>Uses closing capacity as the denominator, so it understates true utilisation in heavy commissioning years - the same convention as the database.</t>
        </is>
      </c>
      <c r="K341" s="1235" t="inlineStr">
        <is>
          <t>Reconciled by 25 Audit Checks</t>
        </is>
      </c>
      <c r="L341" s="1236" t="inlineStr">
        <is>
          <t>High</t>
        </is>
      </c>
      <c r="M341" s="1235" t="inlineStr">
        <is>
          <t>This sheet</t>
        </is>
      </c>
      <c r="N341" s="1235" t="inlineStr">
        <is>
          <t>Recalculates live with the model</t>
        </is>
      </c>
      <c r="O341" s="1236" t="inlineStr">
        <is>
          <t>Live</t>
        </is>
      </c>
      <c r="P341" s="1235" t="inlineStr">
        <is>
          <t>Research block row 67. Value column is live and re-states on a scenario change.</t>
        </is>
      </c>
    </row>
    <row r="342" ht="46" customHeight="1" s="632">
      <c r="A342" s="1232" t="inlineStr">
        <is>
          <t>CU07</t>
        </is>
      </c>
      <c r="B342" s="1233" t="inlineStr">
        <is>
          <t>Normal utilisation</t>
        </is>
      </c>
      <c r="C342" s="1242">
        <f>'Capacity Utilisation'!J68</f>
        <v/>
      </c>
      <c r="D342" s="1234" t="inlineStr">
        <is>
          <t>%</t>
        </is>
      </c>
      <c r="E342" s="1233" t="inlineStr">
        <is>
          <t>Cross-sheet reference (linked, not re-entered)</t>
        </is>
      </c>
      <c r="F342" s="1233" t="inlineStr">
        <is>
          <t>'='Model Assumptions'!E$31</t>
        </is>
      </c>
      <c r="G342" s="1233" t="inlineStr">
        <is>
          <t>Derived from Master DB</t>
        </is>
      </c>
      <c r="H342" s="1233" t="inlineStr">
        <is>
          <t>26 Sources register; Master Industry Database source log (47 cited sources)</t>
        </is>
      </c>
      <c r="I342" s="1233" t="inlineStr">
        <is>
          <t>80%, anchored on the FY2024 actual of 80.4%.</t>
        </is>
      </c>
      <c r="J342" s="1233" t="n"/>
      <c r="K342" s="1233" t="inlineStr">
        <is>
          <t>Reconciled by 25 Audit Checks</t>
        </is>
      </c>
      <c r="L342" s="1234" t="inlineStr">
        <is>
          <t>Medium</t>
        </is>
      </c>
      <c r="M342" s="1233" t="inlineStr">
        <is>
          <t>Model Assumptions</t>
        </is>
      </c>
      <c r="N342" s="1233" t="inlineStr">
        <is>
          <t>Quarterly, on each results season</t>
        </is>
      </c>
      <c r="O342" s="1234" t="inlineStr">
        <is>
          <t>FY2026A</t>
        </is>
      </c>
      <c r="P342" s="1233" t="inlineStr">
        <is>
          <t>Research block row 68. Value column is live and re-states on a scenario change.</t>
        </is>
      </c>
    </row>
    <row r="343" ht="46" customHeight="1" s="632">
      <c r="A343" s="1232" t="inlineStr">
        <is>
          <t>CU08</t>
        </is>
      </c>
      <c r="B343" s="1235" t="inlineStr">
        <is>
          <t>Utilisation gap vs normal</t>
        </is>
      </c>
      <c r="C343" s="1241">
        <f>'Capacity Utilisation'!J69</f>
        <v/>
      </c>
      <c r="D343" s="1236" t="inlineStr">
        <is>
          <t>ppt</t>
        </is>
      </c>
      <c r="E343" s="1235" t="inlineStr">
        <is>
          <t>Computed in-cell</t>
        </is>
      </c>
      <c r="F343" s="1235" t="inlineStr">
        <is>
          <t>'=D67-D68</t>
        </is>
      </c>
      <c r="G343" s="1235" t="inlineStr">
        <is>
          <t>Computed</t>
        </is>
      </c>
      <c r="H343" s="1235" t="inlineStr">
        <is>
          <t>26 Sources register; Master Industry Database source log (47 cited sources)</t>
        </is>
      </c>
      <c r="I343" s="1235" t="inlineStr">
        <is>
          <t>THE DRIVER OF THE PRICE FEEDBACK.</t>
        </is>
      </c>
      <c r="J343" s="1235" t="inlineStr">
        <is>
          <t>Positive means tight capacity supporting price; negative means surplus capacity depressing it. Used with a one-year lag on 09.</t>
        </is>
      </c>
      <c r="K343" s="1235" t="inlineStr">
        <is>
          <t>Reconciled by 25 Audit Checks</t>
        </is>
      </c>
      <c r="L343" s="1236" t="inlineStr">
        <is>
          <t>High</t>
        </is>
      </c>
      <c r="M343" s="1235" t="inlineStr">
        <is>
          <t>This sheet</t>
        </is>
      </c>
      <c r="N343" s="1235" t="inlineStr">
        <is>
          <t>Recalculates live with the model</t>
        </is>
      </c>
      <c r="O343" s="1236" t="inlineStr">
        <is>
          <t>Live</t>
        </is>
      </c>
      <c r="P343" s="1235" t="inlineStr">
        <is>
          <t>Research block row 69. Value column is live and re-states on a scenario change.</t>
        </is>
      </c>
    </row>
    <row r="344" ht="46" customHeight="1" s="632">
      <c r="A344" s="1232" t="inlineStr">
        <is>
          <t>CU09</t>
        </is>
      </c>
      <c r="B344" s="1233" t="inlineStr">
        <is>
          <t>Spare capacity</t>
        </is>
      </c>
      <c r="C344" s="1242">
        <f>'Capacity Utilisation'!J70</f>
        <v/>
      </c>
      <c r="D344" s="1234" t="inlineStr">
        <is>
          <t>Mt</t>
        </is>
      </c>
      <c r="E344" s="1233" t="inlineStr">
        <is>
          <t>Computed in-cell</t>
        </is>
      </c>
      <c r="F344" s="1233" t="inlineStr">
        <is>
          <t>'=D66-D65</t>
        </is>
      </c>
      <c r="G344" s="1233" t="inlineStr">
        <is>
          <t>Computed</t>
        </is>
      </c>
      <c r="H344" s="1233" t="inlineStr">
        <is>
          <t>26 Sources register; Master Industry Database source log (47 cited sources)</t>
        </is>
      </c>
      <c r="I344" s="1233" t="inlineStr">
        <is>
          <t>Idle capacity.</t>
        </is>
      </c>
      <c r="J344" s="1233" t="inlineStr">
        <is>
          <t>Large and persistent spare capacity is the structural reason the base case forecasts realisation growing below inflation.</t>
        </is>
      </c>
      <c r="K344" s="1233" t="inlineStr">
        <is>
          <t>Reconciled by 25 Audit Checks</t>
        </is>
      </c>
      <c r="L344" s="1234" t="inlineStr">
        <is>
          <t>High</t>
        </is>
      </c>
      <c r="M344" s="1233" t="inlineStr">
        <is>
          <t>This sheet</t>
        </is>
      </c>
      <c r="N344" s="1233" t="inlineStr">
        <is>
          <t>Recalculates live with the model</t>
        </is>
      </c>
      <c r="O344" s="1234" t="inlineStr">
        <is>
          <t>Live</t>
        </is>
      </c>
      <c r="P344" s="1233" t="inlineStr">
        <is>
          <t>Research block row 70. Value column is live and re-states on a scenario change.</t>
        </is>
      </c>
    </row>
    <row r="345" ht="46" customHeight="1" s="632">
      <c r="A345" s="1232" t="inlineStr">
        <is>
          <t>CU10</t>
        </is>
      </c>
      <c r="B345" s="1235" t="inlineStr">
        <is>
          <t>Company utilisation - Jindal Stainless production, Shyam Metalics capacity and production</t>
        </is>
      </c>
      <c r="C345" s="1235" t="n"/>
      <c r="D345" s="1236" t="inlineStr">
        <is>
          <t>Mt / Mtpa</t>
        </is>
      </c>
      <c r="E345" s="1235" t="inlineStr">
        <is>
          <t>NOT POPULATED - red fill (missing data)</t>
        </is>
      </c>
      <c r="F345" s="1235" t="inlineStr">
        <is>
          <t>(blank by design)</t>
        </is>
      </c>
      <c r="G345" s="1235" t="inlineStr">
        <is>
          <t>No reliable source located and no defensible basis for an estimate</t>
        </is>
      </c>
      <c r="H345" s="1235" t="inlineStr">
        <is>
          <t>n/a</t>
        </is>
      </c>
      <c r="I345" s="1235" t="inlineStr">
        <is>
          <t>None asserted. The cell is deliberately blank.</t>
        </is>
      </c>
      <c r="J345" s="1235" t="inlineStr">
        <is>
          <t>Jindal Stainless discloses deliveries but not melt production. Shyam Metalics disclosed neither capacity on a crude steel basis nor volumes. Both are absorbed into the Others residual on row 26 so the industry total still reconciles to 76.4%.</t>
        </is>
      </c>
      <c r="K345" s="1235" t="inlineStr">
        <is>
          <t>Excluded from every headline output and from the audit checks</t>
        </is>
      </c>
      <c r="L345" s="1236" t="inlineStr">
        <is>
          <t>n/a - unavailable</t>
        </is>
      </c>
      <c r="M345" s="1235" t="inlineStr">
        <is>
          <t>This sheet</t>
        </is>
      </c>
      <c r="N345" s="1235" t="inlineStr">
        <is>
          <t>Populate when a primary source becomes available</t>
        </is>
      </c>
      <c r="O345" s="1236" t="inlineStr">
        <is>
          <t>Not available</t>
        </is>
      </c>
      <c r="P345" s="1235" t="inlineStr">
        <is>
          <t>Red (missing) cells: G25, H23, H25</t>
        </is>
      </c>
    </row>
    <row r="348" ht="18" customHeight="1" s="632">
      <c r="A348" s="1229" t="inlineStr">
        <is>
          <t>Steel Price Forecast  -  24 documented items  (PF01 - PF24)</t>
        </is>
      </c>
      <c r="B348" s="1161" t="n"/>
      <c r="C348" s="1161" t="n"/>
      <c r="D348" s="1161" t="n"/>
      <c r="E348" s="1161" t="n"/>
      <c r="F348" s="1161" t="n"/>
      <c r="G348" s="1161" t="n"/>
      <c r="H348" s="1161" t="n"/>
      <c r="I348" s="1161" t="n"/>
      <c r="J348" s="1161" t="n"/>
      <c r="K348" s="1161" t="n"/>
      <c r="L348" s="1161" t="n"/>
      <c r="M348" s="1161" t="n"/>
      <c r="N348" s="1161" t="n"/>
      <c r="O348" s="1161" t="n"/>
      <c r="P348" s="1161" t="n"/>
    </row>
    <row r="349" ht="24" customHeight="1" s="632">
      <c r="A349" s="1230" t="inlineStr">
        <is>
          <t>Every documented number on Steel Price Forecast. The Code column matches the Ref column on that sheet.</t>
        </is>
      </c>
    </row>
    <row r="350" ht="30" customHeight="1" s="632">
      <c r="A350" s="1231" t="inlineStr">
        <is>
          <t>Code</t>
        </is>
      </c>
      <c r="B350" s="1231" t="inlineStr">
        <is>
          <t>Model Item</t>
        </is>
      </c>
      <c r="C350" s="1231" t="inlineStr">
        <is>
          <t>Value</t>
        </is>
      </c>
      <c r="D350" s="1231" t="inlineStr">
        <is>
          <t>Unit</t>
        </is>
      </c>
      <c r="E350" s="1231" t="inlineStr">
        <is>
          <t>Calculation Method</t>
        </is>
      </c>
      <c r="F350" s="1231" t="inlineStr">
        <is>
          <t>Formula Used</t>
        </is>
      </c>
      <c r="G350" s="1231" t="inlineStr">
        <is>
          <t>Primary Source</t>
        </is>
      </c>
      <c r="H350" s="1231" t="inlineStr">
        <is>
          <t>Secondary Source</t>
        </is>
      </c>
      <c r="I350" s="1231" t="inlineStr">
        <is>
          <t>Assumption</t>
        </is>
      </c>
      <c r="J350" s="1231" t="inlineStr">
        <is>
          <t>Reasoning</t>
        </is>
      </c>
      <c r="K350" s="1231" t="inlineStr">
        <is>
          <t>Cross-check</t>
        </is>
      </c>
      <c r="L350" s="1231" t="inlineStr">
        <is>
          <t>Confidence Level</t>
        </is>
      </c>
      <c r="M350" s="1231" t="inlineStr">
        <is>
          <t>Linked Sheet</t>
        </is>
      </c>
      <c r="N350" s="1231" t="inlineStr">
        <is>
          <t>Update Frequency</t>
        </is>
      </c>
      <c r="O350" s="1231" t="inlineStr">
        <is>
          <t>Last Available Date</t>
        </is>
      </c>
      <c r="P350" s="1231" t="inlineStr">
        <is>
          <t>Comments</t>
        </is>
      </c>
    </row>
    <row r="351" ht="46" customHeight="1" s="632">
      <c r="A351" s="1232" t="inlineStr">
        <is>
          <t>PF01</t>
        </is>
      </c>
      <c r="B351" s="1233" t="inlineStr">
        <is>
          <t>Export HRC price, FOB India</t>
        </is>
      </c>
      <c r="C351" s="1248">
        <f>'Steel Price Forecast'!I10</f>
        <v/>
      </c>
      <c r="D351" s="1234" t="inlineStr">
        <is>
          <t>US$/t</t>
        </is>
      </c>
      <c r="E351" s="1233" t="inlineStr">
        <is>
          <t>Domestic HRC price divided by USD/INR, multiplied by the export parity factor in K10</t>
        </is>
      </c>
      <c r="F351" s="1233" t="inlineStr">
        <is>
          <t>'=B9/'Model Assumptions'!D$10*$K$10</t>
        </is>
      </c>
      <c r="G351" s="1233" t="inlineStr">
        <is>
          <t>Modelled netback from the sourced domestic HRC assessment</t>
        </is>
      </c>
      <c r="H351" s="1233" t="inlineStr">
        <is>
          <t>Master Industry Database records Indian domestic HRC at a US$29-45/t discount to landed imports, which corroborates that India prices below import parity</t>
        </is>
      </c>
      <c r="I351" s="1233" t="inlineStr">
        <is>
          <t>Export hot rolled coil on an FOB India basis modelled at 92% of the domestic price converted to US dollars. Export netbacks sit below domestic realisation because the exporter bears inland freight to port, port handling and a discount to clear in a competitive regional market against Chinese and CIS offers. An 8% discount is the middle of the observed range. THIS IS A NETBACK IDENTITY, not an independent price forecast, so it cannot diverge from the domestic price path.</t>
        </is>
      </c>
      <c r="J351" s="1233" t="inlineStr">
        <is>
          <t>The row was blank because no India export FOB assessment was retrievable, and the previous build noted correctly that simply converting the domestic rupee price at USD/INR would give a domestic price in dollars rather than an export price. That objection is answered by the parity factor in K10: the row is now the domestic price converted at the USD/INR driver AND discounted by 8% for inland freight to port, port handling and the discount required to clear against Chinese and CIS offers. It is explicitly a NETBACK IDENTITY rather than an independent price forecast, which is why it cannot diverge from the domestic path, and the one number a reader needs to challenge is in a single visible cell.</t>
        </is>
      </c>
      <c r="K351" s="1233" t="inlineStr">
        <is>
          <t>Must move with the domestic price on row 9 and with the USD/INR driver; a rupee depreciation must LOWER the dollar export price</t>
        </is>
      </c>
      <c r="L351" s="1234" t="inlineStr">
        <is>
          <t>Low - the 8% parity discount is a modelled mid-range figure</t>
        </is>
      </c>
      <c r="M351" s="1233" t="inlineStr">
        <is>
          <t>Model Assumptions</t>
        </is>
      </c>
      <c r="N351" s="1233" t="inlineStr">
        <is>
          <t>Monthly</t>
        </is>
      </c>
      <c r="O351" s="1234" t="inlineStr">
        <is>
          <t>FY2026A</t>
        </is>
      </c>
      <c r="P351" s="1233" t="inlineStr">
        <is>
          <t>Populated by modelling rather than left blank; the basis is stated in the Assumption column so it can be replaced with a sourced series when one exists.</t>
        </is>
      </c>
    </row>
    <row r="352" ht="46" customHeight="1" s="632">
      <c r="A352" s="1232" t="inlineStr">
        <is>
          <t>PF02</t>
        </is>
      </c>
      <c r="B352" s="1235" t="inlineStr">
        <is>
          <t>CRC price series</t>
        </is>
      </c>
      <c r="C352" s="1255">
        <f>'Steel Price Forecast'!I20</f>
        <v/>
      </c>
      <c r="D352" s="1236" t="inlineStr">
        <is>
          <t>Rs/t</t>
        </is>
      </c>
      <c r="E352" s="1235" t="inlineStr">
        <is>
          <t>HRC price on row 19 multiplied by the product differential in K20</t>
        </is>
      </c>
      <c r="F352" s="1235" t="inlineStr">
        <is>
          <t>'=B19*$K$20</t>
        </is>
      </c>
      <c r="G352" s="1235" t="inlineStr">
        <is>
          <t>Modelled differential to the sourced ICRA HRC assessment of Rs 57,700/t</t>
        </is>
      </c>
      <c r="H352" s="1235" t="inlineStr">
        <is>
          <t>Rebar and billet ARE sourced independently, from ETInfra and IDBI Capital, and are not modelled from a differential</t>
        </is>
      </c>
      <c r="I352" s="1235" t="inlineStr">
        <is>
          <t>Cold rolled coil at 112% of hot rolled coil. CRC is HRC put through a cold reversing mill and annealed; the spread is the conversion cost plus yield loss of that step, and it has been remarkably stable at 10-15% in India.</t>
        </is>
      </c>
      <c r="J352" s="1235" t="inlineStr">
        <is>
          <t>These three rows were blank across every year because no fiscal-year average product-level price series exists for India - which is true, and is exactly why a DIFFERENTIAL is the right construction. Product spreads over and under hot rolled coil are structural: each reflects the conversion cost and yield loss of one further rolling step, and they are far more stable than the absolute prices are. Anchoring each product to the sourced HRC benchmark means the product table moves with the model, cannot contradict the revenue build, and puts the whole assumption in one visible cell, K20.</t>
        </is>
      </c>
      <c r="K352" s="1235" t="inlineStr">
        <is>
          <t>Row 25 blended realisation must continue to equal research block row 103; the product set must bracket the blended realisation of Rs 59,974/t</t>
        </is>
      </c>
      <c r="L352" s="1236" t="inlineStr">
        <is>
          <t>Medium - the differentials are structural and stable, but they are not sourced prints</t>
        </is>
      </c>
      <c r="M352" s="1235" t="inlineStr">
        <is>
          <t>This sheet</t>
        </is>
      </c>
      <c r="N352" s="1235" t="inlineStr">
        <is>
          <t>Monthly, on each price assessment</t>
        </is>
      </c>
      <c r="O352" s="1236" t="inlineStr">
        <is>
          <t>FY2026A</t>
        </is>
      </c>
      <c r="P352" s="1235" t="inlineStr">
        <is>
          <t>Populated by modelling rather than left blank; the basis is stated in the Assumption column so it can be replaced with a sourced series when one exists.</t>
        </is>
      </c>
    </row>
    <row r="353" ht="46" customHeight="1" s="632">
      <c r="A353" s="1232" t="inlineStr">
        <is>
          <t>PF03</t>
        </is>
      </c>
      <c r="B353" s="1233" t="inlineStr">
        <is>
          <t>Wire Rod price series</t>
        </is>
      </c>
      <c r="C353" s="1237">
        <f>'Steel Price Forecast'!I22</f>
        <v/>
      </c>
      <c r="D353" s="1234" t="inlineStr">
        <is>
          <t>Rs/t</t>
        </is>
      </c>
      <c r="E353" s="1233" t="inlineStr">
        <is>
          <t>HRC price on row 19 multiplied by the product differential in K22</t>
        </is>
      </c>
      <c r="F353" s="1233" t="inlineStr">
        <is>
          <t>'=B19*$K$22</t>
        </is>
      </c>
      <c r="G353" s="1233" t="inlineStr">
        <is>
          <t>Modelled differential to the sourced ICRA HRC assessment of Rs 57,700/t</t>
        </is>
      </c>
      <c r="H353" s="1233" t="inlineStr">
        <is>
          <t>Rebar and billet ARE sourced independently, from ETInfra and IDBI Capital, and are not modelled from a differential</t>
        </is>
      </c>
      <c r="I353" s="1233" t="inlineStr">
        <is>
          <t>Wire rod at 98% of hot rolled coil. Wire rod is a long product rolled from billet and prices close to HRC, typically a little below it.</t>
        </is>
      </c>
      <c r="J353" s="1233" t="inlineStr">
        <is>
          <t>These three rows were blank across every year because no fiscal-year average product-level price series exists for India - which is true, and is exactly why a DIFFERENTIAL is the right construction. Product spreads over and under hot rolled coil are structural: each reflects the conversion cost and yield loss of one further rolling step, and they are far more stable than the absolute prices are. Anchoring each product to the sourced HRC benchmark means the product table moves with the model, cannot contradict the revenue build, and puts the whole assumption in one visible cell, K22.</t>
        </is>
      </c>
      <c r="K353" s="1233" t="inlineStr">
        <is>
          <t>Row 25 blended realisation must continue to equal research block row 103; the product set must bracket the blended realisation of Rs 59,974/t</t>
        </is>
      </c>
      <c r="L353" s="1234" t="inlineStr">
        <is>
          <t>Medium - the differentials are structural and stable, but they are not sourced prints</t>
        </is>
      </c>
      <c r="M353" s="1233" t="inlineStr">
        <is>
          <t>This sheet</t>
        </is>
      </c>
      <c r="N353" s="1233" t="inlineStr">
        <is>
          <t>Monthly, on each price assessment</t>
        </is>
      </c>
      <c r="O353" s="1234" t="inlineStr">
        <is>
          <t>FY2026A</t>
        </is>
      </c>
      <c r="P353" s="1233" t="inlineStr">
        <is>
          <t>Populated by modelling rather than left blank; the basis is stated in the Assumption column so it can be replaced with a sourced series when one exists.</t>
        </is>
      </c>
    </row>
    <row r="354" ht="46" customHeight="1" s="632">
      <c r="A354" s="1232" t="inlineStr">
        <is>
          <t>PF04</t>
        </is>
      </c>
      <c r="B354" s="1235" t="inlineStr">
        <is>
          <t>Plates price series</t>
        </is>
      </c>
      <c r="C354" s="1255">
        <f>'Steel Price Forecast'!I23</f>
        <v/>
      </c>
      <c r="D354" s="1236" t="inlineStr">
        <is>
          <t>Rs/t</t>
        </is>
      </c>
      <c r="E354" s="1235" t="inlineStr">
        <is>
          <t>HRC price on row 19 multiplied by the product differential in K23</t>
        </is>
      </c>
      <c r="F354" s="1235" t="inlineStr">
        <is>
          <t>'=B19*$K$23</t>
        </is>
      </c>
      <c r="G354" s="1235" t="inlineStr">
        <is>
          <t>Modelled differential to the sourced ICRA HRC assessment of Rs 57,700/t</t>
        </is>
      </c>
      <c r="H354" s="1235" t="inlineStr">
        <is>
          <t>Rebar and billet ARE sourced independently, from ETInfra and IDBI Capital, and are not modelled from a differential</t>
        </is>
      </c>
      <c r="I354" s="1235" t="inlineStr">
        <is>
          <t>Plate at 106% of hot rolled coil. Plate carries a modest premium for thickness, width and the higher specification demanded by shipbuilding, pressure vessels and line pipe.</t>
        </is>
      </c>
      <c r="J354" s="1235" t="inlineStr">
        <is>
          <t>These three rows were blank across every year because no fiscal-year average product-level price series exists for India - which is true, and is exactly why a DIFFERENTIAL is the right construction. Product spreads over and under hot rolled coil are structural: each reflects the conversion cost and yield loss of one further rolling step, and they are far more stable than the absolute prices are. Anchoring each product to the sourced HRC benchmark means the product table moves with the model, cannot contradict the revenue build, and puts the whole assumption in one visible cell, K23.</t>
        </is>
      </c>
      <c r="K354" s="1235" t="inlineStr">
        <is>
          <t>Row 25 blended realisation must continue to equal research block row 103; the product set must bracket the blended realisation of Rs 59,974/t</t>
        </is>
      </c>
      <c r="L354" s="1236" t="inlineStr">
        <is>
          <t>Medium - the differentials are structural and stable, but they are not sourced prints</t>
        </is>
      </c>
      <c r="M354" s="1235" t="inlineStr">
        <is>
          <t>This sheet</t>
        </is>
      </c>
      <c r="N354" s="1235" t="inlineStr">
        <is>
          <t>Monthly, on each price assessment</t>
        </is>
      </c>
      <c r="O354" s="1236" t="inlineStr">
        <is>
          <t>FY2026A</t>
        </is>
      </c>
      <c r="P354" s="1235" t="inlineStr">
        <is>
          <t>Populated by modelling rather than left blank; the basis is stated in the Assumption column so it can be replaced with a sourced series when one exists.</t>
        </is>
      </c>
    </row>
    <row r="355" ht="46" customHeight="1" s="632">
      <c r="A355" s="1232" t="inlineStr">
        <is>
          <t>PF05</t>
        </is>
      </c>
      <c r="B355" s="1233" t="inlineStr">
        <is>
          <t>Product price series</t>
        </is>
      </c>
      <c r="C355" s="1237">
        <f>'Steel Price Forecast'!I25</f>
        <v/>
      </c>
      <c r="D355" s="1234" t="inlineStr">
        <is>
          <t>Rs/t</t>
        </is>
      </c>
      <c r="E355" s="1233" t="inlineStr">
        <is>
          <t>FY2026A imported from the Master Industry Database (RED); forecast years indexed to the blended realisation so that no product price can move independently of the model</t>
        </is>
      </c>
      <c r="F355" s="1233" t="inlineStr">
        <is>
          <t>'=$B$19*D103/$C$103</t>
        </is>
      </c>
      <c r="G355" s="1233" t="inlineStr">
        <is>
          <t>ICRA end-March 2026 assessment for HRC (Rs 57,700/t); ETInfra trade assessment for rebar; IDBI Capital for billet ex-Raipur</t>
        </is>
      </c>
      <c r="H355" s="1233" t="inlineStr">
        <is>
          <t>BigMint rebar benchmark Rs 50,900/t at 31-Jul-2026; IDBI weekly HRC Rs 58,200/t at 22-Jun-2026</t>
        </is>
      </c>
      <c r="I355" s="1233" t="inlineStr">
        <is>
          <t>PERIOD MISMATCH DISCLOSED: HRC is an end-March-2026 assessment, rebar a March-2026 trade assessment and billet a 22-Jun-2026 print. None is a FY2026 fiscal-year average, because none exists.</t>
        </is>
      </c>
      <c r="J355" s="1233" t="inlineStr">
        <is>
          <t>The Master Industry Database records as a MATERIAL LIMITATION that no fiscal-year average HRC realisation is published for India. Product prices are therefore anchored on the best available point observation and indexed forward to the blended realisation, which is itself derived from company disclosure rather than from a price assessment. Indexing rather than forecasting each product separately guarantees the product table cannot contradict the revenue model.</t>
        </is>
      </c>
      <c r="K355" s="1233" t="inlineStr">
        <is>
          <t>Row 25 must equal research block row 103 exactly; HRC of Rs 57,700/t sits 3.8% below the blended realisation of Rs 59,974/t, which is consistent with a product mix containing higher-value CRC, coated and stainless volumes</t>
        </is>
      </c>
      <c r="L355" s="1234" t="inlineStr">
        <is>
          <t>Medium for HRC and billet, Low for rebar</t>
        </is>
      </c>
      <c r="M355" s="1233" t="inlineStr">
        <is>
          <t>Master Industry Database, this sheet</t>
        </is>
      </c>
      <c r="N355" s="1233" t="inlineStr">
        <is>
          <t>Monthly for the price assessments</t>
        </is>
      </c>
      <c r="O355" s="1234" t="inlineStr">
        <is>
          <t>Mar-2026 to Jul-2026</t>
        </is>
      </c>
      <c r="P355" s="1233" t="inlineStr">
        <is>
          <t>Was entirely blank.</t>
        </is>
      </c>
    </row>
    <row r="356" ht="46" customHeight="1" s="632">
      <c r="A356" s="1232" t="inlineStr">
        <is>
          <t>PF06</t>
        </is>
      </c>
      <c r="B356" s="1235" t="inlineStr">
        <is>
          <t>Price bridge - attribution of the year-on-year price change</t>
        </is>
      </c>
      <c r="C356" s="1255">
        <f>'Steel Price Forecast'!I40</f>
        <v/>
      </c>
      <c r="D356" s="1236" t="inlineStr">
        <is>
          <t>Rs/t</t>
        </is>
      </c>
      <c r="E356" s="1235" t="inlineStr">
        <is>
          <t>Prior-year price x elasticity x driver change per channel; row 39 is the closing residual</t>
        </is>
      </c>
      <c r="F356" s="1235" t="inlineStr">
        <is>
          <t>'=$C$103*$B$31*'Steel Demand Model'!D115 for the demand effect; =C40-SUM(C31:C38) for the residual</t>
        </is>
      </c>
      <c r="G356" s="1235" t="inlineStr">
        <is>
          <t>Elasticities are modelled; every driver change is taken from the live model</t>
        </is>
      </c>
      <c r="H356" s="1235" t="inlineStr">
        <is>
          <t>The elasticity table on rows 79 to 86 of this sheet states the same parameters</t>
        </is>
      </c>
      <c r="I356" s="1235" t="inlineStr">
        <is>
          <t>Each channel is the prior-year price multiplied by a stated elasticity and by the actual change in that channel's driver, with the elasticity visible in column B. Row 33, the lagged capacity utilisation feedback, is the one channel the MODEL genuinely uses and it reads driver D23 directly. Row 39 is computed as the RESIDUAL - net price change less the sum of every other channel - so it contains both general inflation and any calibration difference.</t>
        </is>
      </c>
      <c r="J356" s="1235" t="inlineStr">
        <is>
          <t>Eight channels across seven years were blank, on the reasoning that the realisation driver is a single calibrated path and cannot be decomposed without asserting unsourced weights. The reasoning was sound and the conclusion was avoidable. This table is now an EX-POST ATTRIBUTION rather than a causal build: it takes the price change the model actually produces and attributes it across channels using documented elasticities, then puts everything unattributed into a residual so that ROWS 31 TO 39 SUM EXACTLY TO ROW 40. Nothing here feeds the price forecast - the direction of causation runs the other way, from the driver to the attribution - so no circularity is created and no false precision is added. What the reader gains is a defensible answer to "why does price move", plus a visible residual that shows how much of the move the attribution does NOT explain.</t>
        </is>
      </c>
      <c r="K356" s="1235" t="inlineStr">
        <is>
          <t>ROWS 31 TO 39 MUST SUM TO ROW 40 EXACTLY, and rows 30 plus 40 must equal row 41. Both are verified by the bridge-closure checks in tools/audit.py.</t>
        </is>
      </c>
      <c r="L356" s="1236" t="inlineStr">
        <is>
          <t>Low - the attribution is indicative; the total it attributes is the model's own output</t>
        </is>
      </c>
      <c r="M356" s="1235" t="inlineStr">
        <is>
          <t>Steel Demand Model, Capacity Forecast, Trade Model, Model Assumptions</t>
        </is>
      </c>
      <c r="N356" s="1235" t="inlineStr">
        <is>
          <t>Live</t>
        </is>
      </c>
      <c r="O356" s="1236" t="inlineStr">
        <is>
          <t>FY2026A</t>
        </is>
      </c>
      <c r="P356" s="1235" t="inlineStr">
        <is>
          <t>Populated by modelling rather than left blank; the basis is stated in the Assumption column so it can be replaced with a sourced series when one exists.</t>
        </is>
      </c>
    </row>
    <row r="357" ht="46" customHeight="1" s="632">
      <c r="A357" s="1232" t="inlineStr">
        <is>
          <t>PF07</t>
        </is>
      </c>
      <c r="B357" s="1233" t="inlineStr">
        <is>
          <t>Price bridge - capacity utilisation effect</t>
        </is>
      </c>
      <c r="C357" s="1237">
        <f>'Steel Price Forecast'!I33</f>
        <v/>
      </c>
      <c r="D357" s="1234" t="inlineStr">
        <is>
          <t>Rs/t</t>
        </is>
      </c>
      <c r="E357" s="1233" t="inlineStr">
        <is>
          <t>Computed in-cell as the realisation driver multiplied by the price adjustment factor less one</t>
        </is>
      </c>
      <c r="F357" s="1233" t="inlineStr">
        <is>
          <t>'=D97*(D102-1)</t>
        </is>
      </c>
      <c r="G357" s="1233" t="inlineStr">
        <is>
          <t>Driver D23, price sensitivity to capacity utilisation - INDICATIVE and unsourced</t>
        </is>
      </c>
      <c r="H357" s="1233" t="inlineStr">
        <is>
          <t>Research block rows 99 to 103</t>
        </is>
      </c>
      <c r="I357" s="1233" t="inlineStr">
        <is>
          <t>The feedback is LAGGED one year deliberately, so that price responds to the PRIOR year utilisation and no circular reference is created.</t>
        </is>
      </c>
      <c r="J357" s="1233" t="inlineStr">
        <is>
          <t>This is the mechanism that makes the workbook an integrated model rather than a set of independent forecasts: capacity additions depress utilisation, depressed utilisation depresses realisation, and depressed realisation compresses margin. It is also the single most important unsourced parameter in the model, which is why it is held at 0.40x across all four scenarios and quantified on 22 Sensitivity Analysis section E.</t>
        </is>
      </c>
      <c r="K357" s="1233" t="inlineStr">
        <is>
          <t>Rows 30 + 40 must equal row 41 in every year; check A17 on 25 Audit Checks tests that the price adjustment factor stays inside 0.85x to 1.15x</t>
        </is>
      </c>
      <c r="L357" s="1234" t="inlineStr">
        <is>
          <t>Low</t>
        </is>
      </c>
      <c r="M357" s="1233" t="inlineStr">
        <is>
          <t>Model Assumptions</t>
        </is>
      </c>
      <c r="N357" s="1233" t="inlineStr">
        <is>
          <t>Quarterly review</t>
        </is>
      </c>
      <c r="O357" s="1234" t="inlineStr">
        <is>
          <t>Live</t>
        </is>
      </c>
      <c r="P357" s="1233" t="inlineStr">
        <is>
          <t>The eight channels the model does not decompose are shaded orange rather than filled with plausible-looking numbers.</t>
        </is>
      </c>
    </row>
    <row r="358" ht="46" customHeight="1" s="632">
      <c r="A358" s="1232" t="inlineStr">
        <is>
          <t>PF08</t>
        </is>
      </c>
      <c r="B358" s="1235" t="inlineStr">
        <is>
          <t>Cost floor - power and logistics carve-out</t>
        </is>
      </c>
      <c r="C358" s="1255">
        <f>'Steel Price Forecast'!B49</f>
        <v/>
      </c>
      <c r="D358" s="1236" t="inlineStr">
        <is>
          <t>Rs/t</t>
        </is>
      </c>
      <c r="E358" s="1235" t="inlineStr">
        <is>
          <t>Power read from the bottom-up build-up on 10 Raw Material Forecast; logistics at the share of conversion cost in K50; row 51 reduced by both so the column still reconciles</t>
        </is>
      </c>
      <c r="F358" s="1235" t="inlineStr">
        <is>
          <t>'='Raw Material Forecast'!$D$52 for power; conversion cost x $K$50 for logistics</t>
        </is>
      </c>
      <c r="G358" s="1235" t="inlineStr">
        <is>
          <t>Power: published consumption coefficient at a sourced industrial tariff. Logistics: modelled share of conversion cost.</t>
        </is>
      </c>
      <c r="H358" s="1235" t="inlineStr">
        <is>
          <t>No Indian producer discloses either per tonne of crude steel</t>
        </is>
      </c>
      <c r="I358" s="1235" t="inlineStr">
        <is>
          <t>Power is taken directly from the bottom-up build-up on 10 Raw Material Forecast - 0.55 MWh per tonne at about Rs 6,500 per MWh - rather than being given a separate share here, so the two sheets cannot disagree about the cost of electricity. Logistics modelled at 22% of conversion cost. Inbound freight on ore, coal and flux plus outbound freight to the dealer network is the largest single element of conversion cost after power and labour in a country where the average haul from mine to mill is several hundred kilometres.</t>
        </is>
      </c>
      <c r="J358" s="1235" t="inlineStr">
        <is>
          <t>Power and logistics were blank because they sit inside conversion cost, which the model indexes to RBI CPI as a single block, and because no producer discloses either per tonne of crude steel. Both facts remain true. What has changed is that the bottom-up build-up on 10 Raw Material Forecast now carries a power cost per tonne built from a published consumption coefficient and a sourced tariff, so power can be carved out of conversion cost rather than left blank. Logistics is carved out at a stated share. CRITICALLY, both are CARVE-OUTS, not additions: conversion cost on row 51 is reduced by exactly the amount shown on rows 49 and 50, so rows 46 to 51 still sum to cash cost on row 52 to the rupee. That reconciliation is what makes it safe to decompose a block the model treats as a single index.</t>
        </is>
      </c>
      <c r="K358" s="1235" t="inlineStr">
        <is>
          <t>ROWS 46 + 47 + 48 + 49 + 50 + 51 MUST STILL EQUAL ROW 52, the calibrated cash cost, and row 52 plus row 53 must equal row 54. Verified by tools/audit.py.</t>
        </is>
      </c>
      <c r="L358" s="1236" t="inlineStr">
        <is>
          <t>Medium for power, Low for logistics</t>
        </is>
      </c>
      <c r="M358" s="1235" t="inlineStr">
        <is>
          <t>Raw Material Forecast, Cost Curve, Model Assumptions</t>
        </is>
      </c>
      <c r="N358" s="1235" t="inlineStr">
        <is>
          <t>Annually</t>
        </is>
      </c>
      <c r="O358" s="1236" t="inlineStr">
        <is>
          <t>FY2026A</t>
        </is>
      </c>
      <c r="P358" s="1235" t="inlineStr">
        <is>
          <t>Populated by modelling rather than left blank; the basis is stated in the Assumption column so it can be replaced with a sourced series when one exists.</t>
        </is>
      </c>
    </row>
    <row r="359" ht="46" customHeight="1" s="632">
      <c r="A359" s="1232" t="inlineStr">
        <is>
          <t>PF09</t>
        </is>
      </c>
      <c r="B359" s="1233" t="inlineStr">
        <is>
          <t>Cost floor analysis, FY2026A</t>
        </is>
      </c>
      <c r="C359" s="1237">
        <f>'Steel Price Forecast'!B52</f>
        <v/>
      </c>
      <c r="D359" s="1234" t="inlineStr">
        <is>
          <t>Rs/t</t>
        </is>
      </c>
      <c r="E359" s="1233" t="inlineStr">
        <is>
          <t>Computed in-cell by applying the raw material share and basket weights to the calibrated cash cost</t>
        </is>
      </c>
      <c r="F359" s="1233" t="inlineStr">
        <is>
          <t>'='Cost Curve'!$C$80*'Model Assumptions'!$D$20*'Model Assumptions'!$D$21</t>
        </is>
      </c>
      <c r="G359" s="1233" t="inlineStr">
        <is>
          <t>Cash cost of Rs 49,241/t derived from the Master Industry Database as realisation less EBITDA per tonne, volume-weighted across the four majors that disclose both</t>
        </is>
      </c>
      <c r="H359" s="1233" t="inlineStr">
        <is>
          <t>Drivers D13 (60% raw material share) and D14 (45% iron ore weight), both INDICATIVE</t>
        </is>
      </c>
      <c r="I359" s="1233" t="inlineStr">
        <is>
          <t>The basket has exactly three components: iron ore 45%, coking coal 45%, other ferrous and fluxes 10%. Finer decomposition is not sourced.</t>
        </is>
      </c>
      <c r="J359" s="1233" t="inlineStr">
        <is>
          <t>Iron ore Rs 13,295/t plus coking coal Rs 13,295/t plus fluxes Rs 2,954/t plus conversion Rs 19,696/t sums to Rs 49,241/t, which is the calibrated cash cost. The allocation is therefore internally exact even though the split itself is indicative.</t>
        </is>
      </c>
      <c r="K359" s="1233" t="inlineStr">
        <is>
          <t>Rows 46 + 47 + 48 + 51 must equal row 52; row 52 + row 53 must equal row 54</t>
        </is>
      </c>
      <c r="L359" s="1234" t="inlineStr">
        <is>
          <t>Low for the split, Medium for the total</t>
        </is>
      </c>
      <c r="M359" s="1233" t="inlineStr">
        <is>
          <t>Cost Curve, EBITDA Model, Model Assumptions</t>
        </is>
      </c>
      <c r="N359" s="1233" t="inlineStr">
        <is>
          <t>Quarterly</t>
        </is>
      </c>
      <c r="O359" s="1234" t="inlineStr">
        <is>
          <t>FY2026A</t>
        </is>
      </c>
      <c r="P359" s="1233" t="inlineStr">
        <is>
          <t>Was entirely blank.</t>
        </is>
      </c>
    </row>
    <row r="360" ht="46" customHeight="1" s="632">
      <c r="A360" s="1232" t="inlineStr">
        <is>
          <t>PF10</t>
        </is>
      </c>
      <c r="B360" s="1235" t="inlineStr">
        <is>
          <t>International price comparison - China forecast, Japan, Europe and USA</t>
        </is>
      </c>
      <c r="C360" s="1255">
        <f>'Steel Price Forecast'!B63</f>
        <v/>
      </c>
      <c r="D360" s="1236" t="inlineStr">
        <is>
          <t>Rs/t</t>
        </is>
      </c>
      <c r="E360" s="1235" t="inlineStr">
        <is>
          <t>Indian domestic price multiplied by the regional ratio in column K; China holds the observed spread constant in percentage terms</t>
        </is>
      </c>
      <c r="F360" s="1235" t="inlineStr">
        <is>
          <t>'=$B$59*$K$61 for Japan; =$B$60*C59/$B$59 for the China forecast</t>
        </is>
      </c>
      <c r="G360" s="1235" t="inlineStr">
        <is>
          <t>China FY2026A IS sourced (IDBI Capital regional snapshot). Japan, Europe and USA ratios are modelled.</t>
        </is>
      </c>
      <c r="H360" s="1235" t="inlineStr">
        <is>
          <t>Master Industry Database also carries South East Asia Rs 50,938/t and CIS Rs 51,410/t at 22-Jun-2026, which bracket the Indian price and corroborate the ordering</t>
        </is>
      </c>
      <c r="I360" s="1235" t="inlineStr">
        <is>
          <t>Regional prices are carried as RATIOS to the Indian domestic price rather than as independent forecasts, so the comparison cannot drift and no view on foreign supply is implied. The Master Industry Database carries India, China, South East Asia and CIS prints - South East Asia Rs 50,938/t and CIS Rs 51,410/t at 22-Jun-2026 - but not Japan, Europe or the USA, so those three ratios are indicative and are labelled Low confidence. The CHINA row is different: its FY2026A price of Rs 48,580/t IS sourced, and the forecast holds the India-China spread constant in percentage terms, because forecasting Chinese prices would require a view on Chinese supply-side policy and property demand that is outside the scope of this model. Holding a spread constant is a disclosed convention, not a forecast. Japanese HRC modelled at 105% of the Indian domestic price. Japan is a high-cost producer selling into a mature domestic market with a concentrated supply side. European HRC modelled at 125% of the Indian domestic price. The European premium reflects higher energy and carbon costs and the safeguard and CBAM protection around the market. United States HRC modelled at 145% of the Indian domestic price. The US has traded at the largest sustained premium of any major market, protected by Section 232 tariffs and supplied by a concentrated, largely electric-arc industry.</t>
        </is>
      </c>
      <c r="J360" s="1235" t="inlineStr">
        <is>
          <t>Sixteen blank cells in a five-row comparison table, which left only the India row and a single China data point - not enough to compare anything. Every regional row is now a RATIO to the Indian price, so the table is complete without implying any forecast of foreign supply, and the ratio for each region sits in one visible cell in column K. The China row is treated differently and better: its FY2026A price is sourced, and the forecast holds the India-China spread constant in percentage terms rather than asserting a Chinese price path. The point of the block is to show that India is one of the lowest-priced large steel markets in the world - which is the context for both the safeguard duty and the import-parity ceiling on domestic realisation - and it can now do that.</t>
        </is>
      </c>
      <c r="K360" s="1235" t="inlineStr">
        <is>
          <t>The India-China spread must remain about Rs 9,000-9,600/t in FY2026A, matching Master Industry Database KPI K19</t>
        </is>
      </c>
      <c r="L360" s="1236" t="inlineStr">
        <is>
          <t>Medium for China, Low for Japan, Europe and the USA</t>
        </is>
      </c>
      <c r="M360" s="1235" t="inlineStr">
        <is>
          <t>This sheet</t>
        </is>
      </c>
      <c r="N360" s="1235" t="inlineStr">
        <is>
          <t>Weekly for the assessments; annually for the ratios</t>
        </is>
      </c>
      <c r="O360" s="1236" t="inlineStr">
        <is>
          <t>FY2026A</t>
        </is>
      </c>
      <c r="P360" s="1235" t="inlineStr">
        <is>
          <t>Populated by modelling rather than left blank; the basis is stated in the Assumption column so it can be replaced with a sourced series when one exists.</t>
        </is>
      </c>
    </row>
    <row r="361" ht="46" customHeight="1" s="632">
      <c r="A361" s="1232" t="inlineStr">
        <is>
          <t>PF11</t>
        </is>
      </c>
      <c r="B361" s="1233" t="inlineStr">
        <is>
          <t>India-China HRC spread</t>
        </is>
      </c>
      <c r="C361" s="1237">
        <f>'Steel Price Forecast'!B59-'Steel Price Forecast'!B60</f>
        <v/>
      </c>
      <c r="D361" s="1234" t="inlineStr">
        <is>
          <t>Rs/t</t>
        </is>
      </c>
      <c r="E361" s="1233" t="inlineStr">
        <is>
          <t>Computed in-cell from two sourced point observations</t>
        </is>
      </c>
      <c r="F361" s="1233" t="inlineStr">
        <is>
          <t>'=B59-B60</t>
        </is>
      </c>
      <c r="G361" s="1233" t="inlineStr">
        <is>
          <t>IDBI Capital regional snapshot, week ended 22-Jun-2026</t>
        </is>
      </c>
      <c r="H361" s="1233" t="inlineStr">
        <is>
          <t>Master Industry Database KPI K19, which records the same spread at Rs 9,620/t</t>
        </is>
      </c>
      <c r="I361" s="1233" t="inlineStr">
        <is>
          <t>Both prints are converted to rupees by the broker on the same date and exclude GST.</t>
        </is>
      </c>
      <c r="J361" s="1233" t="inlineStr">
        <is>
          <t>The Indian premium over Chinese FOB of roughly Rs 9,000-9,600/t, about 20%, is exactly what the safeguard duty defends. The duty steps down from 12% to 11.5% from 21-Apr-2026 and to 11% before expiring on 20-Apr-2028, which is the single largest identifiable policy risk to FY2029E realisation.</t>
        </is>
      </c>
      <c r="K361" s="1233" t="inlineStr">
        <is>
          <t>Consistent with the import-parity observation that domestic HRC traded at a US$29-45/t DISCOUNT to landed imports in Apr-2026, i.e. the duty was doing the work</t>
        </is>
      </c>
      <c r="L361" s="1234" t="inlineStr">
        <is>
          <t>Medium</t>
        </is>
      </c>
      <c r="M361" s="1233" t="inlineStr">
        <is>
          <t>Master Industry Database</t>
        </is>
      </c>
      <c r="N361" s="1233" t="inlineStr">
        <is>
          <t>Weekly</t>
        </is>
      </c>
      <c r="O361" s="1234" t="inlineStr">
        <is>
          <t>22-Jun-2026</t>
        </is>
      </c>
      <c r="P361" s="1233" t="inlineStr">
        <is>
          <t>Was blank.</t>
        </is>
      </c>
    </row>
    <row r="362" ht="46" customHeight="1" s="632">
      <c r="A362" s="1232" t="inlineStr">
        <is>
          <t>PF12</t>
        </is>
      </c>
      <c r="B362" s="1235" t="inlineStr">
        <is>
          <t>Four-scenario realisation path</t>
        </is>
      </c>
      <c r="C362" s="1255">
        <f>'Steel Price Forecast'!B74</f>
        <v/>
      </c>
      <c r="D362" s="1236" t="inlineStr">
        <is>
          <t>Rs/t</t>
        </is>
      </c>
      <c r="E362" s="1235" t="inlineStr">
        <is>
          <t>Cross-sheet reference to the scenario engine on 24 Scenario Manager</t>
        </is>
      </c>
      <c r="F362" s="1235" t="inlineStr">
        <is>
          <t>'='Scenario Manager'!$J$&lt;engine row&gt;</t>
        </is>
      </c>
      <c r="G362" s="1235" t="inlineStr">
        <is>
          <t>Rebuilt live from the scenario driver matrix on 02 Model Assumptions rows 70 to 73</t>
        </is>
      </c>
      <c r="H362" s="1235" t="inlineStr">
        <is>
          <t>Independent tie-out on 24 Scenario Manager row 73</t>
        </is>
      </c>
      <c r="I362" s="1235" t="inlineStr">
        <is>
          <t>Realisation is the DRIVER path multiplied by the lagged utilisation adjustment factor.</t>
        </is>
      </c>
      <c r="J362" s="1235" t="inlineStr">
        <is>
          <t>Note that the Stress Case realisation of Rs 70,222/t in FY2033E sits ABOVE the Bear Case at Rs 60,700/t. That is not an error: the Stress Case is a stagflationary shock in which the rupee collapses to 113 and coking coal reaches US$300/t, so nominal rupee prices rise while margins collapse. The Bear Case is a demand-led downturn in which raw materials fall with demand.</t>
        </is>
      </c>
      <c r="K362" s="1235" t="inlineStr">
        <is>
          <t>FY2033E must equal 69,006 / 70,422 / 60,700 / 70,222, the independently computed tie-out values</t>
        </is>
      </c>
      <c r="L362" s="1236" t="inlineStr">
        <is>
          <t>Medium</t>
        </is>
      </c>
      <c r="M362" s="1235" t="inlineStr">
        <is>
          <t>Scenario Manager</t>
        </is>
      </c>
      <c r="N362" s="1235" t="inlineStr">
        <is>
          <t>Live</t>
        </is>
      </c>
      <c r="O362" s="1236" t="inlineStr">
        <is>
          <t>Live</t>
        </is>
      </c>
      <c r="P362" s="1235" t="inlineStr">
        <is>
          <t>Was entirely blank.</t>
        </is>
      </c>
    </row>
    <row r="363" ht="46" customHeight="1" s="632">
      <c r="A363" s="1232" t="inlineStr">
        <is>
          <t>PF13</t>
        </is>
      </c>
      <c r="B363" s="1233" t="inlineStr">
        <is>
          <t>Price elasticity table</t>
        </is>
      </c>
      <c r="C363" s="1256">
        <f>'Steel Price Forecast'!B82</f>
        <v/>
      </c>
      <c r="D363" s="1234" t="inlineStr">
        <is>
          <t>x</t>
        </is>
      </c>
      <c r="E363" s="1233" t="inlineStr">
        <is>
          <t>Stated elasticities; row 82 links to driver D23, the one elasticity the model uses</t>
        </is>
      </c>
      <c r="F363" s="1233" t="inlineStr">
        <is>
          <t>'='Model Assumptions'!$E$30 for row 82; entered values elsewhere</t>
        </is>
      </c>
      <c r="G363" s="1233" t="inlineStr">
        <is>
          <t>Row 82 is driver D23. Every other row is a modelled parameter.</t>
        </is>
      </c>
      <c r="H363" s="1233" t="inlineStr">
        <is>
          <t>The elasticities of EBITDA to each of these variables ARE computed independently, on 22 Sensitivity Analysis section A, which is the place to look for magnitudes that matter</t>
        </is>
      </c>
      <c r="I363" s="1233" t="inlineStr">
        <is>
          <t>GDP Growth: A one percentage point rise in real GDP growth lifts the steel price by about 0.35%, transmitted through demand growth and then through utilisation. It is the product of the demand elasticity and the utilisation elasticity below, not an independent parameter. Demand Growth: A one percentage point rise in apparent consumption growth lifts price by about 0.30%, again through the utilisation channel. Supply Gap: A one percentage point widening of spare capacity against requirement cuts price by about 0.25%. Negative by construction: surplus capacity is price-destructive, which is the central mechanism of the steel cycle. Capacity Utilisation: THE ONE ELASTICITY THE MODEL ACTUALLY USES. Driver D14 sets the sensitivity of realisation to a one percentage point change in capacity utilisation, with a one-year lag. Every other row in this table is presentational. Iron Ore: A 10% rise in the iron ore price lifts the steel price by about 1.8%. Cost pass-through is partial and lagged: iron ore is roughly a quarter of cash cost and cash cost is roughly four fifths of realisation. Coking Coal: A 10% rise in coking coal lifts the steel price by about 2.2%, slightly more than iron ore because coal is the larger share of the basket. USD/INR: A 10% depreciation lifts the domestic steel price by about 3%, because it raises the landed cost of imports and therefore the import-parity ceiling that caps domestic realisation. Selling Price: Unity by definition - this is the reference row of the table.</t>
        </is>
      </c>
      <c r="J363" s="1233" t="inlineStr">
        <is>
          <t>Eight elasticity cells, blank except the one the model uses. An elasticity table with one number in it is not usable, and worse, it gives no clue whether the others were judged irrelevant or simply not reached. They are now stated, with the utilisation row flagged as the only one that drives anything - so a reader can see both the full transmission structure and exactly which single parameter is load bearing. The GDP and demand rows are deliberately consistent with the product of the demand elasticity and the utilisation elasticity rather than being independent assertions. The elasticities stated here are the SAME parameters used by the price-bridge attribution on rows 31 to 39, so the two tables cannot disagree - which is the reason to state them once and reference them, rather than to type them twice.</t>
        </is>
      </c>
      <c r="K363" s="1233" t="inlineStr">
        <is>
          <t>The GDP and demand rows are deliberately consistent with the product of the demand elasticity and the utilisation elasticity, rather than independent assertions. Row 82 must equal driver D23 exactly.</t>
        </is>
      </c>
      <c r="L363" s="1234" t="inlineStr">
        <is>
          <t>High for row 82, which is the model driver; Low for the rest, which are presentational</t>
        </is>
      </c>
      <c r="M363" s="1233" t="inlineStr">
        <is>
          <t>Model Assumptions, this sheet</t>
        </is>
      </c>
      <c r="N363" s="1233" t="inlineStr">
        <is>
          <t>Quarterly review</t>
        </is>
      </c>
      <c r="O363" s="1234" t="inlineStr">
        <is>
          <t>FY2026A</t>
        </is>
      </c>
      <c r="P363" s="1233" t="inlineStr">
        <is>
          <t>Populated by modelling rather than left blank; the basis is stated in the Assumption column so it can be replaced with a sourced series when one exists.</t>
        </is>
      </c>
    </row>
    <row r="364" ht="46" customHeight="1" s="632">
      <c r="A364" s="1232" t="inlineStr">
        <is>
          <t>PF14</t>
        </is>
      </c>
      <c r="B364" s="1235" t="inlineStr">
        <is>
          <t>Blended realisation - scenario driver</t>
        </is>
      </c>
      <c r="C364" s="1241">
        <f>IF(ISNUMBER('Steel Price Forecast'!J97),'Steel Price Forecast'!J97,'Steel Price Forecast'!C97)</f>
        <v/>
      </c>
      <c r="D364" s="1236" t="inlineStr">
        <is>
          <t>Rs/t</t>
        </is>
      </c>
      <c r="E364" s="1235" t="inlineStr">
        <is>
          <t>Cross-sheet reference (linked, not re-entered)</t>
        </is>
      </c>
      <c r="F364" s="1235" t="inlineStr">
        <is>
          <t>'='Model Assumptions'!E$16</t>
        </is>
      </c>
      <c r="G364" s="1235" t="inlineStr">
        <is>
          <t>Derived from Master DB</t>
        </is>
      </c>
      <c r="H364" s="1235" t="inlineStr">
        <is>
          <t>26 Sources register; Master Industry Database source log (47 cited sources)</t>
        </is>
      </c>
      <c r="I364" s="1235" t="inlineStr">
        <is>
          <t>FY2026A of Rs 59,974/t is derived, not quoted.</t>
        </is>
      </c>
      <c r="J364" s="1235" t="inlineStr">
        <is>
          <t>Component realisations: Tata Steel India Rs 62,273/t, JSW Steel India Rs 60,798/t, Jindal Steel Rs 61,319/t, SAIL Rs 55,600/t. Jindal Stainless is EXCLUDED at roughly Rs 1,67,000/t because stainless is not comparable.</t>
        </is>
      </c>
      <c r="K364" s="1235" t="inlineStr">
        <is>
          <t>Reconciled by 25 Audit Checks</t>
        </is>
      </c>
      <c r="L364" s="1236" t="inlineStr">
        <is>
          <t>Medium</t>
        </is>
      </c>
      <c r="M364" s="1235" t="inlineStr">
        <is>
          <t>Model Assumptions</t>
        </is>
      </c>
      <c r="N364" s="1235" t="inlineStr">
        <is>
          <t>Quarterly, on each results season</t>
        </is>
      </c>
      <c r="O364" s="1236" t="inlineStr">
        <is>
          <t>FY2026A</t>
        </is>
      </c>
      <c r="P364" s="1235" t="inlineStr">
        <is>
          <t>Research block row 97. Value column is live and re-states on a scenario change.</t>
        </is>
      </c>
    </row>
    <row r="365" ht="46" customHeight="1" s="632">
      <c r="A365" s="1232" t="inlineStr">
        <is>
          <t>PF15</t>
        </is>
      </c>
      <c r="B365" s="1233" t="inlineStr">
        <is>
          <t>Prior-year capacity utilisation</t>
        </is>
      </c>
      <c r="C365" s="1242">
        <f>'Steel Price Forecast'!J99</f>
        <v/>
      </c>
      <c r="D365" s="1234" t="inlineStr">
        <is>
          <t>%</t>
        </is>
      </c>
      <c r="E365" s="1233" t="inlineStr">
        <is>
          <t>Cross-sheet reference (linked, not re-entered)</t>
        </is>
      </c>
      <c r="F365" s="1233" t="inlineStr">
        <is>
          <t>'='Capacity Utilisation'!C$67</t>
        </is>
      </c>
      <c r="G365" s="1233" t="inlineStr">
        <is>
          <t>08 Utilisation (lagged)</t>
        </is>
      </c>
      <c r="H365" s="1233" t="inlineStr">
        <is>
          <t>26 Sources register; Master Industry Database source log (47 cited sources)</t>
        </is>
      </c>
      <c r="I365" s="1233" t="inlineStr">
        <is>
          <t>Deliberately the PRIOR year.</t>
        </is>
      </c>
      <c r="J365" s="1233" t="inlineStr">
        <is>
          <t>FY2027E uses the FY2026A actual of 76.4%. The lag is what allows capacity to affect price without creating a circular reference.</t>
        </is>
      </c>
      <c r="K365" s="1233" t="inlineStr">
        <is>
          <t>Reconciled by 25 Audit Checks</t>
        </is>
      </c>
      <c r="L365" s="1234" t="inlineStr">
        <is>
          <t>High</t>
        </is>
      </c>
      <c r="M365" s="1233" t="inlineStr">
        <is>
          <t>Capacity Utilisation</t>
        </is>
      </c>
      <c r="N365" s="1233" t="inlineStr">
        <is>
          <t>Recalculates live with the model</t>
        </is>
      </c>
      <c r="O365" s="1234" t="inlineStr">
        <is>
          <t>Live</t>
        </is>
      </c>
      <c r="P365" s="1233" t="inlineStr">
        <is>
          <t>Research block row 99. Value column is live and re-states on a scenario change.</t>
        </is>
      </c>
    </row>
    <row r="366" ht="46" customHeight="1" s="632">
      <c r="A366" s="1232" t="inlineStr">
        <is>
          <t>PF16</t>
        </is>
      </c>
      <c r="B366" s="1235" t="inlineStr">
        <is>
          <t>Normal utilisation</t>
        </is>
      </c>
      <c r="C366" s="1241">
        <f>'Steel Price Forecast'!J100</f>
        <v/>
      </c>
      <c r="D366" s="1236" t="inlineStr">
        <is>
          <t>%</t>
        </is>
      </c>
      <c r="E366" s="1235" t="inlineStr">
        <is>
          <t>Cross-sheet reference (linked, not re-entered)</t>
        </is>
      </c>
      <c r="F366" s="1235" t="inlineStr">
        <is>
          <t>'='Model Assumptions'!E$31</t>
        </is>
      </c>
      <c r="G366" s="1235" t="inlineStr">
        <is>
          <t>Derived from Master DB</t>
        </is>
      </c>
      <c r="H366" s="1235" t="inlineStr">
        <is>
          <t>26 Sources register; Master Industry Database source log (47 cited sources)</t>
        </is>
      </c>
      <c r="I366" s="1235" t="n"/>
      <c r="J366" s="1235" t="n"/>
      <c r="K366" s="1235" t="inlineStr">
        <is>
          <t>Reconciled by 25 Audit Checks</t>
        </is>
      </c>
      <c r="L366" s="1236" t="inlineStr">
        <is>
          <t>Medium</t>
        </is>
      </c>
      <c r="M366" s="1235" t="inlineStr">
        <is>
          <t>Model Assumptions</t>
        </is>
      </c>
      <c r="N366" s="1235" t="inlineStr">
        <is>
          <t>Quarterly, on each results season</t>
        </is>
      </c>
      <c r="O366" s="1236" t="inlineStr">
        <is>
          <t>FY2026A</t>
        </is>
      </c>
      <c r="P366" s="1235" t="inlineStr">
        <is>
          <t>Research block row 100. Value column is live and re-states on a scenario change.</t>
        </is>
      </c>
    </row>
    <row r="367" ht="46" customHeight="1" s="632">
      <c r="A367" s="1232" t="inlineStr">
        <is>
          <t>PF17</t>
        </is>
      </c>
      <c r="B367" s="1233" t="inlineStr">
        <is>
          <t>Price sensitivity to utilisation</t>
        </is>
      </c>
      <c r="C367" s="1242">
        <f>'Steel Price Forecast'!J101</f>
        <v/>
      </c>
      <c r="D367" s="1234" t="inlineStr">
        <is>
          <t>x</t>
        </is>
      </c>
      <c r="E367" s="1233" t="inlineStr">
        <is>
          <t>Cross-sheet reference (linked, not re-entered)</t>
        </is>
      </c>
      <c r="F367" s="1233" t="inlineStr">
        <is>
          <t>'='Model Assumptions'!E$30</t>
        </is>
      </c>
      <c r="G367" s="1233" t="inlineStr">
        <is>
          <t>Indicative</t>
        </is>
      </c>
      <c r="H367" s="1233" t="inlineStr">
        <is>
          <t>26 Sources register; Master Industry Database source log (47 cited sources)</t>
        </is>
      </c>
      <c r="I367" s="1233" t="inlineStr">
        <is>
          <t>0.40x.</t>
        </is>
      </c>
      <c r="J367" s="1233" t="inlineStr">
        <is>
          <t>INDICATIVE and unsourced, held constant across scenarios for that reason, and given a sensitivity axis on 22.</t>
        </is>
      </c>
      <c r="K367" s="1233" t="inlineStr">
        <is>
          <t>Reconciled by 25 Audit Checks</t>
        </is>
      </c>
      <c r="L367" s="1234" t="inlineStr">
        <is>
          <t>Low</t>
        </is>
      </c>
      <c r="M367" s="1233" t="inlineStr">
        <is>
          <t>Model Assumptions</t>
        </is>
      </c>
      <c r="N367" s="1233" t="inlineStr">
        <is>
          <t>Quarterly review; replace before transaction use</t>
        </is>
      </c>
      <c r="O367" s="1234" t="inlineStr">
        <is>
          <t>n/a</t>
        </is>
      </c>
      <c r="P367" s="1233" t="inlineStr">
        <is>
          <t>Research block row 101. Value column is live and re-states on a scenario change.</t>
        </is>
      </c>
    </row>
    <row r="368" ht="46" customHeight="1" s="632">
      <c r="A368" s="1232" t="inlineStr">
        <is>
          <t>PF18</t>
        </is>
      </c>
      <c r="B368" s="1235" t="inlineStr">
        <is>
          <t>Price adjustment factor</t>
        </is>
      </c>
      <c r="C368" s="1241">
        <f>IF(ISNUMBER('Steel Price Forecast'!J102),'Steel Price Forecast'!J102,'Steel Price Forecast'!C102)</f>
        <v/>
      </c>
      <c r="D368" s="1236" t="inlineStr">
        <is>
          <t>x</t>
        </is>
      </c>
      <c r="E368" s="1235" t="inlineStr">
        <is>
          <t>Computed in-cell</t>
        </is>
      </c>
      <c r="F368" s="1235" t="inlineStr">
        <is>
          <t>'=1+D101*(D99-D100)</t>
        </is>
      </c>
      <c r="G368" s="1235" t="inlineStr">
        <is>
          <t>Computed</t>
        </is>
      </c>
      <c r="H368" s="1235" t="inlineStr">
        <is>
          <t>26 Sources register; Master Industry Database source log (47 cited sources)</t>
        </is>
      </c>
      <c r="I368" s="1235" t="inlineStr">
        <is>
          <t>Below 1.0 means surplus capacity is depressing realisation; above 1.0 means tight capacity is supporting it.</t>
        </is>
      </c>
      <c r="J368" s="1235" t="n"/>
      <c r="K368" s="1235" t="inlineStr">
        <is>
          <t>Reconciled by 25 Audit Checks</t>
        </is>
      </c>
      <c r="L368" s="1236" t="inlineStr">
        <is>
          <t>Low</t>
        </is>
      </c>
      <c r="M368" s="1235" t="inlineStr">
        <is>
          <t>This sheet</t>
        </is>
      </c>
      <c r="N368" s="1235" t="inlineStr">
        <is>
          <t>Recalculates live with the model</t>
        </is>
      </c>
      <c r="O368" s="1236" t="inlineStr">
        <is>
          <t>Live</t>
        </is>
      </c>
      <c r="P368" s="1235" t="inlineStr">
        <is>
          <t>Research block row 102. Value column is live and re-states on a scenario change.</t>
        </is>
      </c>
    </row>
    <row r="369" ht="46" customHeight="1" s="632">
      <c r="A369" s="1232" t="inlineStr">
        <is>
          <t>PF19</t>
        </is>
      </c>
      <c r="B369" s="1233" t="inlineStr">
        <is>
          <t>Blended realisation - effective</t>
        </is>
      </c>
      <c r="C369" s="1242">
        <f>IF(ISNUMBER('Steel Price Forecast'!J103),'Steel Price Forecast'!J103,'Steel Price Forecast'!C103)</f>
        <v/>
      </c>
      <c r="D369" s="1234" t="inlineStr">
        <is>
          <t>Rs/t</t>
        </is>
      </c>
      <c r="E369" s="1233" t="inlineStr">
        <is>
          <t>Computed in-cell</t>
        </is>
      </c>
      <c r="F369" s="1233" t="inlineStr">
        <is>
          <t>'=D97*D102</t>
        </is>
      </c>
      <c r="G369" s="1233" t="inlineStr">
        <is>
          <t>Computed</t>
        </is>
      </c>
      <c r="H369" s="1233" t="inlineStr">
        <is>
          <t>26 Sources register; Master Industry Database source log (47 cited sources)</t>
        </is>
      </c>
      <c r="I369" s="1233" t="inlineStr">
        <is>
          <t>THE REVENUE DRIVER.</t>
        </is>
      </c>
      <c r="J369" s="1233" t="inlineStr">
        <is>
          <t>This, not the raw driver above, is what 12 Revenue reads.</t>
        </is>
      </c>
      <c r="K369" s="1233" t="inlineStr">
        <is>
          <t>Reconciled by 25 Audit Checks</t>
        </is>
      </c>
      <c r="L369" s="1234" t="inlineStr">
        <is>
          <t>Medium</t>
        </is>
      </c>
      <c r="M369" s="1233" t="inlineStr">
        <is>
          <t>This sheet</t>
        </is>
      </c>
      <c r="N369" s="1233" t="inlineStr">
        <is>
          <t>Recalculates live with the model</t>
        </is>
      </c>
      <c r="O369" s="1234" t="inlineStr">
        <is>
          <t>Live</t>
        </is>
      </c>
      <c r="P369" s="1233" t="inlineStr">
        <is>
          <t>Research block row 103. Value column is live and re-states on a scenario change.</t>
        </is>
      </c>
    </row>
    <row r="370" ht="46" customHeight="1" s="632">
      <c r="A370" s="1232" t="inlineStr">
        <is>
          <t>PF20</t>
        </is>
      </c>
      <c r="B370" s="1235" t="inlineStr">
        <is>
          <t>Memo: domestic HRC, end-Mar-2026 (ICRA)</t>
        </is>
      </c>
      <c r="C370" s="1241">
        <f>'Steel Price Forecast'!C105</f>
        <v/>
      </c>
      <c r="D370" s="1236" t="inlineStr">
        <is>
          <t>Rs/t</t>
        </is>
      </c>
      <c r="E370" s="1235" t="inlineStr">
        <is>
          <t>Sourced actual (hard value)</t>
        </is>
      </c>
      <c r="F370" s="1235" t="inlineStr">
        <is>
          <t>(constant) 57700</t>
        </is>
      </c>
      <c r="G370" s="1235" t="inlineStr">
        <is>
          <t>Master DB S19</t>
        </is>
      </c>
      <c r="H370" s="1235" t="inlineStr">
        <is>
          <t>26 Sources register; Master Industry Database source log (47 cited sources)</t>
        </is>
      </c>
      <c r="I370" s="1235" t="inlineStr">
        <is>
          <t>The database's recommended HRC reference.</t>
        </is>
      </c>
      <c r="J370" s="1235" t="inlineStr">
        <is>
          <t>Shown as a memo only - the model runs on blended realisation. IDBI put Mar-2026 at Rs 59,500/t and ETInfra at Rs 55,900/t (Conflict C07).</t>
        </is>
      </c>
      <c r="K370" s="1235" t="inlineStr">
        <is>
          <t>Reconciled by 25 Audit Checks</t>
        </is>
      </c>
      <c r="L370" s="1236" t="inlineStr">
        <is>
          <t>High</t>
        </is>
      </c>
      <c r="M370" s="1235" t="inlineStr">
        <is>
          <t>This sheet</t>
        </is>
      </c>
      <c r="N370" s="1235" t="inlineStr">
        <is>
          <t>Quarterly, on each results season</t>
        </is>
      </c>
      <c r="O370" s="1236" t="inlineStr">
        <is>
          <t>FY2026A</t>
        </is>
      </c>
      <c r="P370" s="1235" t="inlineStr">
        <is>
          <t>Research block row 105. Value column is live and re-states on a scenario change.</t>
        </is>
      </c>
    </row>
    <row r="371" ht="46" customHeight="1" s="632">
      <c r="A371" s="1232" t="inlineStr">
        <is>
          <t>PF21</t>
        </is>
      </c>
      <c r="B371" s="1233" t="inlineStr">
        <is>
          <t>Memo: HRC 52-week range to Jun-2026</t>
        </is>
      </c>
      <c r="C371" s="1242">
        <f>IFERROR('Steel Price Forecast'!D106,"")</f>
        <v/>
      </c>
      <c r="D371" s="1234" t="inlineStr">
        <is>
          <t>Rs/t</t>
        </is>
      </c>
      <c r="E371" s="1233" t="inlineStr">
        <is>
          <t>Sourced actual (hard value)</t>
        </is>
      </c>
      <c r="F371" s="1233" t="inlineStr">
        <is>
          <t>(constant) Rs 45,700 - 59,600/t</t>
        </is>
      </c>
      <c r="G371" s="1233" t="inlineStr">
        <is>
          <t>Master DB S21</t>
        </is>
      </c>
      <c r="H371" s="1233" t="inlineStr">
        <is>
          <t>26 Sources register; Master Industry Database source log (47 cited sources)</t>
        </is>
      </c>
      <c r="I371" s="1233" t="inlineStr">
        <is>
          <t>A ~30% range.</t>
        </is>
      </c>
      <c r="J371" s="1233" t="inlineStr">
        <is>
          <t>The single largest source of FY2027 earnings uncertainty.</t>
        </is>
      </c>
      <c r="K371" s="1233" t="inlineStr">
        <is>
          <t>Reconciled by 25 Audit Checks</t>
        </is>
      </c>
      <c r="L371" s="1234" t="inlineStr">
        <is>
          <t>High</t>
        </is>
      </c>
      <c r="M371" s="1233" t="inlineStr">
        <is>
          <t>This sheet</t>
        </is>
      </c>
      <c r="N371" s="1233" t="inlineStr">
        <is>
          <t>Quarterly, on each results season</t>
        </is>
      </c>
      <c r="O371" s="1234" t="inlineStr">
        <is>
          <t>FY2026A</t>
        </is>
      </c>
      <c r="P371" s="1233" t="inlineStr">
        <is>
          <t>Research block row 106. Value column is live and re-states on a scenario change.</t>
        </is>
      </c>
    </row>
    <row r="372" ht="46" customHeight="1" s="632">
      <c r="A372" s="1232" t="inlineStr">
        <is>
          <t>PF22</t>
        </is>
      </c>
      <c r="B372" s="1235" t="inlineStr">
        <is>
          <t>Safeguard duty on flat products</t>
        </is>
      </c>
      <c r="C372" s="1241">
        <f>IF(ISNUMBER('Steel Price Forecast'!J107),'Steel Price Forecast'!J107,'Steel Price Forecast'!C107)</f>
        <v/>
      </c>
      <c r="D372" s="1236" t="inlineStr">
        <is>
          <t>%</t>
        </is>
      </c>
      <c r="E372" s="1235" t="inlineStr">
        <is>
          <t>Sourced actual (hard value)</t>
        </is>
      </c>
      <c r="F372" s="1235" t="inlineStr">
        <is>
          <t>(constant) 0.115</t>
        </is>
      </c>
      <c r="G372" s="1235" t="inlineStr">
        <is>
          <t>Master DB policy P03</t>
        </is>
      </c>
      <c r="H372" s="1235" t="inlineStr">
        <is>
          <t>26 Sources register; Master Industry Database source log (47 cited sources)</t>
        </is>
      </c>
      <c r="I372" s="1235" t="inlineStr">
        <is>
          <t>SCHEDULE, NOT A FORECAST.</t>
        </is>
      </c>
      <c r="J372" s="1235" t="inlineStr">
        <is>
          <t>12% for 21-Apr-2025 to 20-Apr-2026 (FY2026), 11.5% from 21-Apr-2026 (FY2027), 11% from 21-Apr-2027 (FY2028), expiring 20-Apr-2028. Zero thereafter unless extended - a mid-term review is provided for.</t>
        </is>
      </c>
      <c r="K372" s="1235" t="inlineStr">
        <is>
          <t>The FY2029 step to zero is why the base case realisation path dips in FY2028-FY2029.</t>
        </is>
      </c>
      <c r="L372" s="1236" t="inlineStr">
        <is>
          <t>High</t>
        </is>
      </c>
      <c r="M372" s="1235" t="inlineStr">
        <is>
          <t>This sheet</t>
        </is>
      </c>
      <c r="N372" s="1235" t="inlineStr">
        <is>
          <t>Quarterly, on each results season</t>
        </is>
      </c>
      <c r="O372" s="1236" t="inlineStr">
        <is>
          <t>FY2026A</t>
        </is>
      </c>
      <c r="P372" s="1235" t="inlineStr">
        <is>
          <t>Research block row 107. Value column is live and re-states on a scenario change.</t>
        </is>
      </c>
    </row>
    <row r="373" ht="46" customHeight="1" s="632">
      <c r="A373" s="1232" t="inlineStr">
        <is>
          <t>PF23</t>
        </is>
      </c>
      <c r="B373" s="1233" t="inlineStr">
        <is>
          <t>FY2026A steel price growth and real price growth</t>
        </is>
      </c>
      <c r="C373" s="1233" t="n"/>
      <c r="D373" s="1234" t="inlineStr">
        <is>
          <t>%</t>
        </is>
      </c>
      <c r="E373" s="1233" t="inlineStr">
        <is>
          <t>NOT POPULATED - red fill (missing data)</t>
        </is>
      </c>
      <c r="F373" s="1233" t="inlineStr">
        <is>
          <t>(blank by design)</t>
        </is>
      </c>
      <c r="G373" s="1233" t="inlineStr">
        <is>
          <t>No reliable source located and no defensible basis for an estimate</t>
        </is>
      </c>
      <c r="H373" s="1233" t="inlineStr">
        <is>
          <t>n/a</t>
        </is>
      </c>
      <c r="I373" s="1233" t="inlineStr">
        <is>
          <t>None asserted. The cell is deliberately blank.</t>
        </is>
      </c>
      <c r="J373" s="1233" t="inlineStr">
        <is>
          <t>A FY2025 fiscal-year average realisation does not exist in the public domain, so a FY2026 growth rate cannot be struck.</t>
        </is>
      </c>
      <c r="K373" s="1233" t="inlineStr">
        <is>
          <t>Excluded from every headline output and from the audit checks</t>
        </is>
      </c>
      <c r="L373" s="1234" t="inlineStr">
        <is>
          <t>n/a - unavailable</t>
        </is>
      </c>
      <c r="M373" s="1233" t="inlineStr">
        <is>
          <t>This sheet</t>
        </is>
      </c>
      <c r="N373" s="1233" t="inlineStr">
        <is>
          <t>Populate when a primary source becomes available</t>
        </is>
      </c>
      <c r="O373" s="1234" t="inlineStr">
        <is>
          <t>Not available</t>
        </is>
      </c>
      <c r="P373" s="1233" t="inlineStr">
        <is>
          <t>Red (missing) cells: B11, B14</t>
        </is>
      </c>
    </row>
    <row r="374" ht="46" customHeight="1" s="632">
      <c r="A374" s="1232" t="inlineStr">
        <is>
          <t>PF24</t>
        </is>
      </c>
      <c r="B374" s="1235" t="inlineStr">
        <is>
          <t>Cost floor - power and logistics</t>
        </is>
      </c>
      <c r="C374" s="1235" t="n"/>
      <c r="D374" s="1236" t="inlineStr">
        <is>
          <t>Rs/t</t>
        </is>
      </c>
      <c r="E374" s="1235" t="inlineStr">
        <is>
          <t>NOT POPULATED - red fill (missing data)</t>
        </is>
      </c>
      <c r="F374" s="1235" t="inlineStr">
        <is>
          <t>(blank by design)</t>
        </is>
      </c>
      <c r="G374" s="1235" t="inlineStr">
        <is>
          <t>No reliable source located and no defensible basis for an estimate</t>
        </is>
      </c>
      <c r="H374" s="1235" t="inlineStr">
        <is>
          <t>n/a</t>
        </is>
      </c>
      <c r="I374" s="1235" t="inlineStr">
        <is>
          <t>None asserted. The cell is deliberately blank.</t>
        </is>
      </c>
      <c r="J374" s="1235" t="inlineStr">
        <is>
          <t>Inside conversion cost on row 51; not separately disclosed by any producer.</t>
        </is>
      </c>
      <c r="K374" s="1235" t="inlineStr">
        <is>
          <t>Excluded from every headline output and from the audit checks</t>
        </is>
      </c>
      <c r="L374" s="1236" t="inlineStr">
        <is>
          <t>n/a - unavailable</t>
        </is>
      </c>
      <c r="M374" s="1235" t="inlineStr">
        <is>
          <t>This sheet</t>
        </is>
      </c>
      <c r="N374" s="1235" t="inlineStr">
        <is>
          <t>Populate when a primary source becomes available</t>
        </is>
      </c>
      <c r="O374" s="1236" t="inlineStr">
        <is>
          <t>Not available</t>
        </is>
      </c>
      <c r="P374" s="1235" t="inlineStr">
        <is>
          <t>Red (missing) cells: B49:B50</t>
        </is>
      </c>
    </row>
    <row r="377" ht="18" customHeight="1" s="632">
      <c r="A377" s="1229" t="inlineStr">
        <is>
          <t>Raw Material Forecast  -  21 documented items  (RM01 - RM21)</t>
        </is>
      </c>
      <c r="B377" s="1161" t="n"/>
      <c r="C377" s="1161" t="n"/>
      <c r="D377" s="1161" t="n"/>
      <c r="E377" s="1161" t="n"/>
      <c r="F377" s="1161" t="n"/>
      <c r="G377" s="1161" t="n"/>
      <c r="H377" s="1161" t="n"/>
      <c r="I377" s="1161" t="n"/>
      <c r="J377" s="1161" t="n"/>
      <c r="K377" s="1161" t="n"/>
      <c r="L377" s="1161" t="n"/>
      <c r="M377" s="1161" t="n"/>
      <c r="N377" s="1161" t="n"/>
      <c r="O377" s="1161" t="n"/>
      <c r="P377" s="1161" t="n"/>
    </row>
    <row r="378" ht="24" customHeight="1" s="632">
      <c r="A378" s="1230" t="inlineStr">
        <is>
          <t>Every documented number on Raw Material Forecast. The Code column matches the Ref column on that sheet.</t>
        </is>
      </c>
    </row>
    <row r="379" ht="30" customHeight="1" s="632">
      <c r="A379" s="1231" t="inlineStr">
        <is>
          <t>Code</t>
        </is>
      </c>
      <c r="B379" s="1231" t="inlineStr">
        <is>
          <t>Model Item</t>
        </is>
      </c>
      <c r="C379" s="1231" t="inlineStr">
        <is>
          <t>Value</t>
        </is>
      </c>
      <c r="D379" s="1231" t="inlineStr">
        <is>
          <t>Unit</t>
        </is>
      </c>
      <c r="E379" s="1231" t="inlineStr">
        <is>
          <t>Calculation Method</t>
        </is>
      </c>
      <c r="F379" s="1231" t="inlineStr">
        <is>
          <t>Formula Used</t>
        </is>
      </c>
      <c r="G379" s="1231" t="inlineStr">
        <is>
          <t>Primary Source</t>
        </is>
      </c>
      <c r="H379" s="1231" t="inlineStr">
        <is>
          <t>Secondary Source</t>
        </is>
      </c>
      <c r="I379" s="1231" t="inlineStr">
        <is>
          <t>Assumption</t>
        </is>
      </c>
      <c r="J379" s="1231" t="inlineStr">
        <is>
          <t>Reasoning</t>
        </is>
      </c>
      <c r="K379" s="1231" t="inlineStr">
        <is>
          <t>Cross-check</t>
        </is>
      </c>
      <c r="L379" s="1231" t="inlineStr">
        <is>
          <t>Confidence Level</t>
        </is>
      </c>
      <c r="M379" s="1231" t="inlineStr">
        <is>
          <t>Linked Sheet</t>
        </is>
      </c>
      <c r="N379" s="1231" t="inlineStr">
        <is>
          <t>Update Frequency</t>
        </is>
      </c>
      <c r="O379" s="1231" t="inlineStr">
        <is>
          <t>Last Available Date</t>
        </is>
      </c>
      <c r="P379" s="1231" t="inlineStr">
        <is>
          <t>Comments</t>
        </is>
      </c>
    </row>
    <row r="380" ht="46" customHeight="1" s="632">
      <c r="A380" s="1232" t="inlineStr">
        <is>
          <t>RM01</t>
        </is>
      </c>
      <c r="B380" s="1233" t="inlineStr">
        <is>
          <t>PCI coal and scrap price series</t>
        </is>
      </c>
      <c r="C380" s="1248">
        <f>'Raw Material Forecast'!I11</f>
        <v/>
      </c>
      <c r="D380" s="1234" t="inlineStr">
        <is>
          <t>US$/t</t>
        </is>
      </c>
      <c r="E380" s="1233" t="inlineStr">
        <is>
          <t>Premium HCC coking coal price multiplied by the ratio in column K</t>
        </is>
      </c>
      <c r="F380" s="1233" t="inlineStr">
        <is>
          <t>'=B10*$K$11</t>
        </is>
      </c>
      <c r="G380" s="1233" t="inlineStr">
        <is>
          <t>Modelled ratio to the sourced Ministry of Steel coking coal assessment</t>
        </is>
      </c>
      <c r="H380" s="1233" t="inlineStr">
        <is>
          <t>Master Industry Database Coking Coal Prices, Conflict C01 records the assessor spread</t>
        </is>
      </c>
      <c r="I380" s="1233" t="inlineStr">
        <is>
          <t>PCI coal modelled at 62% of the premium hard coking coal price. Pulverised coal injection grades are semi-soft and trade at a persistent discount to premium HCC because they are not coking grades - the discount has ranged roughly 30% to 45% over the last decade. 62% of premium is the middle of that band. Steel scrap modelled at 55% of the premium hard coking coal price in US$/t terms. Scrap and coking coal are substitutes at the margin - a mill choosing between the blast-furnace and the scrap-electric route arbitrages exactly this ratio - so anchoring scrap to coal is more defensible than an independent scrap path. The ratio reproduces roughly US$124/t against premium HCC at US$225/t.</t>
        </is>
      </c>
      <c r="J380" s="1233" t="inlineStr">
        <is>
          <t>Both rows were blank across every year. They are now RATIOS to the premium hard coking coal price the model already forecasts, with the ratio in column K. That construction matters: PCI coal and scrap are economic substitutes for coking coal, so tying them to it is not a convenience - it is the actual relationship, and it means a coal-price scenario moves all three together instead of leaving two of them frozen.</t>
        </is>
      </c>
      <c r="K380" s="1233" t="inlineStr">
        <is>
          <t>Moves with the coking coal forecast on row 10, so the ratio is preserved in every scenario</t>
        </is>
      </c>
      <c r="L380" s="1234" t="inlineStr">
        <is>
          <t>Low - the ratio is a modelled mid-band estimate</t>
        </is>
      </c>
      <c r="M380" s="1233" t="inlineStr">
        <is>
          <t>This sheet</t>
        </is>
      </c>
      <c r="N380" s="1233" t="inlineStr">
        <is>
          <t>Quarterly</t>
        </is>
      </c>
      <c r="O380" s="1234" t="inlineStr">
        <is>
          <t>FY2026A</t>
        </is>
      </c>
      <c r="P380" s="1233" t="inlineStr">
        <is>
          <t>Populated by modelling rather than left blank; the basis is stated in the Assumption column so it can be replaced with a sourced series when one exists.</t>
        </is>
      </c>
    </row>
    <row r="381" ht="46" customHeight="1" s="632">
      <c r="A381" s="1232" t="inlineStr">
        <is>
          <t>RM02</t>
        </is>
      </c>
      <c r="B381" s="1235" t="inlineStr">
        <is>
          <t>Limestone, ferro alloy and thermal coal price series</t>
        </is>
      </c>
      <c r="C381" s="1255">
        <f>'Raw Material Forecast'!I14</f>
        <v/>
      </c>
      <c r="D381" s="1236" t="inlineStr">
        <is>
          <t>US$/t and Rs/t</t>
        </is>
      </c>
      <c r="E381" s="1235" t="inlineStr">
        <is>
          <t>FY2026A anchor indexed forward at the RBI CPI path (driver D04)</t>
        </is>
      </c>
      <c r="F381" s="1235" t="inlineStr">
        <is>
          <t>'=B14*(1+'Model Assumptions'!E$11)</t>
        </is>
      </c>
      <c r="G381" s="1235" t="inlineStr">
        <is>
          <t>Sourced FY2026A anchors for ferro alloys and thermal coal; modelled anchor for limestone</t>
        </is>
      </c>
      <c r="H381" s="1235" t="inlineStr">
        <is>
          <t>Consistent with the conversion-cost treatment, which is also CPI-indexed</t>
        </is>
      </c>
      <c r="I381" s="1235" t="inlineStr">
        <is>
          <t>Limestone modelled at Rs 1,800/t in FY2026A, indexed forward to the sourced RBI CPI path. Limestone is a domestically mined, high-bulk, low-value flux: it is priced on freight and royalty rather than on any traded benchmark, which is precisely why no fiscal-year price series exists for it. Indexing a domestic non-traded input to domestic inflation is the standard treatment. Ferro alloys anchored on the sourced ferro chrome price of Rs 1,23,200/t at 22-Jun-2026 (IDBI Capital input-cost deck), indexed forward to the RBI CPI path. The FY2026A level IS sourced; only the forward path is modelled. Thermal coal anchored on the sourced Australian FOB Newcastle fiscal-year average of US$111.5/t for FY2026, held broadly flat in real terms. IT IS A REFERENCE SERIES ONLY and drives nothing: the model indexes the non-raw-material element of cash cost to RBI CPI, not to a thermal coal path. The Master Industry Database warns explicitly against using the thermal series as a coking coal proxy, and this model does not.</t>
        </is>
      </c>
      <c r="J381" s="1235" t="inlineStr">
        <is>
          <t>Three rows blank across the forecast years. Each is now indexed forward to the sourced RBI CPI path from its FY2026A anchor. Two of the three anchors ARE sourced - ferro chrome and thermal coal both come from the Master Industry Database - so only the forward path is modelled. Indexing a domestic, non-traded, freight-and-royalty-priced input to domestic inflation is the standard treatment and is far more defensible than inventing a commodity path for limestone.</t>
        </is>
      </c>
      <c r="K381" s="1235" t="inlineStr">
        <is>
          <t>Thermal coal remains a REFERENCE series and drives nothing; the database warns against using it as a coking coal proxy and this model does not</t>
        </is>
      </c>
      <c r="L381" s="1236" t="inlineStr">
        <is>
          <t>Medium for the sourced anchors, Low for the forward paths</t>
        </is>
      </c>
      <c r="M381" s="1235" t="inlineStr">
        <is>
          <t>Model Assumptions</t>
        </is>
      </c>
      <c r="N381" s="1235" t="inlineStr">
        <is>
          <t>Quarterly</t>
        </is>
      </c>
      <c r="O381" s="1236" t="inlineStr">
        <is>
          <t>FY2026A</t>
        </is>
      </c>
      <c r="P381" s="1235" t="inlineStr">
        <is>
          <t>Populated by modelling rather than left blank; the basis is stated in the Assumption column so it can be replaced with a sourced series when one exists.</t>
        </is>
      </c>
    </row>
    <row r="382" ht="46" customHeight="1" s="632">
      <c r="A382" s="1232" t="inlineStr">
        <is>
          <t>RM03</t>
        </is>
      </c>
      <c r="B382" s="1233" t="inlineStr">
        <is>
          <t>Historical iron ore, FY2021-FY2026</t>
        </is>
      </c>
      <c r="C382" s="1248">
        <f>'Raw Material Forecast'!G21</f>
        <v/>
      </c>
      <c r="D382" s="1234" t="inlineStr">
        <is>
          <t>US$/dmt</t>
        </is>
      </c>
      <c r="E382" s="1233" t="inlineStr">
        <is>
          <t>Master Industry Database import (RED - to be reconnected as an external link)</t>
        </is>
      </c>
      <c r="F382" s="1233" t="inlineStr">
        <is>
          <t>'='[Master Industry Database.xlsx]Iron Ore Prices'!$C$27:$C$32</t>
        </is>
      </c>
      <c r="G382" s="1233" t="inlineStr">
        <is>
          <t>World Bank Commodity Price Data (Pink Sheet), monthly file updated 02-Jul-2026</t>
        </is>
      </c>
      <c r="H382" s="1233" t="inlineStr">
        <is>
          <t>Calendar-year series on the same database sheet; Master Industry Database KPI K15</t>
        </is>
      </c>
      <c r="I382" s="1233" t="inlineStr">
        <is>
          <t>Fiscal-year averages are the arithmetic mean of twelve monthly nominal prints, 62% Fe fines spot CFR China.</t>
        </is>
      </c>
      <c r="J382" s="1233" t="inlineStr">
        <is>
          <t>The highest-quality price series available to this model: an unbroken monthly history from a primary multilateral source, with no vintage or assessor conflict. Three consecutive annual declines from the FY2022 peak of US$155.52/dmt to US$100.52/dmt in FY2026 have been a persistent tailwind for Indian margins.</t>
        </is>
      </c>
      <c r="K382" s="1233" t="inlineStr">
        <is>
          <t>FY2016 low of US$52.18/dmt and FY2022 peak of US$155.52/dmt bracket the full observed range; the base case forecast of US$90-102/dmt sits comfortably inside it</t>
        </is>
      </c>
      <c r="L382" s="1234" t="inlineStr">
        <is>
          <t>High</t>
        </is>
      </c>
      <c r="M382" s="1233" t="inlineStr">
        <is>
          <t>Master Industry Database</t>
        </is>
      </c>
      <c r="N382" s="1233" t="inlineStr">
        <is>
          <t>Monthly, on each Pink Sheet release</t>
        </is>
      </c>
      <c r="O382" s="1234" t="inlineStr">
        <is>
          <t>Jun-2026</t>
        </is>
      </c>
      <c r="P382" s="1233" t="inlineStr">
        <is>
          <t>Six years of history were blank. Coking coal remains blank by design.</t>
        </is>
      </c>
    </row>
    <row r="383" ht="46" customHeight="1" s="632">
      <c r="A383" s="1232" t="inlineStr">
        <is>
          <t>RM04</t>
        </is>
      </c>
      <c r="B383" s="1235" t="inlineStr">
        <is>
          <t>Forecast PCI coal, thermal coal, scrap, limestone, dolomite and ferro alloys</t>
        </is>
      </c>
      <c r="C383" s="1247">
        <f>'Raw Material Forecast'!H36</f>
        <v/>
      </c>
      <c r="D383" s="1236" t="inlineStr">
        <is>
          <t>US$/t and Rs/t</t>
        </is>
      </c>
      <c r="E383" s="1235" t="inlineStr">
        <is>
          <t>Cross-reference to the executive summary series above; dolomite at a stated ratio to limestone</t>
        </is>
      </c>
      <c r="F383" s="1235" t="inlineStr">
        <is>
          <t>'=C11 for PCI coal; =C14*$K$40 for dolomite</t>
        </is>
      </c>
      <c r="G383" s="1235" t="inlineStr">
        <is>
          <t>Derived from the two sourced price benchmarks and the sourced CPI path</t>
        </is>
      </c>
      <c r="H383" s="1235" t="inlineStr">
        <is>
          <t>Master Industry Database Iron Ore Prices and Coking Coal Prices</t>
        </is>
      </c>
      <c r="I383" s="1235" t="inlineStr">
        <is>
          <t>Each row reads the corresponding series in the executive summary above, which is itself either a ratio to a sourced benchmark or a CPI-indexed anchor. Dolomite is priced at 115% of limestone, in column K: both are domestically mined bulk fluxes on similar freight economics, and dolomite carries a modest premium for the magnesia content that makes it useful as a converter flux.</t>
        </is>
      </c>
      <c r="J383" s="1235" t="inlineStr">
        <is>
          <t>Six rows across seven years, blank, on the reasoning that asserting these paths "would add apparent precision without adding information". The concern was right - and the answer is not to leave the table empty but to make each row a visible RATIO or INDEX rather than an assertion. These rows now carry no more information than the two sourced benchmarks and the CPI path already contain, which is exactly the point: the table is complete, and it adds no false precision because every number in it is a stated transformation of something the model already had.</t>
        </is>
      </c>
      <c r="K383" s="1235" t="inlineStr">
        <is>
          <t>Must equal the executive summary rows 11 to 15 exactly</t>
        </is>
      </c>
      <c r="L383" s="1236" t="inlineStr">
        <is>
          <t>Low</t>
        </is>
      </c>
      <c r="M383" s="1235" t="inlineStr">
        <is>
          <t>This sheet, Model Assumptions</t>
        </is>
      </c>
      <c r="N383" s="1235" t="inlineStr">
        <is>
          <t>Quarterly</t>
        </is>
      </c>
      <c r="O383" s="1236" t="inlineStr">
        <is>
          <t>FY2026A</t>
        </is>
      </c>
      <c r="P383" s="1235" t="inlineStr">
        <is>
          <t>Populated by modelling rather than left blank; the basis is stated in the Assumption column so it can be replaced with a sourced series when one exists.</t>
        </is>
      </c>
    </row>
    <row r="384" ht="46" customHeight="1" s="632">
      <c r="A384" s="1232" t="inlineStr">
        <is>
          <t>RM05</t>
        </is>
      </c>
      <c r="B384" s="1233" t="inlineStr">
        <is>
          <t>Bottom-up raw material cost build-up</t>
        </is>
      </c>
      <c r="C384" s="1237">
        <f>'Raw Material Forecast'!D53</f>
        <v/>
      </c>
      <c r="D384" s="1234" t="inlineStr">
        <is>
          <t>t/t and Rs/t</t>
        </is>
      </c>
      <c r="E384" s="1233" t="inlineStr">
        <is>
          <t>Specific consumption coefficient multiplied by the forecast price of each input, summed</t>
        </is>
      </c>
      <c r="F384" s="1233" t="inlineStr">
        <is>
          <t>'=B46*C46 per line; =SUM(D46:D52) for the total</t>
        </is>
      </c>
      <c r="G384" s="1233" t="inlineStr">
        <is>
          <t>worldsheet raw-material norms for ore and coke; sourced prices for every input</t>
        </is>
      </c>
      <c r="H384" s="1233" t="inlineStr">
        <is>
          <t>Indian coking coal demand of about 80 Mt on 152 Mt of crude steel independently corroborates the coal coefficient</t>
        </is>
      </c>
      <c r="I384" s="1233" t="inlineStr">
        <is>
          <t>worldsteel states that a tonne of pig iron takes about 1.6 tonnes of iron ore. India's blended route is slightly less ore-intensive per tonne of crude steel because the DRI-electric share uses some scrap, so 1.55 t/t is used. worldsteel puts coke consumption at about 450 kg per tonne of pig iron, which implies roughly 600 kg of coking coal before the pulverised-coal substitution. Cross-checked against the aggregate: Indian coking coal demand of about 80 Mt in FY2025 against roughly 152 Mt of crude steel implies 0.53 t/t, so 0.55 is consistent with both the engineering norm and the national aggregate. Pulverised coal injection displaces coke in the blast furnace at roughly 60 kg per tonne of hot metal on a well-run Indian furnace. Limestone and dolomite combined, for both the blast furnace burden and the steelmaking converter. Ferro manganese, ferro silicon and ferro chrome combined. Small by weight and large by value - the alloy bill is a material share of the cost of a tonne of stainless or special steel and a minor one for plain carbon. Graphite electrode consumption, which arises on the electric-melting share of production only. Two kilogrammes per tonne of crude steel is the blended-route figure. Roughly 550 kWh per tonne of crude steel on the blended route. Indian specific power consumption is above global best practice because of the coal-DRI share. Graphite electrode price of about Rs 3,70,000/t, converted from the sourced ultra-high-power assessment of US$4,189/t at 22-Jun-2026 (Master Industry Database, IDBI Capital input-cost deck) at the FY2026 average USD/INR of 88.4. The dollar price IS sourced. Industrial power at about Rs 6,500 per MWh, i.e. Rs 6.5 per kWh. That is the middle of the range of Indian industrial tariffs and captive generation costs. Large integrated producers self-generate a substantial share from waste gas and so sit below the grid tariff; secondary producers sit above it.</t>
        </is>
      </c>
      <c r="J384" s="1233" t="inlineStr">
        <is>
          <t>The whole consumption column was blank, and so were four of the seven price and cost rows, on the grounds that specific consumption is plant-specific and was not disclosed in the sources available. Both halves of that are true and neither justifies an empty table. Specific consumption coefficients are ENGINEERING norms, not commercial secrets: worldsteel publishes the ore and coke figures, and the national coking coal aggregate independently corroborates the coal coefficient to within 4%. IMPORTANT - THIS BLOCK IS A CROSS-CHECK, NOT AN INPUT. The model continues to calibrate cash cost top-down, from observed realisation less observed EBITDA per tonne, exactly as before. Nothing on this sheet feeds that calibration. The value of the block is that it lets a reader test the top-down number against a bottom-up one built from published coefficients and sourced prices - which is a check the model could not previously perform at all, and the single most useful thing this sheet can do.</t>
        </is>
      </c>
      <c r="K384" s="1233" t="inlineStr">
        <is>
          <t>COMPARE ROW 53 AGAINST THE TOP-DOWN NUMBER on row 16 of this sheet, which is cash cost from 11 Cost Curve multiplied by the raw material share. The two are built from completely different evidence - one from engineering coefficients and commodity prices, the other from company realisation and EBITDA disclosure - so agreement between them is meaningful and a large gap is a signal to investigate. This comparison was impossible before.</t>
        </is>
      </c>
      <c r="L384" s="1234" t="inlineStr">
        <is>
          <t>Medium for the coefficients, which are published engineering norms; Low for the electrode and power prices</t>
        </is>
      </c>
      <c r="M384" s="1233" t="inlineStr">
        <is>
          <t>This sheet, Model Assumptions</t>
        </is>
      </c>
      <c r="N384" s="1233" t="inlineStr">
        <is>
          <t>Annually for the coefficients, quarterly for the prices</t>
        </is>
      </c>
      <c r="O384" s="1234" t="inlineStr">
        <is>
          <t>FY2026A</t>
        </is>
      </c>
      <c r="P384" s="1233" t="inlineStr">
        <is>
          <t>Populated by modelling rather than left blank; the basis is stated in the Assumption column so it can be replaced with a sourced series when one exists.</t>
        </is>
      </c>
    </row>
    <row r="385" ht="46" customHeight="1" s="632">
      <c r="A385" s="1232" t="inlineStr">
        <is>
          <t>RM06</t>
        </is>
      </c>
      <c r="B385" s="1235" t="inlineStr">
        <is>
          <t>Raw material import dependency and source countries</t>
        </is>
      </c>
      <c r="C385" s="1251">
        <f>'Raw Material Forecast'!C59</f>
        <v/>
      </c>
      <c r="D385" s="1236" t="inlineStr">
        <is>
          <t>%</t>
        </is>
      </c>
      <c r="E385" s="1235" t="inlineStr">
        <is>
          <t>Domestic share entered; imported share computed as one less the domestic share</t>
        </is>
      </c>
      <c r="F385" s="1235" t="inlineStr">
        <is>
          <t>'=1-B59</t>
        </is>
      </c>
      <c r="G385" s="1235" t="inlineStr">
        <is>
          <t>Modelled: Ministry of Coal has recorded that domestic coking coal supply is insufficient to meet demand; India is a net exporter of iron ore and ferro chrome</t>
        </is>
      </c>
      <c r="H385" s="1235" t="inlineStr">
        <is>
          <t>Ministry of Mines and DGCIS publish the exact shares; 19 Trade Model carries finished steel trade shares</t>
        </is>
      </c>
      <c r="I385" s="1235" t="inlineStr">
        <is>
          <t>India is a net EXPORTER of iron ore and meets substantially all of its own requirement from domestic mines, principally in Odisha. Import dependence is negligible. India imports the large majority of its coking coal because domestic reserves are high-ash and unsuitable for metallurgical coke without extensive washing. This is the single largest import dependency in the industry and the reason USD/INR is the second largest driver of industry EBITDA in this model. The Ministry of Coal has repeatedly recorded that domestic supply is insufficient to meet demand. India generates most of its own scrap but imports a meaningful share, particularly shredded and bundled grades for the induction and electric-arc route, because domestic collection and segregation infrastructure is still developing. India is a large ferro chrome and ferro manganese producer and a net exporter of ferro chrome. Nickel-bearing alloys for stainless production are imported.</t>
        </is>
      </c>
      <c r="J385" s="1235" t="inlineStr">
        <is>
          <t>Twelve blank cells, on the grounds that material-level import dependency is not carried in the Master Industry Database. True, but the direction and rough magnitude of these four dependencies are not in doubt and they matter to the model: India is essentially self-sufficient in iron ore and imports the large majority of its coking coal, and THAT ASYMMETRY IS THE REASON USD/INR is the second largest driver of industry EBITDA in this workbook. Leaving the table blank hid the single most important structural fact about the industry's cost base. The imported share is a formula, one less the domestic share, so the two columns cannot fail to sum to 100%.</t>
        </is>
      </c>
      <c r="K385" s="1235" t="inlineStr">
        <is>
          <t>Columns B and C must sum to 100% on every row. The coking coal dependency must be consistent with the USD/INR sensitivity on 22 Sensitivity Analysis, which ranks it second</t>
        </is>
      </c>
      <c r="L385" s="1236" t="inlineStr">
        <is>
          <t>Medium for coking coal and iron ore, where the direction is unambiguous; Low for scrap and ferro alloys</t>
        </is>
      </c>
      <c r="M385" s="1235" t="inlineStr">
        <is>
          <t>This sheet</t>
        </is>
      </c>
      <c r="N385" s="1235" t="inlineStr">
        <is>
          <t>Annually, on DGCIS trade data</t>
        </is>
      </c>
      <c r="O385" s="1236" t="inlineStr">
        <is>
          <t>FY2026A</t>
        </is>
      </c>
      <c r="P385" s="1235" t="inlineStr">
        <is>
          <t>Populated by modelling rather than left blank; the basis is stated in the Assumption column so it can be replaced with a sourced series when one exists.</t>
        </is>
      </c>
    </row>
    <row r="386" ht="46" customHeight="1" s="632">
      <c r="A386" s="1232" t="inlineStr">
        <is>
          <t>RM07</t>
        </is>
      </c>
      <c r="B386" s="1233" t="inlineStr">
        <is>
          <t>Four-scenario scrap, thermal coal and ferro alloy prices, FY2033E</t>
        </is>
      </c>
      <c r="C386" s="1248">
        <f>'Raw Material Forecast'!B68</f>
        <v/>
      </c>
      <c r="D386" s="1234" t="inlineStr">
        <is>
          <t>US$/t and Rs/t</t>
        </is>
      </c>
      <c r="E386" s="1233" t="inlineStr">
        <is>
          <t>Scenario engine coking coal multiplied by the scrap ratio; FY2026A anchors multiplied by the scenario conversion-cost index</t>
        </is>
      </c>
      <c r="F386" s="1233" t="inlineStr">
        <is>
          <t>'='Scenario Manager'!$J$&lt;coal&gt;*$K$13</t>
        </is>
      </c>
      <c r="G386" s="1233" t="inlineStr">
        <is>
          <t>Derived from the scenario driver matrix on 02 Model Assumptions</t>
        </is>
      </c>
      <c r="H386" s="1233" t="inlineStr">
        <is>
          <t>Consistent with the live rows 11 to 15 on this sheet</t>
        </is>
      </c>
      <c r="I386" s="1233" t="inlineStr">
        <is>
          <t>Scrap responds through its stated ratio to the scenario coking coal price. Thermal coal and ferro alloys respond through the conversion-cost index, which is driven by the scenario CPI path.</t>
        </is>
      </c>
      <c r="J386" s="1233" t="inlineStr">
        <is>
          <t>Twelve blank cells, on the reasoning that these three "are not scenario drivers in this model". That was true of the old construction and is no longer true of the new one: scrap is now a ratio to coking coal, which IS a scenario driver, and the two indexed inputs run off CPI, which is also a scenario driver. So all three now have a genuine, derived scenario response rather than a blank - and none of them required a new scenario assumption to be invented, which is the test of whether a scenario table is honest.</t>
        </is>
      </c>
      <c r="K386" s="1233" t="inlineStr">
        <is>
          <t>The base-case column must equal the live FY2033E value of each series</t>
        </is>
      </c>
      <c r="L386" s="1234" t="inlineStr">
        <is>
          <t>Low</t>
        </is>
      </c>
      <c r="M386" s="1233" t="inlineStr">
        <is>
          <t>Scenario Manager</t>
        </is>
      </c>
      <c r="N386" s="1233" t="inlineStr">
        <is>
          <t>Live</t>
        </is>
      </c>
      <c r="O386" s="1234" t="inlineStr">
        <is>
          <t>FY2026A</t>
        </is>
      </c>
      <c r="P386" s="1233" t="inlineStr">
        <is>
          <t>Populated by modelling rather than left blank; the basis is stated in the Assumption column so it can be replaced with a sourced series when one exists.</t>
        </is>
      </c>
    </row>
    <row r="387" ht="46" customHeight="1" s="632">
      <c r="A387" s="1232" t="inlineStr">
        <is>
          <t>RM08</t>
        </is>
      </c>
      <c r="B387" s="1235" t="inlineStr">
        <is>
          <t>Four-scenario input cost path, FY2033E</t>
        </is>
      </c>
      <c r="C387" s="1247">
        <f>'Raw Material Forecast'!B66</f>
        <v/>
      </c>
      <c r="D387" s="1236" t="inlineStr">
        <is>
          <t>US$/dmt</t>
        </is>
      </c>
      <c r="E387" s="1235" t="inlineStr">
        <is>
          <t>Cross-sheet reference to the scenario engine on 24 Scenario Manager</t>
        </is>
      </c>
      <c r="F387" s="1235" t="inlineStr">
        <is>
          <t>'='Scenario Manager'!$J$&lt;engine row&gt;</t>
        </is>
      </c>
      <c r="G387" s="1235" t="inlineStr">
        <is>
          <t>Scenario driver matrix on 02 Model Assumptions rows 74 to 81</t>
        </is>
      </c>
      <c r="H387" s="1235" t="inlineStr">
        <is>
          <t>Observed historical range: iron ore US$52.18/dmt (FY2016) to US$155.52/dmt (FY2022); coking coal US$175/t (Mar-2025) to US$354/t (Oct-2023)</t>
        </is>
      </c>
      <c r="I387" s="1235" t="inlineStr">
        <is>
          <t>The BEAR case has raw materials FALLING, because it is a demand-led downturn. Only the STRESS case has them rising.</t>
        </is>
      </c>
      <c r="J387" s="1235" t="inlineStr">
        <is>
          <t>This is the single most important structural feature of the scenario design. A naive bear case that combines weak demand with high input costs is not a coherent state of the world: iron ore and coking coal are themselves demand-driven. Separating a demand-led downturn (Bear) from a stagflationary supply shock (Stress) is what allows the model to show a 7-11% margin in one and a -9.2% trough in the other.</t>
        </is>
      </c>
      <c r="K387" s="1235" t="inlineStr">
        <is>
          <t>Every scenario value sits inside the observed historical range for both commodities</t>
        </is>
      </c>
      <c r="L387" s="1236" t="inlineStr">
        <is>
          <t>High for iron ore, Medium for coking coal</t>
        </is>
      </c>
      <c r="M387" s="1235" t="inlineStr">
        <is>
          <t>Scenario Manager, Model Assumptions</t>
        </is>
      </c>
      <c r="N387" s="1235" t="inlineStr">
        <is>
          <t>Live</t>
        </is>
      </c>
      <c r="O387" s="1236" t="inlineStr">
        <is>
          <t>Live</t>
        </is>
      </c>
      <c r="P387" s="1235" t="inlineStr">
        <is>
          <t>Was entirely blank.</t>
        </is>
      </c>
    </row>
    <row r="388" ht="46" customHeight="1" s="632">
      <c r="A388" s="1232" t="inlineStr">
        <is>
          <t>RM09</t>
        </is>
      </c>
      <c r="B388" s="1233" t="inlineStr">
        <is>
          <t>Raw material cost sensitivity to scrap and freight - structural zeros</t>
        </is>
      </c>
      <c r="C388" s="1237">
        <f>'Raw Material Forecast'!B77</f>
        <v/>
      </c>
      <c r="D388" s="1234" t="inlineStr">
        <is>
          <t>Rs/t</t>
        </is>
      </c>
      <c r="E388" s="1233" t="inlineStr">
        <is>
          <t>Structural zero - the input is not separately identified in the cost build</t>
        </is>
      </c>
      <c r="F388" s="1233" t="inlineStr">
        <is>
          <t>(entered zero)</t>
        </is>
      </c>
      <c r="G388" s="1233" t="inlineStr">
        <is>
          <t>Consequence of the model's cost structure, not an estimate</t>
        </is>
      </c>
      <c r="H388" s="1233" t="inlineStr">
        <is>
          <t>The bottom-up build-up on rows 46 to 53 shows which inputs ARE separately costed</t>
        </is>
      </c>
      <c r="I388" s="1233" t="inlineStr">
        <is>
          <t>Both are zero because neither input is separately identified in the cost structure. Scrap does not appear in the raw material basket, which is iron ore, coking coal and a residual other-ferrous weight. Freight sits inside conversion cost, which is indexed to RBI CPI as a single block.</t>
        </is>
      </c>
      <c r="J388" s="1233" t="inlineStr">
        <is>
          <t>These two cells were blank and flagged as missing data, which misrepresented them: the impact is not unknown, it is ZERO, and the zero is itself the disclosure. Writing it in makes the limitation visible in the table where a reader is looking for it. Both zeros are real limitations and worth stating plainly: the scrap and DRI-electric routes are a growing share of Indian capacity and this model does not cost them separately, and a freight-specific shock would be understated because freight cannot be separated from conversion cost.</t>
        </is>
      </c>
      <c r="K388" s="1233" t="inlineStr">
        <is>
          <t>Consistent with the basket weights: driver D14 splits raw material between iron ore, coking coal and a residual, with no scrap line</t>
        </is>
      </c>
      <c r="L388" s="1234" t="inlineStr">
        <is>
          <t>High - the zero is exact given the model's structure</t>
        </is>
      </c>
      <c r="M388" s="1233" t="inlineStr">
        <is>
          <t>This sheet</t>
        </is>
      </c>
      <c r="N388" s="1233" t="inlineStr">
        <is>
          <t>n/a - changes only if scrap is added to the cost build</t>
        </is>
      </c>
      <c r="O388" s="1234" t="inlineStr">
        <is>
          <t>FY2026A</t>
        </is>
      </c>
      <c r="P388" s="1233" t="inlineStr">
        <is>
          <t>Populated by modelling rather than left blank; the basis is stated in the Assumption column so it can be replaced with a sourced series when one exists.</t>
        </is>
      </c>
    </row>
    <row r="389" ht="46" customHeight="1" s="632">
      <c r="A389" s="1232" t="inlineStr">
        <is>
          <t>RM10</t>
        </is>
      </c>
      <c r="B389" s="1235" t="inlineStr">
        <is>
          <t>Raw material cost sensitivity</t>
        </is>
      </c>
      <c r="C389" s="1255">
        <f>'Raw Material Forecast'!B75</f>
        <v/>
      </c>
      <c r="D389" s="1236" t="inlineStr">
        <is>
          <t>Rs/t</t>
        </is>
      </c>
      <c r="E389" s="1235" t="inlineStr">
        <is>
          <t>Computed in-cell: cash cost x raw material share x basket weight x the shock</t>
        </is>
      </c>
      <c r="F389" s="1235" t="inlineStr">
        <is>
          <t>'='Cost Curve'!$D$80*'Model Assumptions'!$E$20*'Model Assumptions'!$E$21*0.1</t>
        </is>
      </c>
      <c r="G389" s="1235" t="inlineStr">
        <is>
          <t>Computed from the model</t>
        </is>
      </c>
      <c r="H389" s="1235" t="inlineStr">
        <is>
          <t>22 Sensitivity Analysis section A tornado, which quantifies the same shocks at EBITDA level</t>
        </is>
      </c>
      <c r="I389" s="1235" t="inlineStr">
        <is>
          <t>A 10% move in iron ore affects 45% of the 60% of cash cost that is raw material, i.e. 2.7% of cash cost. USD/INR affects 90% of the basket, because only the 10% other-ferrous weight is domestically priced.</t>
        </is>
      </c>
      <c r="J389" s="1235" t="inlineStr">
        <is>
          <t>This is why USD/INR outranks both iron ore and coking coal individually in the tornado: the rupee moves BOTH dollar-denominated inputs at once.</t>
        </is>
      </c>
      <c r="K389" s="1235" t="inlineStr">
        <is>
          <t>Consistent with the tornado on 22 Sensitivity Analysis: iron ore -12.1%, coking coal -11.6% and USD/INR -23.7% of FY2033E EBITDA for a 10% adverse move</t>
        </is>
      </c>
      <c r="L389" s="1236" t="inlineStr">
        <is>
          <t>Medium</t>
        </is>
      </c>
      <c r="M389" s="1235" t="inlineStr">
        <is>
          <t>Cost Curve, Model Assumptions, Sensitivity Analysis</t>
        </is>
      </c>
      <c r="N389" s="1235" t="inlineStr">
        <is>
          <t>Live</t>
        </is>
      </c>
      <c r="O389" s="1236" t="inlineStr">
        <is>
          <t>Live</t>
        </is>
      </c>
      <c r="P389" s="1235" t="inlineStr">
        <is>
          <t>Was entirely blank.</t>
        </is>
      </c>
    </row>
    <row r="390" ht="46" customHeight="1" s="632">
      <c r="A390" s="1232" t="inlineStr">
        <is>
          <t>RM11</t>
        </is>
      </c>
      <c r="B390" s="1233" t="inlineStr">
        <is>
          <t>Iron ore 62% Fe fines, CFR China</t>
        </is>
      </c>
      <c r="C390" s="1242">
        <f>IF(ISNUMBER('Raw Material Forecast'!J85),'Raw Material Forecast'!J85,'Raw Material Forecast'!C85)</f>
        <v/>
      </c>
      <c r="D390" s="1234" t="inlineStr">
        <is>
          <t>US$/dmt</t>
        </is>
      </c>
      <c r="E390" s="1233" t="inlineStr">
        <is>
          <t>Cross-sheet reference (linked, not re-entered)</t>
        </is>
      </c>
      <c r="F390" s="1233" t="inlineStr">
        <is>
          <t>'='Model Assumptions'!E$17</t>
        </is>
      </c>
      <c r="G390" s="1233" t="inlineStr">
        <is>
          <t>Master DB S17 (World Bank)</t>
        </is>
      </c>
      <c r="H390" s="1233" t="inlineStr">
        <is>
          <t>26 Sources register; Master Industry Database source log (47 cited sources)</t>
        </is>
      </c>
      <c r="I390" s="1233" t="inlineStr">
        <is>
          <t>FY2026A of US$100.52/dmt is a genuine 12-month average from the World Bank Pink Sheet - the highest-quality price series in the model.</t>
        </is>
      </c>
      <c r="J390" s="1233" t="inlineStr">
        <is>
          <t>Third consecutive annual decline from US$155.52/dmt in FY2022. Q1FY2027 actual averaged US$105.17/dmt.</t>
        </is>
      </c>
      <c r="K390" s="1233" t="inlineStr">
        <is>
          <t>Reconciled by 25 Audit Checks</t>
        </is>
      </c>
      <c r="L390" s="1234" t="inlineStr">
        <is>
          <t>High</t>
        </is>
      </c>
      <c r="M390" s="1233" t="inlineStr">
        <is>
          <t>Model Assumptions</t>
        </is>
      </c>
      <c r="N390" s="1233" t="inlineStr">
        <is>
          <t>Monthly, on each Pink Sheet release</t>
        </is>
      </c>
      <c r="O390" s="1234" t="inlineStr">
        <is>
          <t>Jun-2026</t>
        </is>
      </c>
      <c r="P390" s="1233" t="inlineStr">
        <is>
          <t>Research block row 85. Value column is live and re-states on a scenario change.</t>
        </is>
      </c>
    </row>
    <row r="391" ht="46" customHeight="1" s="632">
      <c r="A391" s="1232" t="inlineStr">
        <is>
          <t>RM12</t>
        </is>
      </c>
      <c r="B391" s="1235" t="inlineStr">
        <is>
          <t>Premium HCC coking coal, FOB Australia</t>
        </is>
      </c>
      <c r="C391" s="1241">
        <f>IF(ISNUMBER('Raw Material Forecast'!J86),'Raw Material Forecast'!J86,'Raw Material Forecast'!C86)</f>
        <v/>
      </c>
      <c r="D391" s="1236" t="inlineStr">
        <is>
          <t>US$/t</t>
        </is>
      </c>
      <c r="E391" s="1235" t="inlineStr">
        <is>
          <t>Cross-sheet reference (linked, not re-entered)</t>
        </is>
      </c>
      <c r="F391" s="1235" t="inlineStr">
        <is>
          <t>'='Model Assumptions'!E$18</t>
        </is>
      </c>
      <c r="G391" s="1235" t="inlineStr">
        <is>
          <t>Master DB S01 (Ministry of Steel)</t>
        </is>
      </c>
      <c r="H391" s="1235" t="inlineStr">
        <is>
          <t>26 Sources register; Master Industry Database source log (47 cited sources)</t>
        </is>
      </c>
      <c r="I391" s="1235" t="inlineStr">
        <is>
          <t>FY2026A of US$225/t is the Ministry of Steel's MAR-2026 SPOT observation, NOT a fiscal-year average - the database deliberately asserts no average because the two public series disagree by up to US$40/t (Conflict C01).</t>
        </is>
      </c>
      <c r="J391" s="1235" t="inlineStr">
        <is>
          <t>THE LARGEST COST UNCERTAINTY IN THE MODEL. Replace with a licensed PRA series before transaction use.</t>
        </is>
      </c>
      <c r="K391" s="1235" t="inlineStr">
        <is>
          <t>Reconciled by 25 Audit Checks</t>
        </is>
      </c>
      <c r="L391" s="1236" t="inlineStr">
        <is>
          <t>Medium</t>
        </is>
      </c>
      <c r="M391" s="1235" t="inlineStr">
        <is>
          <t>Model Assumptions</t>
        </is>
      </c>
      <c r="N391" s="1235" t="inlineStr">
        <is>
          <t>Monthly, on each Ministry of Steel report</t>
        </is>
      </c>
      <c r="O391" s="1236" t="inlineStr">
        <is>
          <t>Apr-2026</t>
        </is>
      </c>
      <c r="P391" s="1235" t="inlineStr">
        <is>
          <t>Research block row 86. Value column is live and re-states on a scenario change.</t>
        </is>
      </c>
    </row>
    <row r="392" ht="46" customHeight="1" s="632">
      <c r="A392" s="1232" t="inlineStr">
        <is>
          <t>RM13</t>
        </is>
      </c>
      <c r="B392" s="1233" t="inlineStr">
        <is>
          <t>USD/INR</t>
        </is>
      </c>
      <c r="C392" s="1242">
        <f>IF(ISNUMBER('Raw Material Forecast'!J87),'Raw Material Forecast'!J87,'Raw Material Forecast'!C87)</f>
        <v/>
      </c>
      <c r="D392" s="1234" t="inlineStr">
        <is>
          <t>Rs/US$</t>
        </is>
      </c>
      <c r="E392" s="1233" t="inlineStr">
        <is>
          <t>Cross-sheet reference (linked, not re-entered)</t>
        </is>
      </c>
      <c r="F392" s="1233" t="inlineStr">
        <is>
          <t>'='Macroeconomic Model'!D$106</t>
        </is>
      </c>
      <c r="G392" s="1233" t="inlineStr">
        <is>
          <t>03 Macro</t>
        </is>
      </c>
      <c r="H392" s="1233" t="inlineStr">
        <is>
          <t>26 Sources register; Master Industry Database source log (47 cited sources)</t>
        </is>
      </c>
      <c r="I392" s="1233" t="n"/>
      <c r="J392" s="1233" t="n"/>
      <c r="K392" s="1233" t="inlineStr">
        <is>
          <t>Reconciled by 25 Audit Checks</t>
        </is>
      </c>
      <c r="L392" s="1234" t="inlineStr">
        <is>
          <t>High</t>
        </is>
      </c>
      <c r="M392" s="1233" t="inlineStr">
        <is>
          <t>Macroeconomic Model</t>
        </is>
      </c>
      <c r="N392" s="1233" t="inlineStr">
        <is>
          <t>Recalculates live with the model</t>
        </is>
      </c>
      <c r="O392" s="1234" t="inlineStr">
        <is>
          <t>Live</t>
        </is>
      </c>
      <c r="P392" s="1233" t="inlineStr">
        <is>
          <t>Research block row 87. Value column is live and re-states on a scenario change.</t>
        </is>
      </c>
    </row>
    <row r="393" ht="46" customHeight="1" s="632">
      <c r="A393" s="1232" t="inlineStr">
        <is>
          <t>RM14</t>
        </is>
      </c>
      <c r="B393" s="1235" t="inlineStr">
        <is>
          <t>Iron ore in rupees</t>
        </is>
      </c>
      <c r="C393" s="1241">
        <f>IF(ISNUMBER('Raw Material Forecast'!J89),'Raw Material Forecast'!J89,'Raw Material Forecast'!C89)</f>
        <v/>
      </c>
      <c r="D393" s="1236" t="inlineStr">
        <is>
          <t>Rs/dmt</t>
        </is>
      </c>
      <c r="E393" s="1235" t="inlineStr">
        <is>
          <t>Computed in-cell</t>
        </is>
      </c>
      <c r="F393" s="1235" t="inlineStr">
        <is>
          <t>'=D85*D87</t>
        </is>
      </c>
      <c r="G393" s="1235" t="inlineStr">
        <is>
          <t>Computed</t>
        </is>
      </c>
      <c r="H393" s="1235" t="inlineStr">
        <is>
          <t>26 Sources register; Master Industry Database source log (47 cited sources)</t>
        </is>
      </c>
      <c r="I393" s="1235" t="inlineStr">
        <is>
          <t>This is where the FX channel enters cost: a weaker rupee raises input cost even if the dollar price is flat.</t>
        </is>
      </c>
      <c r="J393" s="1235" t="n"/>
      <c r="K393" s="1235" t="inlineStr">
        <is>
          <t>Reconciled by 25 Audit Checks</t>
        </is>
      </c>
      <c r="L393" s="1236" t="inlineStr">
        <is>
          <t>High</t>
        </is>
      </c>
      <c r="M393" s="1235" t="inlineStr">
        <is>
          <t>This sheet</t>
        </is>
      </c>
      <c r="N393" s="1235" t="inlineStr">
        <is>
          <t>Recalculates live with the model</t>
        </is>
      </c>
      <c r="O393" s="1236" t="inlineStr">
        <is>
          <t>Live</t>
        </is>
      </c>
      <c r="P393" s="1235" t="inlineStr">
        <is>
          <t>Research block row 89. Value column is live and re-states on a scenario change.</t>
        </is>
      </c>
    </row>
    <row r="394" ht="46" customHeight="1" s="632">
      <c r="A394" s="1232" t="inlineStr">
        <is>
          <t>RM15</t>
        </is>
      </c>
      <c r="B394" s="1233" t="inlineStr">
        <is>
          <t>Coking coal in rupees</t>
        </is>
      </c>
      <c r="C394" s="1242">
        <f>IF(ISNUMBER('Raw Material Forecast'!J90),'Raw Material Forecast'!J90,'Raw Material Forecast'!C90)</f>
        <v/>
      </c>
      <c r="D394" s="1234" t="inlineStr">
        <is>
          <t>Rs/t</t>
        </is>
      </c>
      <c r="E394" s="1233" t="inlineStr">
        <is>
          <t>Computed in-cell</t>
        </is>
      </c>
      <c r="F394" s="1233" t="inlineStr">
        <is>
          <t>'=D86*D87</t>
        </is>
      </c>
      <c r="G394" s="1233" t="inlineStr">
        <is>
          <t>Computed</t>
        </is>
      </c>
      <c r="H394" s="1233" t="inlineStr">
        <is>
          <t>26 Sources register; Master Industry Database source log (47 cited sources)</t>
        </is>
      </c>
      <c r="I394" s="1233" t="n"/>
      <c r="J394" s="1233" t="n"/>
      <c r="K394" s="1233" t="inlineStr">
        <is>
          <t>Reconciled by 25 Audit Checks</t>
        </is>
      </c>
      <c r="L394" s="1234" t="inlineStr">
        <is>
          <t>Medium</t>
        </is>
      </c>
      <c r="M394" s="1233" t="inlineStr">
        <is>
          <t>This sheet</t>
        </is>
      </c>
      <c r="N394" s="1233" t="inlineStr">
        <is>
          <t>Recalculates live with the model</t>
        </is>
      </c>
      <c r="O394" s="1234" t="inlineStr">
        <is>
          <t>Live</t>
        </is>
      </c>
      <c r="P394" s="1233" t="inlineStr">
        <is>
          <t>Research block row 90. Value column is live and re-states on a scenario change.</t>
        </is>
      </c>
    </row>
    <row r="395" ht="46" customHeight="1" s="632">
      <c r="A395" s="1232" t="inlineStr">
        <is>
          <t>RM16</t>
        </is>
      </c>
      <c r="B395" s="1235" t="inlineStr">
        <is>
          <t>Conversion cost inflation</t>
        </is>
      </c>
      <c r="C395" s="1241">
        <f>'Raw Material Forecast'!J92</f>
        <v/>
      </c>
      <c r="D395" s="1236" t="inlineStr">
        <is>
          <t>%</t>
        </is>
      </c>
      <c r="E395" s="1235" t="inlineStr">
        <is>
          <t>Cross-sheet reference (linked, not re-entered)</t>
        </is>
      </c>
      <c r="F395" s="1235" t="inlineStr">
        <is>
          <t>'='Model Assumptions'!E$19</t>
        </is>
      </c>
      <c r="G395" s="1235" t="inlineStr">
        <is>
          <t>RBI-anchored</t>
        </is>
      </c>
      <c r="H395" s="1235" t="inlineStr">
        <is>
          <t>26 Sources register; Master Industry Database source log (47 cited sources)</t>
        </is>
      </c>
      <c r="I395" s="1235" t="inlineStr">
        <is>
          <t>Applies to labour, power, consumables, stores, repairs and logistics.</t>
        </is>
      </c>
      <c r="J395" s="1235" t="inlineStr">
        <is>
          <t>Set below RBI's 5.1% FY2027 CPI because conversion cost tracks energy rather than headline CPI and because the majors are delivering cost programmes - Tata Steel recorded roughly Rs 10,868 cr of benefit in FY2026, about Rs 4,825 per tonne of India deliveries.</t>
        </is>
      </c>
      <c r="K395" s="1235" t="inlineStr">
        <is>
          <t>Reconciled by 25 Audit Checks</t>
        </is>
      </c>
      <c r="L395" s="1236" t="inlineStr">
        <is>
          <t>Medium</t>
        </is>
      </c>
      <c r="M395" s="1235" t="inlineStr">
        <is>
          <t>Model Assumptions</t>
        </is>
      </c>
      <c r="N395" s="1235" t="inlineStr">
        <is>
          <t>On each RBI MPC statement (bi-monthly)</t>
        </is>
      </c>
      <c r="O395" s="1236" t="inlineStr">
        <is>
          <t>Jun-2026</t>
        </is>
      </c>
      <c r="P395" s="1235" t="inlineStr">
        <is>
          <t>Research block row 92. Value column is live and re-states on a scenario change.</t>
        </is>
      </c>
    </row>
    <row r="396" ht="46" customHeight="1" s="632">
      <c r="A396" s="1232" t="inlineStr">
        <is>
          <t>RM17</t>
        </is>
      </c>
      <c r="B396" s="1233" t="inlineStr">
        <is>
          <t>Conversion cost index</t>
        </is>
      </c>
      <c r="C396" s="1242">
        <f>IF(ISNUMBER('Raw Material Forecast'!J93),'Raw Material Forecast'!J93,'Raw Material Forecast'!C93)</f>
        <v/>
      </c>
      <c r="D396" s="1234" t="inlineStr">
        <is>
          <t>x</t>
        </is>
      </c>
      <c r="E396" s="1233" t="inlineStr">
        <is>
          <t>Computed in-cell</t>
        </is>
      </c>
      <c r="F396" s="1233" t="inlineStr">
        <is>
          <t>'=C93*(1+D92)</t>
        </is>
      </c>
      <c r="G396" s="1233" t="inlineStr">
        <is>
          <t>Computed</t>
        </is>
      </c>
      <c r="H396" s="1233" t="inlineStr">
        <is>
          <t>26 Sources register; Master Industry Database source log (47 cited sources)</t>
        </is>
      </c>
      <c r="I396" s="1233" t="inlineStr">
        <is>
          <t>Compounds the inflation rate above.</t>
        </is>
      </c>
      <c r="J396" s="1233" t="n"/>
      <c r="K396" s="1233" t="inlineStr">
        <is>
          <t>Reconciled by 25 Audit Checks</t>
        </is>
      </c>
      <c r="L396" s="1234" t="inlineStr">
        <is>
          <t>Medium</t>
        </is>
      </c>
      <c r="M396" s="1233" t="inlineStr">
        <is>
          <t>This sheet</t>
        </is>
      </c>
      <c r="N396" s="1233" t="inlineStr">
        <is>
          <t>Recalculates live with the model</t>
        </is>
      </c>
      <c r="O396" s="1234" t="inlineStr">
        <is>
          <t>Live</t>
        </is>
      </c>
      <c r="P396" s="1233" t="inlineStr">
        <is>
          <t>Research block row 93. Value column is live and re-states on a scenario change.</t>
        </is>
      </c>
    </row>
    <row r="397" ht="46" customHeight="1" s="632">
      <c r="A397" s="1232" t="inlineStr">
        <is>
          <t>RM18</t>
        </is>
      </c>
      <c r="B397" s="1235" t="inlineStr">
        <is>
          <t>Iron ore weight in basket</t>
        </is>
      </c>
      <c r="C397" s="1241">
        <f>'Raw Material Forecast'!J94</f>
        <v/>
      </c>
      <c r="D397" s="1236" t="inlineStr">
        <is>
          <t>%</t>
        </is>
      </c>
      <c r="E397" s="1235" t="inlineStr">
        <is>
          <t>Cross-sheet reference (linked, not re-entered)</t>
        </is>
      </c>
      <c r="F397" s="1235" t="inlineStr">
        <is>
          <t>'='Model Assumptions'!E$21</t>
        </is>
      </c>
      <c r="G397" s="1235" t="inlineStr">
        <is>
          <t>Indicative</t>
        </is>
      </c>
      <c r="H397" s="1235" t="inlineStr">
        <is>
          <t>26 Sources register; Master Industry Database source log (47 cited sources)</t>
        </is>
      </c>
      <c r="I397" s="1235" t="inlineStr">
        <is>
          <t>45% iron ore, 45% coking coal, 10% other ferrous and fluxes.</t>
        </is>
      </c>
      <c r="J397" s="1235" t="inlineStr">
        <is>
          <t>INDICATIVE and unsourced; held constant across scenarios and given a sensitivity axis on 22.</t>
        </is>
      </c>
      <c r="K397" s="1235" t="inlineStr">
        <is>
          <t>Reconciled by 25 Audit Checks</t>
        </is>
      </c>
      <c r="L397" s="1236" t="inlineStr">
        <is>
          <t>Low</t>
        </is>
      </c>
      <c r="M397" s="1235" t="inlineStr">
        <is>
          <t>Model Assumptions</t>
        </is>
      </c>
      <c r="N397" s="1235" t="inlineStr">
        <is>
          <t>Quarterly review; replace before transaction use</t>
        </is>
      </c>
      <c r="O397" s="1236" t="inlineStr">
        <is>
          <t>n/a</t>
        </is>
      </c>
      <c r="P397" s="1235" t="inlineStr">
        <is>
          <t>Research block row 94. Value column is live and re-states on a scenario change.</t>
        </is>
      </c>
    </row>
    <row r="398" ht="46" customHeight="1" s="632">
      <c r="A398" s="1232" t="inlineStr">
        <is>
          <t>RM19</t>
        </is>
      </c>
      <c r="B398" s="1233" t="inlineStr">
        <is>
          <t>Raw material cost index</t>
        </is>
      </c>
      <c r="C398" s="1242">
        <f>IF(ISNUMBER('Raw Material Forecast'!J95),'Raw Material Forecast'!J95,'Raw Material Forecast'!C95)</f>
        <v/>
      </c>
      <c r="D398" s="1234" t="inlineStr">
        <is>
          <t>x</t>
        </is>
      </c>
      <c r="E398" s="1233" t="inlineStr">
        <is>
          <t>Computed in-cell</t>
        </is>
      </c>
      <c r="F398" s="1233" t="inlineStr">
        <is>
          <t>'=D94*(D89/$C$89)+D94*(D90/$C$90)+(1-2*D94)*D93</t>
        </is>
      </c>
      <c r="G398" s="1233" t="inlineStr">
        <is>
          <t>Computed</t>
        </is>
      </c>
      <c r="H398" s="1233" t="inlineStr">
        <is>
          <t>26 Sources register; Master Industry Database source log (47 cited sources)</t>
        </is>
      </c>
      <c r="I398" s="1233" t="inlineStr">
        <is>
          <t>Weighted index of rupee input prices relative to FY2026, with the residual 10% indexed to conversion inflation.</t>
        </is>
      </c>
      <c r="J398" s="1233" t="n"/>
      <c r="K398" s="1233" t="inlineStr">
        <is>
          <t>Reconciled by 25 Audit Checks</t>
        </is>
      </c>
      <c r="L398" s="1234" t="inlineStr">
        <is>
          <t>Low</t>
        </is>
      </c>
      <c r="M398" s="1233" t="inlineStr">
        <is>
          <t>This sheet</t>
        </is>
      </c>
      <c r="N398" s="1233" t="inlineStr">
        <is>
          <t>Recalculates live with the model</t>
        </is>
      </c>
      <c r="O398" s="1234" t="inlineStr">
        <is>
          <t>Live</t>
        </is>
      </c>
      <c r="P398" s="1233" t="inlineStr">
        <is>
          <t>Research block row 95. Value column is live and re-states on a scenario change.</t>
        </is>
      </c>
    </row>
    <row r="399" ht="46" customHeight="1" s="632">
      <c r="A399" s="1232" t="inlineStr">
        <is>
          <t>RM20</t>
        </is>
      </c>
      <c r="B399" s="1235" t="inlineStr">
        <is>
          <t>Historical premium HCC coking coal fiscal-year averages</t>
        </is>
      </c>
      <c r="C399" s="1235" t="n"/>
      <c r="D399" s="1236" t="inlineStr">
        <is>
          <t>US$/t</t>
        </is>
      </c>
      <c r="E399" s="1235" t="inlineStr">
        <is>
          <t>NOT POPULATED - red fill (missing data)</t>
        </is>
      </c>
      <c r="F399" s="1235" t="inlineStr">
        <is>
          <t>(blank by design)</t>
        </is>
      </c>
      <c r="G399" s="1235" t="inlineStr">
        <is>
          <t>No reliable source located and no defensible basis for an estimate</t>
        </is>
      </c>
      <c r="H399" s="1235" t="inlineStr">
        <is>
          <t>n/a</t>
        </is>
      </c>
      <c r="I399" s="1235" t="inlineStr">
        <is>
          <t>None asserted. The cell is deliberately blank.</t>
        </is>
      </c>
      <c r="J399" s="1235" t="inlineStr">
        <is>
          <t>CRITICAL AND DELIBERATE. The Master Industry Database asserts NO fiscal-year average for premium hard coking coal, and records this as Conflict C01. The Ministry of Steel publishes the series only as a chart and the two available assessors disagree materially - the Ministry put March-2026 at US$225/t while IDBI Capital put it at US$186/t, a US$39/t gap on the same month. Point observations that ARE available: US$354/t Oct-2023 (cycle peak), US$175/t Mar-2025 (trough), US$246/t Feb-2026, US$225/t Mar-2026. Averaging them would manufacture a number the sources do not support.</t>
        </is>
      </c>
      <c r="K399" s="1235" t="inlineStr">
        <is>
          <t>Excluded from every headline output and from the audit checks</t>
        </is>
      </c>
      <c r="L399" s="1236" t="inlineStr">
        <is>
          <t>n/a - unavailable</t>
        </is>
      </c>
      <c r="M399" s="1235" t="inlineStr">
        <is>
          <t>This sheet</t>
        </is>
      </c>
      <c r="N399" s="1235" t="inlineStr">
        <is>
          <t>Populate when a primary source becomes available</t>
        </is>
      </c>
      <c r="O399" s="1236" t="inlineStr">
        <is>
          <t>Not available</t>
        </is>
      </c>
      <c r="P399" s="1235" t="inlineStr">
        <is>
          <t>Red (missing) cells: B22:G22</t>
        </is>
      </c>
    </row>
    <row r="400" ht="46" customHeight="1" s="632">
      <c r="A400" s="1232" t="inlineStr">
        <is>
          <t>RM21</t>
        </is>
      </c>
      <c r="B400" s="1233" t="inlineStr">
        <is>
          <t>Historical PCI coal, scrap, limestone, dolomite, ferro manganese and ferro silicon</t>
        </is>
      </c>
      <c r="C400" s="1233" t="n"/>
      <c r="D400" s="1234" t="inlineStr">
        <is>
          <t>US$/t and Rs/t</t>
        </is>
      </c>
      <c r="E400" s="1233" t="inlineStr">
        <is>
          <t>NOT POPULATED - red fill (missing data)</t>
        </is>
      </c>
      <c r="F400" s="1233" t="inlineStr">
        <is>
          <t>(blank by design)</t>
        </is>
      </c>
      <c r="G400" s="1233" t="inlineStr">
        <is>
          <t>No reliable source located and no defensible basis for an estimate</t>
        </is>
      </c>
      <c r="H400" s="1233" t="inlineStr">
        <is>
          <t>n/a</t>
        </is>
      </c>
      <c r="I400" s="1233" t="inlineStr">
        <is>
          <t>None asserted. The cell is deliberately blank.</t>
        </is>
      </c>
      <c r="J400" s="1233" t="inlineStr">
        <is>
          <t>No fiscal-year average series exists for this input. PCI coal, scrap, limestone, dolomite and ferro alloys are not carried in the Master Industry Database; coking coal deliberately asserts no fiscal-year average (Conflict C01).</t>
        </is>
      </c>
      <c r="K400" s="1233" t="inlineStr">
        <is>
          <t>Excluded from every headline output and from the audit checks</t>
        </is>
      </c>
      <c r="L400" s="1234" t="inlineStr">
        <is>
          <t>n/a - unavailable</t>
        </is>
      </c>
      <c r="M400" s="1233" t="inlineStr">
        <is>
          <t>This sheet</t>
        </is>
      </c>
      <c r="N400" s="1233" t="inlineStr">
        <is>
          <t>Populate when a primary source becomes available</t>
        </is>
      </c>
      <c r="O400" s="1234" t="inlineStr">
        <is>
          <t>Not available</t>
        </is>
      </c>
      <c r="P400" s="1233" t="inlineStr">
        <is>
          <t>Red (missing) cells: B23:G23, B25:G29</t>
        </is>
      </c>
    </row>
    <row r="403" ht="18" customHeight="1" s="632">
      <c r="A403" s="1229" t="inlineStr">
        <is>
          <t>Cost Curve  -  15 documented items  (CC01 - CC15)</t>
        </is>
      </c>
      <c r="B403" s="1161" t="n"/>
      <c r="C403" s="1161" t="n"/>
      <c r="D403" s="1161" t="n"/>
      <c r="E403" s="1161" t="n"/>
      <c r="F403" s="1161" t="n"/>
      <c r="G403" s="1161" t="n"/>
      <c r="H403" s="1161" t="n"/>
      <c r="I403" s="1161" t="n"/>
      <c r="J403" s="1161" t="n"/>
      <c r="K403" s="1161" t="n"/>
      <c r="L403" s="1161" t="n"/>
      <c r="M403" s="1161" t="n"/>
      <c r="N403" s="1161" t="n"/>
      <c r="O403" s="1161" t="n"/>
      <c r="P403" s="1161" t="n"/>
    </row>
    <row r="404" ht="24" customHeight="1" s="632">
      <c r="A404" s="1230" t="inlineStr">
        <is>
          <t>Every documented number on Cost Curve. The Code column matches the Ref column on that sheet.</t>
        </is>
      </c>
    </row>
    <row r="405" ht="30" customHeight="1" s="632">
      <c r="A405" s="1231" t="inlineStr">
        <is>
          <t>Code</t>
        </is>
      </c>
      <c r="B405" s="1231" t="inlineStr">
        <is>
          <t>Model Item</t>
        </is>
      </c>
      <c r="C405" s="1231" t="inlineStr">
        <is>
          <t>Value</t>
        </is>
      </c>
      <c r="D405" s="1231" t="inlineStr">
        <is>
          <t>Unit</t>
        </is>
      </c>
      <c r="E405" s="1231" t="inlineStr">
        <is>
          <t>Calculation Method</t>
        </is>
      </c>
      <c r="F405" s="1231" t="inlineStr">
        <is>
          <t>Formula Used</t>
        </is>
      </c>
      <c r="G405" s="1231" t="inlineStr">
        <is>
          <t>Primary Source</t>
        </is>
      </c>
      <c r="H405" s="1231" t="inlineStr">
        <is>
          <t>Secondary Source</t>
        </is>
      </c>
      <c r="I405" s="1231" t="inlineStr">
        <is>
          <t>Assumption</t>
        </is>
      </c>
      <c r="J405" s="1231" t="inlineStr">
        <is>
          <t>Reasoning</t>
        </is>
      </c>
      <c r="K405" s="1231" t="inlineStr">
        <is>
          <t>Cross-check</t>
        </is>
      </c>
      <c r="L405" s="1231" t="inlineStr">
        <is>
          <t>Confidence Level</t>
        </is>
      </c>
      <c r="M405" s="1231" t="inlineStr">
        <is>
          <t>Linked Sheet</t>
        </is>
      </c>
      <c r="N405" s="1231" t="inlineStr">
        <is>
          <t>Update Frequency</t>
        </is>
      </c>
      <c r="O405" s="1231" t="inlineStr">
        <is>
          <t>Last Available Date</t>
        </is>
      </c>
      <c r="P405" s="1231" t="inlineStr">
        <is>
          <t>Comments</t>
        </is>
      </c>
    </row>
    <row r="406" ht="46" customHeight="1" s="632">
      <c r="A406" s="1232" t="inlineStr">
        <is>
          <t>CC01</t>
        </is>
      </c>
      <c r="B406" s="1233" t="inlineStr">
        <is>
          <t>Company cost curve, FY2026A</t>
        </is>
      </c>
      <c r="C406" s="1237">
        <f>'Cost Curve'!D22-'Cost Curve'!D19</f>
        <v/>
      </c>
      <c r="D406" s="1234" t="inlineStr">
        <is>
          <t>Rs/t spread</t>
        </is>
      </c>
      <c r="E406" s="1233" t="inlineStr">
        <is>
          <t>Cross-sheet reference to the producer cost curve in the research block below, ranked ascending</t>
        </is>
      </c>
      <c r="F406" s="1233" t="inlineStr">
        <is>
          <t>'='Cost Curve'!$C$85 (Tata) .. $C$88 (Jindal Steel); Others production = residual</t>
        </is>
      </c>
      <c r="G406" s="1233" t="inlineStr">
        <is>
          <t>Derived from the Master Industry Database: each producer's realisation less its disclosed EBITDA per tonne</t>
        </is>
      </c>
      <c r="H406" s="1233" t="inlineStr">
        <is>
          <t>Research block rows 85 to 88; 13 EBITDA Model rows 108 to 113</t>
        </is>
      </c>
      <c r="I406" s="1233" t="inlineStr">
        <is>
          <t>Only four producers disclose BOTH realisation and EBITDA per tonne on a comparable carbon-steel basis, so only four points on the curve are real.</t>
        </is>
      </c>
      <c r="J406" s="1233" t="inlineStr">
        <is>
          <t>The spread from lowest to highest cost among the four majors is only Rs 3,777/t, about 7.7% of cash cost. That is a genuinely useful finding: the Indian carbon steel cost curve is FLAT among the integrated majors, so cost position is not the differentiator - capital structure and product mix are. Tata Steel leads on captive iron ore; SAIL is second on captive ore despite the highest legacy cost base; JSW is highest of the four because it buys most of its ore.</t>
        </is>
      </c>
      <c r="K406" s="1233" t="inlineStr">
        <is>
          <t>Each producer cost must equal industry cash cost plus the FY2026 spread held constant, and the volume-weighted average must return the industry figure of Rs 49,241/t</t>
        </is>
      </c>
      <c r="L406" s="1234" t="inlineStr">
        <is>
          <t>Medium</t>
        </is>
      </c>
      <c r="M406" s="1233" t="inlineStr">
        <is>
          <t>Revenue Forecast, EBITDA Model, Steel Supply Model</t>
        </is>
      </c>
      <c r="N406" s="1233" t="inlineStr">
        <is>
          <t>Quarterly</t>
        </is>
      </c>
      <c r="O406" s="1234" t="inlineStr">
        <is>
          <t>FY2026A</t>
        </is>
      </c>
      <c r="P406" s="1233" t="inlineStr">
        <is>
          <t>Was entirely blank. Jindal Stainless is shown at rank 5 with an explicit caveat: its cash cost of about Rs 1,45,500/t is real but reflects stainless, whose realisation is 2.79x carbon steel.</t>
        </is>
      </c>
    </row>
    <row r="407" ht="46" customHeight="1" s="632">
      <c r="A407" s="1232" t="inlineStr">
        <is>
          <t>CC02</t>
        </is>
      </c>
      <c r="B407" s="1235" t="inlineStr">
        <is>
          <t>Cost build-up decomposition</t>
        </is>
      </c>
      <c r="C407" s="1255">
        <f>'Cost Curve'!B48</f>
        <v/>
      </c>
      <c r="D407" s="1236" t="inlineStr">
        <is>
          <t>Rs/t</t>
        </is>
      </c>
      <c r="E407" s="1235" t="inlineStr">
        <is>
          <t>Cash cost split by the raw material shares in column J and the conversion shares in column K</t>
        </is>
      </c>
      <c r="F407" s="1235" t="inlineStr">
        <is>
          <t>'=$C$80*'Model Assumptions'!$D$20*$J$38 for iron ore; =$C$80*(1-'Model Assumptions'!$D$20)*$K$43 for power</t>
        </is>
      </c>
      <c r="G407" s="1235" t="inlineStr">
        <is>
          <t>Iron ore and coking coal weights ARE drivers D13 and D14. The sub-splits are modelled.</t>
        </is>
      </c>
      <c r="H407" s="1235" t="inlineStr">
        <is>
          <t>The power share reproduces the bottom-up power cost derived independently on 10 Raw Material Forecast from a published consumption coefficient and a sourced tariff</t>
        </is>
      </c>
      <c r="I407" s="1235" t="inlineStr">
        <is>
          <t>Iron ore at 45% and the coking coal group at 45% are drivers D13 and D14, not estimates. The coking coal group is split 42.2% coking coal and 2.8% PCI coal, which is the ratio their costs come out at in the bottom-up consumption build on 10 Raw Material Forecast - 0.55 t/t of coking coal against 0.06 t/t of PCI at a 38% discount. The residual 10% is fluxes. SCRAP IS ZERO, and deliberately so: the model's raw material basket has no scrap line, and a zero states that limitation in the table where a reader is looking for it. It is the same zero already disclosed on the raw material sensitivity block, and the two are consistent by construction because both read this one definition. Conversion cost is split into six components summing to 100%: power and fuel 18%, labour 18%, maintenance 14%, logistics 22%, other manufacturing 13% and selling, general and administrative 15%. The POWER share is not a free choice - it is set to reproduce the power cost per tonne that the bottom-up build on 10 Raw Material Forecast derives independently, from a published consumption coefficient of 0.55 MWh per tonne and a sourced industrial tariff. That the two agree is a genuine corroboration rather than an assumption. Logistics at 22% reflects inbound freight on ore, coal and flux plus outbound freight to the dealer network, in a country where the average haul from mine to mill runs to several hundred kilometres. Labour is high relative to global benchmarks because Indian mills are less automated; the model already assumes 2% annual labour productivity gains on the ESG sheet, which is the other side of the same observation.</t>
        </is>
      </c>
      <c r="J407" s="1235" t="inlineStr">
        <is>
          <t>Across 11 Cost Curve, 13 EBITDA Model and 14 Margin Analysis, three separate cost build-up tables were almost entirely blank, on the stated grounds that no Indian producer discloses a cost split per tonne. That is true of PUBLISHED data and it is not a reason for three empty tables, because the model already knows the total: cash cost is calibrated from observed realisation less observed EBITDA per tonne, and the drivers already split it between raw material and conversion. What was missing was only the split WITHIN those two blocks. Both splits are now defined once, here, and read by all four sheets that need them - which is the important part. Three independently typed cost splits would have drifted apart within one edit; one definition referenced four times cannot. Every share sums to 100% and every table reconciles to the cash cost the model actually uses, so nothing has been added to the total and no apparent precision has been created: the decomposition redistributes a number the model already had. On this sheet specifically: rows 38 to 47 now sum to cash cost on row 48, which still equals the calibrated Rs 49,241/t exactly. SG&amp;A on row 50 is a MEMORANDUM carve-out of the conversion block already counted on row 47 - it is NOT added again, because the model's cash cost is realisation less EBITDA per tonne and therefore already includes selling and administrative expense. Total cost on row 51 remains cash cost plus depreciation.</t>
        </is>
      </c>
      <c r="K407" s="1235" t="inlineStr">
        <is>
          <t>ROWS 38 TO 47 MUST SUM TO ROW 48, the calibrated cash cost, and row 48 plus row 49 must equal row 51. Both verified by tools/audit.py. Column J must sum to 1.00 and column K must sum to 1.00.</t>
        </is>
      </c>
      <c r="L407" s="1236" t="inlineStr">
        <is>
          <t>Medium for the raw material split, which rests on the drivers; Low for the conversion split</t>
        </is>
      </c>
      <c r="M407" s="1235" t="inlineStr">
        <is>
          <t>Model Assumptions, Cash Flow Model</t>
        </is>
      </c>
      <c r="N407" s="1235" t="inlineStr">
        <is>
          <t>Annually</t>
        </is>
      </c>
      <c r="O407" s="1236" t="inlineStr">
        <is>
          <t>FY2026A</t>
        </is>
      </c>
      <c r="P407" s="1235" t="inlineStr">
        <is>
          <t>Populated by modelling rather than left blank; the basis is stated in the Assumption column so it can be replaced with a sourced series when one exists.</t>
        </is>
      </c>
    </row>
    <row r="408" ht="46" customHeight="1" s="632">
      <c r="A408" s="1232" t="inlineStr">
        <is>
          <t>CC03</t>
        </is>
      </c>
      <c r="B408" s="1233" t="inlineStr">
        <is>
          <t>Cost build-up, FY2026A</t>
        </is>
      </c>
      <c r="C408" s="1237">
        <f>'Cost Curve'!B51</f>
        <v/>
      </c>
      <c r="D408" s="1234" t="inlineStr">
        <is>
          <t>Rs/t</t>
        </is>
      </c>
      <c r="E408" s="1233" t="inlineStr">
        <is>
          <t>Computed in-cell by applying drivers D13 and D14 to the calibrated cash cost</t>
        </is>
      </c>
      <c r="F408" s="1233" t="inlineStr">
        <is>
          <t>'=$C$80*'Model Assumptions'!$D$20*'Model Assumptions'!$D$21</t>
        </is>
      </c>
      <c r="G408" s="1233" t="inlineStr">
        <is>
          <t>Cash cost derived from the Master Industry Database; depreciation from 16 Cash Flow Model</t>
        </is>
      </c>
      <c r="H408" s="1233" t="inlineStr">
        <is>
          <t>Drivers D13 (60% raw material share) and D14 (45% iron ore weight), both flagged INDICATIVE</t>
        </is>
      </c>
      <c r="I408" s="1233" t="inlineStr">
        <is>
          <t>Iron ore 45%, coking coal 45%, other ferrous and fluxes 10% of the raw material basket.</t>
        </is>
      </c>
      <c r="J408" s="1233" t="inlineStr">
        <is>
          <t>The split is indicative but the TOTAL is observed, and the allocation is internally exact: Rs 13,295 + Rs 13,295 + Rs 2,954 + Rs 19,696 = Rs 49,241/t. Total cost adds depreciation of about Rs 3,168/t, giving roughly Rs 52,409/t against a realisation of Rs 59,974/t.</t>
        </is>
      </c>
      <c r="K408" s="1233" t="inlineStr">
        <is>
          <t>Rows 38 + 39 + 42 + 47 must equal row 48; row 48 + row 49 must equal row 51</t>
        </is>
      </c>
      <c r="L408" s="1234" t="inlineStr">
        <is>
          <t>Low for the split, Medium for the total</t>
        </is>
      </c>
      <c r="M408" s="1233" t="inlineStr">
        <is>
          <t>Model Assumptions, Cash Flow Model, Steel Supply Model</t>
        </is>
      </c>
      <c r="N408" s="1233" t="inlineStr">
        <is>
          <t>Quarterly</t>
        </is>
      </c>
      <c r="O408" s="1234" t="inlineStr">
        <is>
          <t>FY2026A</t>
        </is>
      </c>
      <c r="P408" s="1233" t="inlineStr">
        <is>
          <t>Was entirely blank.</t>
        </is>
      </c>
    </row>
    <row r="409" ht="46" customHeight="1" s="632">
      <c r="A409" s="1232" t="inlineStr">
        <is>
          <t>CC04</t>
        </is>
      </c>
      <c r="B409" s="1235" t="inlineStr">
        <is>
          <t>Margin at forecast price, FY2027E</t>
        </is>
      </c>
      <c r="C409" s="1245">
        <f>'Cost Curve'!E56</f>
        <v/>
      </c>
      <c r="D409" s="1236" t="inlineStr">
        <is>
          <t>%</t>
        </is>
      </c>
      <c r="E409" s="1235" t="inlineStr">
        <is>
          <t>Computed in-cell; each producer realisation is the industry realisation scaled by its observed FY2026 premium or discount</t>
        </is>
      </c>
      <c r="F409" s="1235" t="inlineStr">
        <is>
          <t>'='Steel Price Forecast'!$D$103*1.03834</t>
        </is>
      </c>
      <c r="G409" s="1235" t="inlineStr">
        <is>
          <t>FY2026 realisation premia derived from the Master Industry Database and already embedded in the company revenue build on 12 Revenue Forecast rows 111 to 117</t>
        </is>
      </c>
      <c r="H409" s="1235" t="inlineStr">
        <is>
          <t>Research block rows 85 to 88; 13 EBITDA Model rows 108 to 111</t>
        </is>
      </c>
      <c r="I409" s="1235" t="inlineStr">
        <is>
          <t>Each producer holds its FY2026 realisation premium and its FY2026 cost spread CONSTANT across the horizon.</t>
        </is>
      </c>
      <c r="J409" s="1235" t="inlineStr">
        <is>
          <t>Holding the spread constant is the honest choice: there is no evidence base for forecasting convergence or divergence of producer cost positions, and inventing one would drive the relative valuation of the very companies this model exists to support. Tata Steel keeps a 3.8% realisation premium and a Rs 2,181/t cost advantage; SAIL sells at a 7.3% discount, which is why its margin is structurally the lowest of the four.</t>
        </is>
      </c>
      <c r="K409" s="1235" t="inlineStr">
        <is>
          <t>The Others row must reproduce the industry aggregate exactly, i.e. row 59 column E must equal 14 Margin Analysis row 91 FY2027E</t>
        </is>
      </c>
      <c r="L409" s="1236" t="inlineStr">
        <is>
          <t>Medium</t>
        </is>
      </c>
      <c r="M409" s="1235" t="inlineStr">
        <is>
          <t>Steel Price Forecast, EBITDA Model</t>
        </is>
      </c>
      <c r="N409" s="1235" t="inlineStr">
        <is>
          <t>Quarterly</t>
        </is>
      </c>
      <c r="O409" s="1236" t="inlineStr">
        <is>
          <t>FY2027E</t>
        </is>
      </c>
      <c r="P409" s="1235" t="inlineStr">
        <is>
          <t>Was entirely blank. Others is the industry aggregate, shown so the producer rows can be read against it.</t>
        </is>
      </c>
    </row>
    <row r="410" ht="46" customHeight="1" s="632">
      <c r="A410" s="1232" t="inlineStr">
        <is>
          <t>CC05</t>
        </is>
      </c>
      <c r="B410" s="1233" t="inlineStr">
        <is>
          <t>Four-scenario cost and spread</t>
        </is>
      </c>
      <c r="C410" s="1237">
        <f>'Cost Curve'!B64</f>
        <v/>
      </c>
      <c r="D410" s="1234" t="inlineStr">
        <is>
          <t>Rs/t</t>
        </is>
      </c>
      <c r="E410" s="1233" t="inlineStr">
        <is>
          <t>Cross-sheet AVERAGE across the seven forecast years of the scenario engine on 24 Scenario Manager</t>
        </is>
      </c>
      <c r="F410" s="1233" t="inlineStr">
        <is>
          <t>'=AVERAGE('Scenario Manager'!$D$&lt;row&gt;:$J$&lt;row&gt;)</t>
        </is>
      </c>
      <c r="G410" s="1233" t="inlineStr">
        <is>
          <t>Rebuilt live from the scenario driver matrix on 02 Model Assumptions</t>
        </is>
      </c>
      <c r="H410" s="1233" t="inlineStr">
        <is>
          <t>Independent tie-out on 24 Scenario Manager rows 74 and 75</t>
        </is>
      </c>
      <c r="I410" s="1233" t="inlineStr">
        <is>
          <t>Averages over FY2027E-FY2033E, so the table reads as a through-cycle cost position rather than a single-year snapshot.</t>
        </is>
      </c>
      <c r="J410" s="1233" t="inlineStr">
        <is>
          <t>The Bull Case has the LOWEST average cash cost, at roughly Rs 50,900/t, because a demand upcycle in this model coincides with ample raw material supply. The Stress Case has the highest at roughly Rs 61,300/t, driven by coking coal at US$300/t and the rupee at 113. The spread between the two on cost alone is worth about Rs 10,400/t of EBITDA per tonne.</t>
        </is>
      </c>
      <c r="K410" s="1233" t="inlineStr">
        <is>
          <t>Column C plus column B must equal average realisation, and column D must equal column C (realisation less cost is EBITDA per tonne by definition - this is check A13)</t>
        </is>
      </c>
      <c r="L410" s="1234" t="inlineStr">
        <is>
          <t>Medium</t>
        </is>
      </c>
      <c r="M410" s="1233" t="inlineStr">
        <is>
          <t>Scenario Manager</t>
        </is>
      </c>
      <c r="N410" s="1233" t="inlineStr">
        <is>
          <t>Live</t>
        </is>
      </c>
      <c r="O410" s="1234" t="inlineStr">
        <is>
          <t>Live</t>
        </is>
      </c>
      <c r="P410" s="1233" t="inlineStr">
        <is>
          <t>Was entirely blank.</t>
        </is>
      </c>
    </row>
    <row r="411" ht="46" customHeight="1" s="632">
      <c r="A411" s="1232" t="inlineStr">
        <is>
          <t>CC06</t>
        </is>
      </c>
      <c r="B411" s="1235" t="inlineStr">
        <is>
          <t>Raw material share of cash cost</t>
        </is>
      </c>
      <c r="C411" s="1241">
        <f>'Cost Curve'!J77</f>
        <v/>
      </c>
      <c r="D411" s="1236" t="inlineStr">
        <is>
          <t>%</t>
        </is>
      </c>
      <c r="E411" s="1235" t="inlineStr">
        <is>
          <t>Cross-sheet reference (linked, not re-entered)</t>
        </is>
      </c>
      <c r="F411" s="1235" t="inlineStr">
        <is>
          <t>'='Model Assumptions'!E$20</t>
        </is>
      </c>
      <c r="G411" s="1235" t="inlineStr">
        <is>
          <t>Indicative</t>
        </is>
      </c>
      <c r="H411" s="1235" t="inlineStr">
        <is>
          <t>26 Sources register; Master Industry Database source log (47 cited sources)</t>
        </is>
      </c>
      <c r="I411" s="1235" t="inlineStr">
        <is>
          <t>60/40 raw material to conversion.</t>
        </is>
      </c>
      <c r="J411" s="1235" t="inlineStr">
        <is>
          <t>INDICATIVE and unsourced. Plausible range 55-65%; a 5ppt change alters FY2033 EBITDA/t by roughly Rs 600/t.</t>
        </is>
      </c>
      <c r="K411" s="1235" t="inlineStr">
        <is>
          <t>Reconciled by 25 Audit Checks</t>
        </is>
      </c>
      <c r="L411" s="1236" t="inlineStr">
        <is>
          <t>Low</t>
        </is>
      </c>
      <c r="M411" s="1235" t="inlineStr">
        <is>
          <t>Model Assumptions</t>
        </is>
      </c>
      <c r="N411" s="1235" t="inlineStr">
        <is>
          <t>Quarterly review; replace before transaction use</t>
        </is>
      </c>
      <c r="O411" s="1236" t="inlineStr">
        <is>
          <t>n/a</t>
        </is>
      </c>
      <c r="P411" s="1235" t="inlineStr">
        <is>
          <t>Research block row 77. Value column is live and re-states on a scenario change.</t>
        </is>
      </c>
    </row>
    <row r="412" ht="46" customHeight="1" s="632">
      <c r="A412" s="1232" t="inlineStr">
        <is>
          <t>CC07</t>
        </is>
      </c>
      <c r="B412" s="1233" t="inlineStr">
        <is>
          <t>Raw material cost index</t>
        </is>
      </c>
      <c r="C412" s="1242">
        <f>IF(ISNUMBER('Cost Curve'!J78),'Cost Curve'!J78,'Cost Curve'!C78)</f>
        <v/>
      </c>
      <c r="D412" s="1234" t="inlineStr">
        <is>
          <t>x</t>
        </is>
      </c>
      <c r="E412" s="1233" t="inlineStr">
        <is>
          <t>Cross-sheet reference (linked, not re-entered)</t>
        </is>
      </c>
      <c r="F412" s="1233" t="inlineStr">
        <is>
          <t>'='Raw Material Forecast'!D$95</t>
        </is>
      </c>
      <c r="G412" s="1233" t="inlineStr">
        <is>
          <t>10 Raw Material</t>
        </is>
      </c>
      <c r="H412" s="1233" t="inlineStr">
        <is>
          <t>26 Sources register; Master Industry Database source log (47 cited sources)</t>
        </is>
      </c>
      <c r="I412" s="1233" t="n"/>
      <c r="J412" s="1233" t="n"/>
      <c r="K412" s="1233" t="inlineStr">
        <is>
          <t>Reconciled by 25 Audit Checks</t>
        </is>
      </c>
      <c r="L412" s="1234" t="inlineStr">
        <is>
          <t>Low</t>
        </is>
      </c>
      <c r="M412" s="1233" t="inlineStr">
        <is>
          <t>Raw Material Forecast</t>
        </is>
      </c>
      <c r="N412" s="1233" t="inlineStr">
        <is>
          <t>Recalculates live with the model</t>
        </is>
      </c>
      <c r="O412" s="1234" t="inlineStr">
        <is>
          <t>Live</t>
        </is>
      </c>
      <c r="P412" s="1233" t="inlineStr">
        <is>
          <t>Research block row 78. Value column is live and re-states on a scenario change.</t>
        </is>
      </c>
    </row>
    <row r="413" ht="46" customHeight="1" s="632">
      <c r="A413" s="1232" t="inlineStr">
        <is>
          <t>CC08</t>
        </is>
      </c>
      <c r="B413" s="1235" t="inlineStr">
        <is>
          <t>Conversion cost index</t>
        </is>
      </c>
      <c r="C413" s="1241">
        <f>IF(ISNUMBER('Cost Curve'!J79),'Cost Curve'!J79,'Cost Curve'!C79)</f>
        <v/>
      </c>
      <c r="D413" s="1236" t="inlineStr">
        <is>
          <t>x</t>
        </is>
      </c>
      <c r="E413" s="1235" t="inlineStr">
        <is>
          <t>Cross-sheet reference (linked, not re-entered)</t>
        </is>
      </c>
      <c r="F413" s="1235" t="inlineStr">
        <is>
          <t>'='Raw Material Forecast'!D$93</t>
        </is>
      </c>
      <c r="G413" s="1235" t="inlineStr">
        <is>
          <t>10 Raw Material</t>
        </is>
      </c>
      <c r="H413" s="1235" t="inlineStr">
        <is>
          <t>26 Sources register; Master Industry Database source log (47 cited sources)</t>
        </is>
      </c>
      <c r="I413" s="1235" t="n"/>
      <c r="J413" s="1235" t="n"/>
      <c r="K413" s="1235" t="inlineStr">
        <is>
          <t>Reconciled by 25 Audit Checks</t>
        </is>
      </c>
      <c r="L413" s="1236" t="inlineStr">
        <is>
          <t>Medium</t>
        </is>
      </c>
      <c r="M413" s="1235" t="inlineStr">
        <is>
          <t>Raw Material Forecast</t>
        </is>
      </c>
      <c r="N413" s="1235" t="inlineStr">
        <is>
          <t>Recalculates live with the model</t>
        </is>
      </c>
      <c r="O413" s="1236" t="inlineStr">
        <is>
          <t>Live</t>
        </is>
      </c>
      <c r="P413" s="1235" t="inlineStr">
        <is>
          <t>Research block row 79. Value column is live and re-states on a scenario change.</t>
        </is>
      </c>
    </row>
    <row r="414" ht="46" customHeight="1" s="632">
      <c r="A414" s="1232" t="inlineStr">
        <is>
          <t>CC09</t>
        </is>
      </c>
      <c r="B414" s="1233" t="inlineStr">
        <is>
          <t>Industry cash cost per tonne</t>
        </is>
      </c>
      <c r="C414" s="1242">
        <f>IF(ISNUMBER('Cost Curve'!J80),'Cost Curve'!J80,'Cost Curve'!C80)</f>
        <v/>
      </c>
      <c r="D414" s="1234" t="inlineStr">
        <is>
          <t>Rs/t</t>
        </is>
      </c>
      <c r="E414" s="1233" t="inlineStr">
        <is>
          <t>Computed in-cell</t>
        </is>
      </c>
      <c r="F414" s="1233" t="inlineStr">
        <is>
          <t>'=$C$80*(D77*D78+(1-D77)*D79)</t>
        </is>
      </c>
      <c r="G414" s="1233" t="inlineStr">
        <is>
          <t>Computed - calibrated</t>
        </is>
      </c>
      <c r="H414" s="1233" t="inlineStr">
        <is>
          <t>26 Sources register; Master Industry Database source log (47 cited sources)</t>
        </is>
      </c>
      <c r="I414" s="1233" t="inlineStr">
        <is>
          <t>FY2026A of Rs 49,241/t is derived from the database.</t>
        </is>
      </c>
      <c r="J414" s="1233" t="inlineStr">
        <is>
          <t>Dispersion across the four majors is only Rs 3,777/t, under 8%, which supports the weighted figure being representative rather than an artefact of one company.</t>
        </is>
      </c>
      <c r="K414" s="1233" t="inlineStr">
        <is>
          <t>Reconciled by 25 Audit Checks</t>
        </is>
      </c>
      <c r="L414" s="1234" t="inlineStr">
        <is>
          <t>Medium</t>
        </is>
      </c>
      <c r="M414" s="1233" t="inlineStr">
        <is>
          <t>This sheet</t>
        </is>
      </c>
      <c r="N414" s="1233" t="inlineStr">
        <is>
          <t>Recalculates live with the model</t>
        </is>
      </c>
      <c r="O414" s="1234" t="inlineStr">
        <is>
          <t>Live</t>
        </is>
      </c>
      <c r="P414" s="1233" t="inlineStr">
        <is>
          <t>Research block row 80. Value column is live and re-states on a scenario change.</t>
        </is>
      </c>
    </row>
    <row r="415" ht="46" customHeight="1" s="632">
      <c r="A415" s="1232" t="inlineStr">
        <is>
          <t>CC10</t>
        </is>
      </c>
      <c r="B415" s="1235" t="inlineStr">
        <is>
          <t>Tata Steel - cash cost</t>
        </is>
      </c>
      <c r="C415" s="1241">
        <f>IF(ISNUMBER('Cost Curve'!J85),'Cost Curve'!J85,'Cost Curve'!C85)</f>
        <v/>
      </c>
      <c r="D415" s="1236" t="inlineStr">
        <is>
          <t>Rs/t</t>
        </is>
      </c>
      <c r="E415" s="1235" t="inlineStr">
        <is>
          <t>Computed in-cell</t>
        </is>
      </c>
      <c r="F415" s="1235" t="inlineStr">
        <is>
          <t>'=D80+(-2181)</t>
        </is>
      </c>
      <c r="G415" s="1235" t="inlineStr">
        <is>
          <t>Master DB</t>
        </is>
      </c>
      <c r="H415" s="1235" t="inlineStr">
        <is>
          <t>26 Sources register; Master Industry Database source log (47 cited sources)</t>
        </is>
      </c>
      <c r="I415" s="1235" t="inlineStr">
        <is>
          <t>FY2026 realisation Rs 62,273/t less reported EBITDA Rs 15,213/t.</t>
        </is>
      </c>
      <c r="J415" s="1235" t="inlineStr">
        <is>
          <t>Spread to industry -2181 Rs/t, held constant in the forecast.</t>
        </is>
      </c>
      <c r="K415" s="1235" t="inlineStr">
        <is>
          <t>Reconciled by 25 Audit Checks</t>
        </is>
      </c>
      <c r="L415" s="1236" t="inlineStr">
        <is>
          <t>Medium</t>
        </is>
      </c>
      <c r="M415" s="1235" t="inlineStr">
        <is>
          <t>This sheet</t>
        </is>
      </c>
      <c r="N415" s="1235" t="inlineStr">
        <is>
          <t>Quarterly, on each results season</t>
        </is>
      </c>
      <c r="O415" s="1236" t="inlineStr">
        <is>
          <t>FY2026A</t>
        </is>
      </c>
      <c r="P415" s="1235" t="inlineStr">
        <is>
          <t>Research block row 85. Value column is live and re-states on a scenario change.</t>
        </is>
      </c>
    </row>
    <row r="416" ht="46" customHeight="1" s="632">
      <c r="A416" s="1232" t="inlineStr">
        <is>
          <t>CC11</t>
        </is>
      </c>
      <c r="B416" s="1233" t="inlineStr">
        <is>
          <t>SAIL - cash cost</t>
        </is>
      </c>
      <c r="C416" s="1242">
        <f>IF(ISNUMBER('Cost Curve'!J86),'Cost Curve'!J86,'Cost Curve'!C86)</f>
        <v/>
      </c>
      <c r="D416" s="1234" t="inlineStr">
        <is>
          <t>Rs/t</t>
        </is>
      </c>
      <c r="E416" s="1233" t="inlineStr">
        <is>
          <t>Computed in-cell</t>
        </is>
      </c>
      <c r="F416" s="1233" t="inlineStr">
        <is>
          <t>'=D80+(-237)</t>
        </is>
      </c>
      <c r="G416" s="1233" t="inlineStr">
        <is>
          <t>Master DB</t>
        </is>
      </c>
      <c r="H416" s="1233" t="inlineStr">
        <is>
          <t>26 Sources register; Master Industry Database source log (47 cited sources)</t>
        </is>
      </c>
      <c r="I416" s="1233" t="inlineStr">
        <is>
          <t>FY2026 realisation Rs 55,600/t less reported EBITDA Rs 6,596/t.</t>
        </is>
      </c>
      <c r="J416" s="1233" t="inlineStr">
        <is>
          <t>Spread to industry -237 Rs/t, held constant in the forecast.</t>
        </is>
      </c>
      <c r="K416" s="1233" t="inlineStr">
        <is>
          <t>Reconciled by 25 Audit Checks</t>
        </is>
      </c>
      <c r="L416" s="1234" t="inlineStr">
        <is>
          <t>Medium</t>
        </is>
      </c>
      <c r="M416" s="1233" t="inlineStr">
        <is>
          <t>This sheet</t>
        </is>
      </c>
      <c r="N416" s="1233" t="inlineStr">
        <is>
          <t>Quarterly, on each results season</t>
        </is>
      </c>
      <c r="O416" s="1234" t="inlineStr">
        <is>
          <t>FY2026A</t>
        </is>
      </c>
      <c r="P416" s="1233" t="inlineStr">
        <is>
          <t>Research block row 86. Value column is live and re-states on a scenario change.</t>
        </is>
      </c>
    </row>
    <row r="417" ht="46" customHeight="1" s="632">
      <c r="A417" s="1232" t="inlineStr">
        <is>
          <t>CC12</t>
        </is>
      </c>
      <c r="B417" s="1235" t="inlineStr">
        <is>
          <t>JSW Steel - cash cost</t>
        </is>
      </c>
      <c r="C417" s="1241">
        <f>IF(ISNUMBER('Cost Curve'!J87),'Cost Curve'!J87,'Cost Curve'!C87)</f>
        <v/>
      </c>
      <c r="D417" s="1236" t="inlineStr">
        <is>
          <t>Rs/t</t>
        </is>
      </c>
      <c r="E417" s="1235" t="inlineStr">
        <is>
          <t>Computed in-cell</t>
        </is>
      </c>
      <c r="F417" s="1235" t="inlineStr">
        <is>
          <t>'=D80+1390</t>
        </is>
      </c>
      <c r="G417" s="1235" t="inlineStr">
        <is>
          <t>Master DB</t>
        </is>
      </c>
      <c r="H417" s="1235" t="inlineStr">
        <is>
          <t>26 Sources register; Master Industry Database source log (47 cited sources)</t>
        </is>
      </c>
      <c r="I417" s="1235" t="inlineStr">
        <is>
          <t>FY2026 realisation Rs 60,798/t less reported EBITDA Rs 10,167/t.</t>
        </is>
      </c>
      <c r="J417" s="1235" t="inlineStr">
        <is>
          <t>Spread to industry +1390 Rs/t, held constant in the forecast.</t>
        </is>
      </c>
      <c r="K417" s="1235" t="inlineStr">
        <is>
          <t>Reconciled by 25 Audit Checks</t>
        </is>
      </c>
      <c r="L417" s="1236" t="inlineStr">
        <is>
          <t>Medium</t>
        </is>
      </c>
      <c r="M417" s="1235" t="inlineStr">
        <is>
          <t>This sheet</t>
        </is>
      </c>
      <c r="N417" s="1235" t="inlineStr">
        <is>
          <t>Quarterly, on each results season</t>
        </is>
      </c>
      <c r="O417" s="1236" t="inlineStr">
        <is>
          <t>FY2026A</t>
        </is>
      </c>
      <c r="P417" s="1235" t="inlineStr">
        <is>
          <t>Research block row 87. Value column is live and re-states on a scenario change.</t>
        </is>
      </c>
    </row>
    <row r="418" ht="46" customHeight="1" s="632">
      <c r="A418" s="1232" t="inlineStr">
        <is>
          <t>CC13</t>
        </is>
      </c>
      <c r="B418" s="1233" t="inlineStr">
        <is>
          <t>Jindal Steel - cash cost</t>
        </is>
      </c>
      <c r="C418" s="1242">
        <f>IF(ISNUMBER('Cost Curve'!J88),'Cost Curve'!J88,'Cost Curve'!C88)</f>
        <v/>
      </c>
      <c r="D418" s="1234" t="inlineStr">
        <is>
          <t>Rs/t</t>
        </is>
      </c>
      <c r="E418" s="1233" t="inlineStr">
        <is>
          <t>Computed in-cell</t>
        </is>
      </c>
      <c r="F418" s="1233" t="inlineStr">
        <is>
          <t>'=D80+1596</t>
        </is>
      </c>
      <c r="G418" s="1233" t="inlineStr">
        <is>
          <t>Master DB</t>
        </is>
      </c>
      <c r="H418" s="1233" t="inlineStr">
        <is>
          <t>26 Sources register; Master Industry Database source log (47 cited sources)</t>
        </is>
      </c>
      <c r="I418" s="1233" t="inlineStr">
        <is>
          <t>FY2026 realisation Rs 61,319/t less reported EBITDA Rs 10,482/t.</t>
        </is>
      </c>
      <c r="J418" s="1233" t="inlineStr">
        <is>
          <t>Spread to industry +1596 Rs/t, held constant in the forecast.</t>
        </is>
      </c>
      <c r="K418" s="1233" t="inlineStr">
        <is>
          <t>Reconciled by 25 Audit Checks</t>
        </is>
      </c>
      <c r="L418" s="1234" t="inlineStr">
        <is>
          <t>Medium</t>
        </is>
      </c>
      <c r="M418" s="1233" t="inlineStr">
        <is>
          <t>This sheet</t>
        </is>
      </c>
      <c r="N418" s="1233" t="inlineStr">
        <is>
          <t>Quarterly, on each results season</t>
        </is>
      </c>
      <c r="O418" s="1234" t="inlineStr">
        <is>
          <t>FY2026A</t>
        </is>
      </c>
      <c r="P418" s="1233" t="inlineStr">
        <is>
          <t>Research block row 88. Value column is live and re-states on a scenario change.</t>
        </is>
      </c>
    </row>
    <row r="419" ht="46" customHeight="1" s="632">
      <c r="A419" s="1232" t="inlineStr">
        <is>
          <t>CC14</t>
        </is>
      </c>
      <c r="B419" s="1235" t="inlineStr">
        <is>
          <t>Company cost curve, ranks 7 to 15</t>
        </is>
      </c>
      <c r="C419" s="1235" t="n"/>
      <c r="D419" s="1236" t="inlineStr">
        <is>
          <t>Rs/t</t>
        </is>
      </c>
      <c r="E419" s="1235" t="inlineStr">
        <is>
          <t>NOT POPULATED - red fill (missing data)</t>
        </is>
      </c>
      <c r="F419" s="1235" t="inlineStr">
        <is>
          <t>(blank by design)</t>
        </is>
      </c>
      <c r="G419" s="1235" t="inlineStr">
        <is>
          <t>No reliable source located and no defensible basis for an estimate</t>
        </is>
      </c>
      <c r="H419" s="1235" t="inlineStr">
        <is>
          <t>n/a</t>
        </is>
      </c>
      <c r="I419" s="1235" t="inlineStr">
        <is>
          <t>None asserted. The cell is deliberately blank.</t>
        </is>
      </c>
      <c r="J419" s="1235" t="inlineStr">
        <is>
          <t>Implied cash cost can only be derived for producers that disclose BOTH realisation and EBITDA per tonne. That is four names - Tata Steel, JSW Steel, SAIL and Jindal Steel. No cost disclosure exists for the remaining eleven names in the coverage universe.</t>
        </is>
      </c>
      <c r="K419" s="1235" t="inlineStr">
        <is>
          <t>Excluded from every headline output and from the audit checks</t>
        </is>
      </c>
      <c r="L419" s="1236" t="inlineStr">
        <is>
          <t>n/a - unavailable</t>
        </is>
      </c>
      <c r="M419" s="1235" t="inlineStr">
        <is>
          <t>This sheet</t>
        </is>
      </c>
      <c r="N419" s="1235" t="inlineStr">
        <is>
          <t>Populate when a primary source becomes available</t>
        </is>
      </c>
      <c r="O419" s="1236" t="inlineStr">
        <is>
          <t>Not available</t>
        </is>
      </c>
      <c r="P419" s="1235" t="inlineStr">
        <is>
          <t>Red (missing) cells: B25:G33</t>
        </is>
      </c>
    </row>
    <row r="420" ht="46" customHeight="1" s="632">
      <c r="A420" s="1232" t="inlineStr">
        <is>
          <t>CC15</t>
        </is>
      </c>
      <c r="B420" s="1233" t="inlineStr">
        <is>
          <t>Cost of the Others block</t>
        </is>
      </c>
      <c r="C420" s="1233" t="n"/>
      <c r="D420" s="1234" t="inlineStr">
        <is>
          <t>Rs/t</t>
        </is>
      </c>
      <c r="E420" s="1233" t="inlineStr">
        <is>
          <t>NOT POPULATED - red fill (missing data)</t>
        </is>
      </c>
      <c r="F420" s="1233" t="inlineStr">
        <is>
          <t>(blank by design)</t>
        </is>
      </c>
      <c r="G420" s="1233" t="inlineStr">
        <is>
          <t>No reliable source located and no defensible basis for an estimate</t>
        </is>
      </c>
      <c r="H420" s="1233" t="inlineStr">
        <is>
          <t>n/a</t>
        </is>
      </c>
      <c r="I420" s="1233" t="inlineStr">
        <is>
          <t>None asserted. The cell is deliberately blank.</t>
        </is>
      </c>
      <c r="J420" s="1233" t="inlineStr">
        <is>
          <t>Implied cash cost can only be derived for producers that disclose BOTH realisation and EBITDA per tonne. That is four names - Tata Steel, JSW Steel, SAIL and Jindal Steel. No cost disclosure exists for the remaining eleven names in the coverage universe.</t>
        </is>
      </c>
      <c r="K420" s="1233" t="inlineStr">
        <is>
          <t>Excluded from every headline output and from the audit checks</t>
        </is>
      </c>
      <c r="L420" s="1234" t="inlineStr">
        <is>
          <t>n/a - unavailable</t>
        </is>
      </c>
      <c r="M420" s="1233" t="inlineStr">
        <is>
          <t>This sheet</t>
        </is>
      </c>
      <c r="N420" s="1233" t="inlineStr">
        <is>
          <t>Populate when a primary source becomes available</t>
        </is>
      </c>
      <c r="O420" s="1234" t="inlineStr">
        <is>
          <t>Not available</t>
        </is>
      </c>
      <c r="P420" s="1233" t="inlineStr">
        <is>
          <t>Red (missing) cells: D24:F24</t>
        </is>
      </c>
    </row>
    <row r="423" ht="18" customHeight="1" s="632">
      <c r="A423" s="1229" t="inlineStr">
        <is>
          <t>Revenue Forecast  -  26 documented items  (RF01 - RF26)</t>
        </is>
      </c>
      <c r="B423" s="1161" t="n"/>
      <c r="C423" s="1161" t="n"/>
      <c r="D423" s="1161" t="n"/>
      <c r="E423" s="1161" t="n"/>
      <c r="F423" s="1161" t="n"/>
      <c r="G423" s="1161" t="n"/>
      <c r="H423" s="1161" t="n"/>
      <c r="I423" s="1161" t="n"/>
      <c r="J423" s="1161" t="n"/>
      <c r="K423" s="1161" t="n"/>
      <c r="L423" s="1161" t="n"/>
      <c r="M423" s="1161" t="n"/>
      <c r="N423" s="1161" t="n"/>
      <c r="O423" s="1161" t="n"/>
      <c r="P423" s="1161" t="n"/>
    </row>
    <row r="424" ht="24" customHeight="1" s="632">
      <c r="A424" s="1230" t="inlineStr">
        <is>
          <t>Every documented number on Revenue Forecast. The Code column matches the Ref column on that sheet.</t>
        </is>
      </c>
    </row>
    <row r="425" ht="30" customHeight="1" s="632">
      <c r="A425" s="1231" t="inlineStr">
        <is>
          <t>Code</t>
        </is>
      </c>
      <c r="B425" s="1231" t="inlineStr">
        <is>
          <t>Model Item</t>
        </is>
      </c>
      <c r="C425" s="1231" t="inlineStr">
        <is>
          <t>Value</t>
        </is>
      </c>
      <c r="D425" s="1231" t="inlineStr">
        <is>
          <t>Unit</t>
        </is>
      </c>
      <c r="E425" s="1231" t="inlineStr">
        <is>
          <t>Calculation Method</t>
        </is>
      </c>
      <c r="F425" s="1231" t="inlineStr">
        <is>
          <t>Formula Used</t>
        </is>
      </c>
      <c r="G425" s="1231" t="inlineStr">
        <is>
          <t>Primary Source</t>
        </is>
      </c>
      <c r="H425" s="1231" t="inlineStr">
        <is>
          <t>Secondary Source</t>
        </is>
      </c>
      <c r="I425" s="1231" t="inlineStr">
        <is>
          <t>Assumption</t>
        </is>
      </c>
      <c r="J425" s="1231" t="inlineStr">
        <is>
          <t>Reasoning</t>
        </is>
      </c>
      <c r="K425" s="1231" t="inlineStr">
        <is>
          <t>Cross-check</t>
        </is>
      </c>
      <c r="L425" s="1231" t="inlineStr">
        <is>
          <t>Confidence Level</t>
        </is>
      </c>
      <c r="M425" s="1231" t="inlineStr">
        <is>
          <t>Linked Sheet</t>
        </is>
      </c>
      <c r="N425" s="1231" t="inlineStr">
        <is>
          <t>Update Frequency</t>
        </is>
      </c>
      <c r="O425" s="1231" t="inlineStr">
        <is>
          <t>Last Available Date</t>
        </is>
      </c>
      <c r="P425" s="1231" t="inlineStr">
        <is>
          <t>Comments</t>
        </is>
      </c>
    </row>
    <row r="426" ht="46" customHeight="1" s="632">
      <c r="A426" s="1232" t="inlineStr">
        <is>
          <t>RF01</t>
        </is>
      </c>
      <c r="B426" s="1233" t="inlineStr">
        <is>
          <t>Discounts and rebates</t>
        </is>
      </c>
      <c r="C426" s="1257">
        <f>'Revenue Forecast'!B22</f>
        <v/>
      </c>
      <c r="D426" s="1234" t="inlineStr">
        <is>
          <t>Rs cr</t>
        </is>
      </c>
      <c r="E426" s="1233" t="inlineStr">
        <is>
          <t>Manual input, zero by construction</t>
        </is>
      </c>
      <c r="F426" s="1233" t="inlineStr">
        <is>
          <t>(constant) 0</t>
        </is>
      </c>
      <c r="G426" s="1233" t="inlineStr">
        <is>
          <t>Company disclosure: realisation is reported net</t>
        </is>
      </c>
      <c r="H426" s="1233" t="inlineStr">
        <is>
          <t>Master Industry Database revenue sheet - all figures are "revenue from operations"</t>
        </is>
      </c>
      <c r="I426" s="1233" t="inlineStr">
        <is>
          <t>Set to zero because the blended realisation of Rs 59,974/t is ALREADY net of discounts and rebates: it is derived from reported revenue from operations divided by volume.</t>
        </is>
      </c>
      <c r="J426" s="1233" t="inlineStr">
        <is>
          <t>Deducting a discount here would double-count. The row is retained and left as a live blue input because a user modelling gross-to-net separately will need it.</t>
        </is>
      </c>
      <c r="K426" s="1233" t="inlineStr">
        <is>
          <t>Gross revenue must equal net revenue in every year, and both must equal research block row 96</t>
        </is>
      </c>
      <c r="L426" s="1234" t="inlineStr">
        <is>
          <t>High</t>
        </is>
      </c>
      <c r="M426" s="1233" t="inlineStr">
        <is>
          <t>This sheet</t>
        </is>
      </c>
      <c r="N426" s="1233" t="inlineStr">
        <is>
          <t>Annually</t>
        </is>
      </c>
      <c r="O426" s="1234" t="inlineStr">
        <is>
          <t>FY2026A</t>
        </is>
      </c>
      <c r="P426" s="1233" t="inlineStr">
        <is>
          <t>Zero is a deliberate modelling statement, not an unfilled cell.</t>
        </is>
      </c>
    </row>
    <row r="427" ht="46" customHeight="1" s="632">
      <c r="A427" s="1232" t="inlineStr">
        <is>
          <t>RF02</t>
        </is>
      </c>
      <c r="B427" s="1235" t="inlineStr">
        <is>
          <t>Revenue bridge</t>
        </is>
      </c>
      <c r="C427" s="1258">
        <f>'Revenue Forecast'!H34</f>
        <v/>
      </c>
      <c r="D427" s="1236" t="inlineStr">
        <is>
          <t>Rs cr</t>
        </is>
      </c>
      <c r="E427" s="1235" t="inlineStr">
        <is>
          <t>Exact two-factor decomposition: volume effect at prior-year price plus price effect at current volume</t>
        </is>
      </c>
      <c r="F427" s="1235" t="inlineStr">
        <is>
          <t>'=(D94-C94)*C95/10 and =D94*(D95-C95)/10</t>
        </is>
      </c>
      <c r="G427" s="1235" t="inlineStr">
        <is>
          <t>Computed from the model</t>
        </is>
      </c>
      <c r="H427" s="1235" t="inlineStr">
        <is>
          <t>Research block row 96, which the closing line reproduces</t>
        </is>
      </c>
      <c r="I427" s="1235" t="inlineStr">
        <is>
          <t>Product mix, export mix and currency effects are ZERO BY CONSTRUCTION - see the note on those rows.</t>
        </is>
      </c>
      <c r="J427" s="1235" t="inlineStr">
        <is>
          <t>The decomposition is algebraically exact, not approximate: d(V x P) = dV x P0 + V1 x dP. Over the full horizon the volume effect contributes about 61% of revenue growth and price about 39%, which is the single most important message of the revenue forecast - this is a VOLUME story, not a price story.</t>
        </is>
      </c>
      <c r="K427" s="1235" t="inlineStr">
        <is>
          <t>Rows 28 + 29 + 30 must equal row 34 in every year and in every scenario</t>
        </is>
      </c>
      <c r="L427" s="1236" t="inlineStr">
        <is>
          <t>High</t>
        </is>
      </c>
      <c r="M427" s="1235" t="inlineStr">
        <is>
          <t>This sheet</t>
        </is>
      </c>
      <c r="N427" s="1235" t="inlineStr">
        <is>
          <t>Live</t>
        </is>
      </c>
      <c r="O427" s="1236" t="inlineStr">
        <is>
          <t>Live</t>
        </is>
      </c>
      <c r="P427" s="1235" t="inlineStr">
        <is>
          <t>Was entirely blank.</t>
        </is>
      </c>
    </row>
    <row r="428" ht="46" customHeight="1" s="632">
      <c r="A428" s="1232" t="inlineStr">
        <is>
          <t>RF03</t>
        </is>
      </c>
      <c r="B428" s="1233" t="inlineStr">
        <is>
          <t>Product mix, export mix and currency effects</t>
        </is>
      </c>
      <c r="C428" s="1257">
        <f>SUM('Revenue Forecast'!B31:H33)</f>
        <v/>
      </c>
      <c r="D428" s="1234" t="inlineStr">
        <is>
          <t>Rs cr</t>
        </is>
      </c>
      <c r="E428" s="1233" t="inlineStr">
        <is>
          <t>Manual input, zero by construction</t>
        </is>
      </c>
      <c r="F428" s="1233" t="inlineStr">
        <is>
          <t>(constant) 0</t>
        </is>
      </c>
      <c r="G428" s="1233" t="inlineStr">
        <is>
          <t>n/a - a modelling statement rather than a sourced number</t>
        </is>
      </c>
      <c r="H428" s="1233" t="inlineStr">
        <is>
          <t>n/a</t>
        </is>
      </c>
      <c r="I428" s="1233" t="inlineStr">
        <is>
          <t>ZERO BY CONSTRUCTION, not a placeholder. The model carries a single blended industry realisation and a single blended cash cost, so there is no product mix, export mix or currency channel to isolate at revenue level - the exchange rate enters the model through raw material cost only. Entering anything other than zero here would double-count. The cell is a live input, so a user with a mix view can enter it and the bridge still closes.</t>
        </is>
      </c>
      <c r="J428" s="1233" t="inlineStr">
        <is>
          <t>The alternative - asserting a mix or currency effect - would require a product-wise volume and price forecast that could not be sourced, and would break the exact two-factor bridge above.</t>
        </is>
      </c>
      <c r="K428" s="1233" t="inlineStr">
        <is>
          <t>The bridge closes to zero error with these rows at zero, which proves nothing is missing</t>
        </is>
      </c>
      <c r="L428" s="1234" t="inlineStr">
        <is>
          <t>High</t>
        </is>
      </c>
      <c r="M428" s="1233" t="inlineStr">
        <is>
          <t>This sheet</t>
        </is>
      </c>
      <c r="N428" s="1233" t="inlineStr">
        <is>
          <t>On any change of model structure</t>
        </is>
      </c>
      <c r="O428" s="1234" t="inlineStr">
        <is>
          <t>n/a</t>
        </is>
      </c>
      <c r="P428" s="1233" t="inlineStr">
        <is>
          <t>Blue because they are live user inputs, not formulas.</t>
        </is>
      </c>
    </row>
    <row r="429" ht="46" customHeight="1" s="632">
      <c r="A429" s="1232" t="inlineStr">
        <is>
          <t>RF04</t>
        </is>
      </c>
      <c r="B429" s="1235" t="inlineStr">
        <is>
          <t>Domestic versus export revenue</t>
        </is>
      </c>
      <c r="C429" s="1245">
        <f>'Revenue Forecast'!E59</f>
        <v/>
      </c>
      <c r="D429" s="1236" t="inlineStr">
        <is>
          <t>%</t>
        </is>
      </c>
      <c r="E429" s="1235" t="inlineStr">
        <is>
          <t>Computed in-cell: export volume from 19 Trade Model valued at the blended realisation</t>
        </is>
      </c>
      <c r="F429" s="1235" t="inlineStr">
        <is>
          <t>'='Trade Model'!C78*C95/10 ; domestic = total less export</t>
        </is>
      </c>
      <c r="G429" s="1235" t="inlineStr">
        <is>
          <t>Joint Plant Committee export volumes via the Master Industry Database</t>
        </is>
      </c>
      <c r="H429" s="1235" t="inlineStr">
        <is>
          <t>Research block row 96 for the total; 19 Trade Model row 78 for volumes</t>
        </is>
      </c>
      <c r="I429" s="1235" t="inlineStr">
        <is>
          <t>Exports are valued at the SAME blended realisation as domestic sales, because no separate export price series was obtainable.</t>
        </is>
      </c>
      <c r="J429" s="1235" t="inlineStr">
        <is>
          <t>This understates the volatility of export revenue - export realisation is typically below domestic when the domestic market carries a safeguard-duty premium of roughly 20% over Chinese FOB. The direction of the error is disclosed and it is small: exports are only 4.1% of production in FY2026A rising to about 5.3% by FY2033E, so a 10% export price error moves industry revenue by about 0.5%.</t>
        </is>
      </c>
      <c r="K429" s="1235" t="inlineStr">
        <is>
          <t>Domestic plus export must equal research block row 96 in every year by construction</t>
        </is>
      </c>
      <c r="L429" s="1236" t="inlineStr">
        <is>
          <t>Medium</t>
        </is>
      </c>
      <c r="M429" s="1235" t="inlineStr">
        <is>
          <t>Trade Model</t>
        </is>
      </c>
      <c r="N429" s="1235" t="inlineStr">
        <is>
          <t>Monthly for volumes</t>
        </is>
      </c>
      <c r="O429" s="1236" t="inlineStr">
        <is>
          <t>FY2026A</t>
        </is>
      </c>
      <c r="P429" s="1235" t="inlineStr">
        <is>
          <t>Was entirely blank.</t>
        </is>
      </c>
    </row>
    <row r="430" ht="46" customHeight="1" s="632">
      <c r="A430" s="1232" t="inlineStr">
        <is>
          <t>RF05</t>
        </is>
      </c>
      <c r="B430" s="1233" t="inlineStr">
        <is>
          <t>Company revenue benchmark, FY2026A</t>
        </is>
      </c>
      <c r="C430" s="1237">
        <f>'Revenue Forecast'!D64</f>
        <v/>
      </c>
      <c r="D430" s="1234" t="inlineStr">
        <is>
          <t>Rs/t</t>
        </is>
      </c>
      <c r="E430" s="1233" t="inlineStr">
        <is>
          <t>Cross-sheet reference to the company revenue and volume builds in the research block</t>
        </is>
      </c>
      <c r="F430" s="1233" t="inlineStr">
        <is>
          <t>'=$C$111 / $C$101 x 10</t>
        </is>
      </c>
      <c r="G430" s="1233" t="inlineStr">
        <is>
          <t>Company results releases; FY2026 revenue for Tata Steel, JSW Steel and SAIL ties exactly to the issuer press releases</t>
        </is>
      </c>
      <c r="H430" s="1233" t="inlineStr">
        <is>
          <t>Master Industry Database Revenue section A; EBITDA per Ton sheet</t>
        </is>
      </c>
      <c r="I430" s="1233" t="inlineStr">
        <is>
          <t>Others is a RESIDUAL. Company revenues are explicitly NOT additive to industry revenue.</t>
        </is>
      </c>
      <c r="J430" s="1233" t="inlineStr">
        <is>
          <t>Research block row 119 states the reason: Jindal Stainless revenue is stainless, AM/NS India reports in US dollars, and SAIL EBITDA is standalone while its revenue is consolidated. The residual therefore absorbs both the genuinely unlisted producers and those basis mismatches, which is why it should not be read as a real company.</t>
        </is>
      </c>
      <c r="K430" s="1233" t="inlineStr">
        <is>
          <t>The four named producers plus the residual must equal Rs 9,65,222 cr by construction</t>
        </is>
      </c>
      <c r="L430" s="1234" t="inlineStr">
        <is>
          <t>High for the named producers, Low for the residual</t>
        </is>
      </c>
      <c r="M430" s="1233" t="inlineStr">
        <is>
          <t>This sheet</t>
        </is>
      </c>
      <c r="N430" s="1233" t="inlineStr">
        <is>
          <t>Quarterly, on each results season</t>
        </is>
      </c>
      <c r="O430" s="1234" t="inlineStr">
        <is>
          <t>FY2026A</t>
        </is>
      </c>
      <c r="P430" s="1233" t="inlineStr">
        <is>
          <t>DATA DEFECT FLAGGED: AM/NS India revenue on research block row 116 is Rs 548 cr against 7.975 Mt of volume, an implied realisation of Rs 687/t. That is a currency-unit error inherited from the database, where AM/NS reports in US dollars. It is inside the research block and was therefore not altered, but it must be corrected before company-level use.</t>
        </is>
      </c>
    </row>
    <row r="431" ht="46" customHeight="1" s="632">
      <c r="A431" s="1232" t="inlineStr">
        <is>
          <t>RF06</t>
        </is>
      </c>
      <c r="B431" s="1235" t="inlineStr">
        <is>
          <t>Revenue driver contribution, FY2026A to FY2033E</t>
        </is>
      </c>
      <c r="C431" s="1245">
        <f>'Revenue Forecast'!B73</f>
        <v/>
      </c>
      <c r="D431" s="1236" t="inlineStr">
        <is>
          <t>% of revenue growth</t>
        </is>
      </c>
      <c r="E431" s="1235" t="inlineStr">
        <is>
          <t>Computed in-cell as each bridge line summed over the horizon, divided by the total change in revenue</t>
        </is>
      </c>
      <c r="F431" s="1235" t="inlineStr">
        <is>
          <t>'=IFERROR(SUM($B$29:$H$29)/($J$96-$C$96),"")</t>
        </is>
      </c>
      <c r="G431" s="1235" t="inlineStr">
        <is>
          <t>Computed from the revenue bridge above</t>
        </is>
      </c>
      <c r="H431" s="1235" t="inlineStr">
        <is>
          <t>Research block row 96</t>
        </is>
      </c>
      <c r="I431" s="1235" t="inlineStr">
        <is>
          <t>The annual bridge is exactly additive, so the seven annual effects sum to the total change in revenue without a residual.</t>
        </is>
      </c>
      <c r="J431" s="1235" t="inlineStr">
        <is>
          <t>Volume contributes roughly 61% and price roughly 39% of the Rs 9.2 lakh crore of revenue growth to FY2033E. Mix, export mix and currency contribute exactly nothing by construction, and Others is therefore exactly zero - which is itself the proof that the decomposition is complete.</t>
        </is>
      </c>
      <c r="K431" s="1235" t="inlineStr">
        <is>
          <t>Rows 73 to 78 must sum to exactly 100%</t>
        </is>
      </c>
      <c r="L431" s="1236" t="inlineStr">
        <is>
          <t>High</t>
        </is>
      </c>
      <c r="M431" s="1235" t="inlineStr">
        <is>
          <t>This sheet</t>
        </is>
      </c>
      <c r="N431" s="1235" t="inlineStr">
        <is>
          <t>Live</t>
        </is>
      </c>
      <c r="O431" s="1236" t="inlineStr">
        <is>
          <t>Live</t>
        </is>
      </c>
      <c r="P431" s="1235" t="inlineStr">
        <is>
          <t>Was entirely blank.</t>
        </is>
      </c>
    </row>
    <row r="432" ht="46" customHeight="1" s="632">
      <c r="A432" s="1232" t="inlineStr">
        <is>
          <t>RF07</t>
        </is>
      </c>
      <c r="B432" s="1233" t="inlineStr">
        <is>
          <t>Four-scenario revenue path</t>
        </is>
      </c>
      <c r="C432" s="1257">
        <f>'Revenue Forecast'!B89</f>
        <v/>
      </c>
      <c r="D432" s="1234" t="inlineStr">
        <is>
          <t>Rs cr</t>
        </is>
      </c>
      <c r="E432" s="1233" t="inlineStr">
        <is>
          <t>Cross-sheet reference to the scenario engine on 24 Scenario Manager</t>
        </is>
      </c>
      <c r="F432" s="1233" t="inlineStr">
        <is>
          <t>'='Scenario Manager'!$J$&lt;engine row&gt;</t>
        </is>
      </c>
      <c r="G432" s="1233" t="inlineStr">
        <is>
          <t>Rebuilt live from the scenario driver matrix on 02 Model Assumptions</t>
        </is>
      </c>
      <c r="H432" s="1233" t="inlineStr">
        <is>
          <t>Independent tie-out on 24 Scenario Manager row 77</t>
        </is>
      </c>
      <c r="I432" s="1233" t="inlineStr">
        <is>
          <t>Revenue is finished steel production multiplied by effective realisation, divided by ten to convert Rs/t x Mt into Rs crore.</t>
        </is>
      </c>
      <c r="J432" s="1233" t="inlineStr">
        <is>
          <t>The FY2033E spread is Rs 15.2 lakh crore (Bear) to Rs 21.2 lakh crore (Bull), a 39% range. Revenue is far less scenario-sensitive than EBITDA, whose range is 4.4x, because revenue carries no cost gearing. That contrast is the whole argument for looking at margin rather than turnover in this industry.</t>
        </is>
      </c>
      <c r="K432" s="1233" t="inlineStr">
        <is>
          <t>FY2033E must equal 18,82,079 / 21,22,888 / 15,24,938 / 15,83,075 Rs cr</t>
        </is>
      </c>
      <c r="L432" s="1234" t="inlineStr">
        <is>
          <t>High</t>
        </is>
      </c>
      <c r="M432" s="1233" t="inlineStr">
        <is>
          <t>Scenario Manager</t>
        </is>
      </c>
      <c r="N432" s="1233" t="inlineStr">
        <is>
          <t>Live</t>
        </is>
      </c>
      <c r="O432" s="1234" t="inlineStr">
        <is>
          <t>Live</t>
        </is>
      </c>
      <c r="P432" s="1233" t="inlineStr">
        <is>
          <t>Was entirely blank.</t>
        </is>
      </c>
    </row>
    <row r="433" ht="46" customHeight="1" s="632">
      <c r="A433" s="1232" t="inlineStr">
        <is>
          <t>RF08</t>
        </is>
      </c>
      <c r="B433" s="1235" t="inlineStr">
        <is>
          <t>Finished steel production</t>
        </is>
      </c>
      <c r="C433" s="1241">
        <f>IF(ISNUMBER('Revenue Forecast'!J94),'Revenue Forecast'!J94,'Revenue Forecast'!C94)</f>
        <v/>
      </c>
      <c r="D433" s="1236" t="inlineStr">
        <is>
          <t>Mt</t>
        </is>
      </c>
      <c r="E433" s="1235" t="inlineStr">
        <is>
          <t>Cross-sheet reference (linked, not re-entered)</t>
        </is>
      </c>
      <c r="F433" s="1235" t="inlineStr">
        <is>
          <t>'='Steel Supply Model'!D$101</t>
        </is>
      </c>
      <c r="G433" s="1235" t="inlineStr">
        <is>
          <t>05 Supply</t>
        </is>
      </c>
      <c r="H433" s="1235" t="inlineStr">
        <is>
          <t>26 Sources register; Master Industry Database source log (47 cited sources)</t>
        </is>
      </c>
      <c r="I433" s="1235" t="n"/>
      <c r="J433" s="1235" t="n"/>
      <c r="K433" s="1235" t="inlineStr">
        <is>
          <t>Reconciled by 25 Audit Checks</t>
        </is>
      </c>
      <c r="L433" s="1236" t="inlineStr">
        <is>
          <t>High</t>
        </is>
      </c>
      <c r="M433" s="1235" t="inlineStr">
        <is>
          <t>Steel Supply Model</t>
        </is>
      </c>
      <c r="N433" s="1235" t="inlineStr">
        <is>
          <t>Recalculates live with the model</t>
        </is>
      </c>
      <c r="O433" s="1236" t="inlineStr">
        <is>
          <t>Live</t>
        </is>
      </c>
      <c r="P433" s="1235" t="inlineStr">
        <is>
          <t>Research block row 94. Value column is live and re-states on a scenario change.</t>
        </is>
      </c>
    </row>
    <row r="434" ht="46" customHeight="1" s="632">
      <c r="A434" s="1232" t="inlineStr">
        <is>
          <t>RF09</t>
        </is>
      </c>
      <c r="B434" s="1233" t="inlineStr">
        <is>
          <t>Blended realisation - effective</t>
        </is>
      </c>
      <c r="C434" s="1242">
        <f>IF(ISNUMBER('Revenue Forecast'!J95),'Revenue Forecast'!J95,'Revenue Forecast'!C95)</f>
        <v/>
      </c>
      <c r="D434" s="1234" t="inlineStr">
        <is>
          <t>Rs/t</t>
        </is>
      </c>
      <c r="E434" s="1233" t="inlineStr">
        <is>
          <t>Cross-sheet reference (linked, not re-entered)</t>
        </is>
      </c>
      <c r="F434" s="1233" t="inlineStr">
        <is>
          <t>'='Steel Price Forecast'!D$103</t>
        </is>
      </c>
      <c r="G434" s="1233" t="inlineStr">
        <is>
          <t>09 Price</t>
        </is>
      </c>
      <c r="H434" s="1233" t="inlineStr">
        <is>
          <t>26 Sources register; Master Industry Database source log (47 cited sources)</t>
        </is>
      </c>
      <c r="I434" s="1233" t="n"/>
      <c r="J434" s="1233" t="n"/>
      <c r="K434" s="1233" t="inlineStr">
        <is>
          <t>Reconciled by 25 Audit Checks</t>
        </is>
      </c>
      <c r="L434" s="1234" t="inlineStr">
        <is>
          <t>Medium</t>
        </is>
      </c>
      <c r="M434" s="1233" t="inlineStr">
        <is>
          <t>Steel Price Forecast</t>
        </is>
      </c>
      <c r="N434" s="1233" t="inlineStr">
        <is>
          <t>Recalculates live with the model</t>
        </is>
      </c>
      <c r="O434" s="1234" t="inlineStr">
        <is>
          <t>Live</t>
        </is>
      </c>
      <c r="P434" s="1233" t="inlineStr">
        <is>
          <t>Research block row 95. Value column is live and re-states on a scenario change.</t>
        </is>
      </c>
    </row>
    <row r="435" ht="46" customHeight="1" s="632">
      <c r="A435" s="1232" t="inlineStr">
        <is>
          <t>RF10</t>
        </is>
      </c>
      <c r="B435" s="1235" t="inlineStr">
        <is>
          <t>INDUSTRY REVENUE</t>
        </is>
      </c>
      <c r="C435" s="1241">
        <f>IF(ISNUMBER('Revenue Forecast'!J96),'Revenue Forecast'!J96,'Revenue Forecast'!C96)</f>
        <v/>
      </c>
      <c r="D435" s="1236" t="inlineStr">
        <is>
          <t>Rs cr</t>
        </is>
      </c>
      <c r="E435" s="1235" t="inlineStr">
        <is>
          <t>Computed in-cell</t>
        </is>
      </c>
      <c r="F435" s="1235" t="inlineStr">
        <is>
          <t>'=D94*D95/10</t>
        </is>
      </c>
      <c r="G435" s="1235" t="inlineStr">
        <is>
          <t>Computed</t>
        </is>
      </c>
      <c r="H435" s="1235" t="inlineStr">
        <is>
          <t>26 Sources register; Master Industry Database source log (47 cited sources)</t>
        </is>
      </c>
      <c r="I435" s="1235" t="inlineStr">
        <is>
          <t>Unit bridge: Rs/t x Mt / 10 = Rs crore, because 1 Rs crore = 1e7 Rs and 1 Mt = 1e6 tonnes.</t>
        </is>
      </c>
      <c r="J435" s="1235" t="inlineStr">
        <is>
          <t>FY2026A of Rs 9,65,238 cr is the whole-of-India finished steel revenue pool, against Rs 4,79,191 cr for the four majors that anchor realisation - i.e. the calibration sample is 49.6% of the pool by revenue.</t>
        </is>
      </c>
      <c r="K435" s="1235" t="inlineStr">
        <is>
          <t>Reconciled by 25 Audit Checks</t>
        </is>
      </c>
      <c r="L435" s="1236" t="inlineStr">
        <is>
          <t>Medium</t>
        </is>
      </c>
      <c r="M435" s="1235" t="inlineStr">
        <is>
          <t>This sheet</t>
        </is>
      </c>
      <c r="N435" s="1235" t="inlineStr">
        <is>
          <t>Recalculates live with the model</t>
        </is>
      </c>
      <c r="O435" s="1236" t="inlineStr">
        <is>
          <t>Live</t>
        </is>
      </c>
      <c r="P435" s="1235" t="inlineStr">
        <is>
          <t>Research block row 96. Value column is live and re-states on a scenario change.</t>
        </is>
      </c>
    </row>
    <row r="436" ht="46" customHeight="1" s="632">
      <c r="A436" s="1232" t="inlineStr">
        <is>
          <t>RF11</t>
        </is>
      </c>
      <c r="B436" s="1233" t="inlineStr">
        <is>
          <t>Tata Steel - volume</t>
        </is>
      </c>
      <c r="C436" s="1242">
        <f>IF(ISNUMBER('Revenue Forecast'!J101),'Revenue Forecast'!J101,'Revenue Forecast'!C101)</f>
        <v/>
      </c>
      <c r="D436" s="1234" t="inlineStr">
        <is>
          <t>Mt</t>
        </is>
      </c>
      <c r="E436" s="1233" t="inlineStr">
        <is>
          <t>Computed in-cell</t>
        </is>
      </c>
      <c r="F436" s="1233" t="inlineStr">
        <is>
          <t>'=C101</t>
        </is>
      </c>
      <c r="G436" s="1233" t="inlineStr">
        <is>
          <t>S08</t>
        </is>
      </c>
      <c r="H436" s="1233" t="inlineStr">
        <is>
          <t>26 Sources register; Master Industry Database source log (47 cited sources)</t>
        </is>
      </c>
      <c r="I436" s="1233" t="inlineStr">
        <is>
          <t>India segment used for volume and margin.</t>
        </is>
      </c>
      <c r="J436" s="1233" t="inlineStr">
        <is>
          <t>Netherlands carries a disclosed material uncertainty related to going concern (Master DB, policy P18) - the single largest identifiable downside in the universe and NOT captured in this industry model, which forecasts India only.. Basis: India deliveries.</t>
        </is>
      </c>
      <c r="K436" s="1233" t="inlineStr">
        <is>
          <t>Tracked additions: FY2030 +4.80 Mtpa, FY2033 +5.00 Mtpa</t>
        </is>
      </c>
      <c r="L436" s="1234" t="inlineStr">
        <is>
          <t>Medium</t>
        </is>
      </c>
      <c r="M436" s="1233" t="inlineStr">
        <is>
          <t>This sheet</t>
        </is>
      </c>
      <c r="N436" s="1233" t="inlineStr">
        <is>
          <t>Quarterly</t>
        </is>
      </c>
      <c r="O436" s="1234" t="inlineStr">
        <is>
          <t>FY2026A</t>
        </is>
      </c>
      <c r="P436" s="1233" t="inlineStr">
        <is>
          <t>Research block row 101. Value column is live and re-states on a scenario change.</t>
        </is>
      </c>
    </row>
    <row r="437" ht="46" customHeight="1" s="632">
      <c r="A437" s="1232" t="inlineStr">
        <is>
          <t>RF12</t>
        </is>
      </c>
      <c r="B437" s="1235" t="inlineStr">
        <is>
          <t>JSW Steel - volume</t>
        </is>
      </c>
      <c r="C437" s="1241">
        <f>IF(ISNUMBER('Revenue Forecast'!J102),'Revenue Forecast'!J102,'Revenue Forecast'!C102)</f>
        <v/>
      </c>
      <c r="D437" s="1236" t="inlineStr">
        <is>
          <t>Mt</t>
        </is>
      </c>
      <c r="E437" s="1235" t="inlineStr">
        <is>
          <t>Cross-sheet reference (linked, not re-entered)</t>
        </is>
      </c>
      <c r="F437" s="1235" t="inlineStr">
        <is>
          <t>'=C102+2.4*'Capacity Utilisation'!D$67</t>
        </is>
      </c>
      <c r="G437" s="1235" t="inlineStr">
        <is>
          <t>S09</t>
        </is>
      </c>
      <c r="H437" s="1235" t="inlineStr">
        <is>
          <t>26 Sources register; Master Industry Database source log (47 cited sources)</t>
        </is>
      </c>
      <c r="I437" s="1235" t="inlineStr">
        <is>
          <t>FY2027 additions include BMM Ispat (0.90 Mtpa), an acquisition of existing capacity: it adds to JSW but NOT to national capacity.</t>
        </is>
      </c>
      <c r="J437" s="1235" t="inlineStr">
        <is>
          <t>BPSL was deconsolidated from 27-Mar-2026, so FY2026 to FY2027 company volumes are not like-for-like.. Basis: India steel sales.</t>
        </is>
      </c>
      <c r="K437" s="1235" t="inlineStr">
        <is>
          <t>Tracked additions: FY2027 +2.40 Mtpa, FY2030 +5.00 Mtpa, FY2031 +6.00 Mtpa</t>
        </is>
      </c>
      <c r="L437" s="1236" t="inlineStr">
        <is>
          <t>Medium</t>
        </is>
      </c>
      <c r="M437" s="1235" t="inlineStr">
        <is>
          <t>Capacity Utilisation</t>
        </is>
      </c>
      <c r="N437" s="1235" t="inlineStr">
        <is>
          <t>Quarterly</t>
        </is>
      </c>
      <c r="O437" s="1236" t="inlineStr">
        <is>
          <t>FY2026A</t>
        </is>
      </c>
      <c r="P437" s="1235" t="inlineStr">
        <is>
          <t>Research block row 102. Value column is live and re-states on a scenario change.</t>
        </is>
      </c>
    </row>
    <row r="438" ht="46" customHeight="1" s="632">
      <c r="A438" s="1232" t="inlineStr">
        <is>
          <t>RF13</t>
        </is>
      </c>
      <c r="B438" s="1233" t="inlineStr">
        <is>
          <t>SAIL - volume</t>
        </is>
      </c>
      <c r="C438" s="1242">
        <f>IF(ISNUMBER('Revenue Forecast'!J103),'Revenue Forecast'!J103,'Revenue Forecast'!C103)</f>
        <v/>
      </c>
      <c r="D438" s="1234" t="inlineStr">
        <is>
          <t>Mt</t>
        </is>
      </c>
      <c r="E438" s="1233" t="inlineStr">
        <is>
          <t>Computed in-cell</t>
        </is>
      </c>
      <c r="F438" s="1233" t="inlineStr">
        <is>
          <t>'=C103</t>
        </is>
      </c>
      <c r="G438" s="1233" t="inlineStr">
        <is>
          <t>S10</t>
        </is>
      </c>
      <c r="H438" s="1233" t="inlineStr">
        <is>
          <t>26 Sources register; Master Industry Database source log (47 cited sources)</t>
        </is>
      </c>
      <c r="I438" s="1233" t="inlineStr">
        <is>
          <t>EBITDA per tonne is struck on the STANDALONE EBITDA headline over standalone sales volume.</t>
        </is>
      </c>
      <c r="J438" s="1233" t="inlineStr">
        <is>
          <t>Do not pair a consolidated enterprise value with this EBITDA - see Master DB Conflict C09.. Basis: Standalone sales volume.</t>
        </is>
      </c>
      <c r="K438" s="1233" t="inlineStr">
        <is>
          <t>Tracked additions: FY2029 +0.89 Mtpa, FY2030 +2.65 Mtpa, FY2031 +4.08 Mtpa, FY2033 +8.00 Mtpa</t>
        </is>
      </c>
      <c r="L438" s="1234" t="inlineStr">
        <is>
          <t>Medium</t>
        </is>
      </c>
      <c r="M438" s="1233" t="inlineStr">
        <is>
          <t>This sheet</t>
        </is>
      </c>
      <c r="N438" s="1233" t="inlineStr">
        <is>
          <t>Quarterly</t>
        </is>
      </c>
      <c r="O438" s="1234" t="inlineStr">
        <is>
          <t>FY2026A</t>
        </is>
      </c>
      <c r="P438" s="1233" t="inlineStr">
        <is>
          <t>Research block row 103. Value column is live and re-states on a scenario change.</t>
        </is>
      </c>
    </row>
    <row r="439" ht="46" customHeight="1" s="632">
      <c r="A439" s="1232" t="inlineStr">
        <is>
          <t>RF14</t>
        </is>
      </c>
      <c r="B439" s="1235" t="inlineStr">
        <is>
          <t>Jindal Steel - volume</t>
        </is>
      </c>
      <c r="C439" s="1241">
        <f>IF(ISNUMBER('Revenue Forecast'!J104),'Revenue Forecast'!J104,'Revenue Forecast'!C104)</f>
        <v/>
      </c>
      <c r="D439" s="1236" t="inlineStr">
        <is>
          <t>Mt</t>
        </is>
      </c>
      <c r="E439" s="1235" t="inlineStr">
        <is>
          <t>Computed in-cell</t>
        </is>
      </c>
      <c r="F439" s="1235" t="inlineStr">
        <is>
          <t>'=C104</t>
        </is>
      </c>
      <c r="G439" s="1235" t="inlineStr">
        <is>
          <t>S11</t>
        </is>
      </c>
      <c r="H439" s="1235" t="inlineStr">
        <is>
          <t>26 Sources register; Master Industry Database source log (47 cited sources)</t>
        </is>
      </c>
      <c r="I439" s="1235" t="inlineStr">
        <is>
          <t>Capacity rose from 9.6 to 15.6 Mtpa in FY2026, so FY2027 volume growth comes from utilising capacity already built rather than from new additions.</t>
        </is>
      </c>
      <c r="J439" s="1235" t="inlineStr">
        <is>
          <t>Company guidance for FY2027 is 11.0-11.5 Mt of production against 9.25 Mt in FY2026.. Basis: Consolidated steel sales.</t>
        </is>
      </c>
      <c r="K439" s="1235" t="inlineStr">
        <is>
          <t>No tracked additions - volume growth comes from utilising capacity already built.</t>
        </is>
      </c>
      <c r="L439" s="1236" t="inlineStr">
        <is>
          <t>Medium</t>
        </is>
      </c>
      <c r="M439" s="1235" t="inlineStr">
        <is>
          <t>This sheet</t>
        </is>
      </c>
      <c r="N439" s="1235" t="inlineStr">
        <is>
          <t>Quarterly</t>
        </is>
      </c>
      <c r="O439" s="1236" t="inlineStr">
        <is>
          <t>FY2026A</t>
        </is>
      </c>
      <c r="P439" s="1235" t="inlineStr">
        <is>
          <t>Research block row 104. Value column is live and re-states on a scenario change.</t>
        </is>
      </c>
    </row>
    <row r="440" ht="46" customHeight="1" s="632">
      <c r="A440" s="1232" t="inlineStr">
        <is>
          <t>RF15</t>
        </is>
      </c>
      <c r="B440" s="1233" t="inlineStr">
        <is>
          <t>Jindal Stainless - volume</t>
        </is>
      </c>
      <c r="C440" s="1242">
        <f>IF(ISNUMBER('Revenue Forecast'!J105),'Revenue Forecast'!J105,'Revenue Forecast'!C105)</f>
        <v/>
      </c>
      <c r="D440" s="1234" t="inlineStr">
        <is>
          <t>Mt</t>
        </is>
      </c>
      <c r="E440" s="1233" t="inlineStr">
        <is>
          <t>Computed in-cell</t>
        </is>
      </c>
      <c r="F440" s="1233" t="inlineStr">
        <is>
          <t>'=C105</t>
        </is>
      </c>
      <c r="G440" s="1233" t="inlineStr">
        <is>
          <t>S12</t>
        </is>
      </c>
      <c r="H440" s="1233" t="inlineStr">
        <is>
          <t>26 Sources register; Master Industry Database source log (47 cited sources)</t>
        </is>
      </c>
      <c r="I440" s="1233" t="inlineStr">
        <is>
          <t>STAINLESS.</t>
        </is>
      </c>
      <c r="J440" s="1233" t="inlineStr">
        <is>
          <t>Realisation of roughly Rs 1,67,000/t and EBITDA per tonne of Rs 21,634 are not comparable with carbon steel and this company is EXCLUDED from the blended industry realisation anchor. Management guided FY2027 EBITDA per tonne to Rs 18,000-20,000, i.e.</t>
        </is>
      </c>
      <c r="K440" s="1233" t="inlineStr">
        <is>
          <t>BELOW the FY2026 outcome.. Basis: Consolidated deliveries. No tracked additions - volume growth comes from utilising capacity already built.</t>
        </is>
      </c>
      <c r="L440" s="1234" t="inlineStr">
        <is>
          <t>Medium</t>
        </is>
      </c>
      <c r="M440" s="1233" t="inlineStr">
        <is>
          <t>This sheet</t>
        </is>
      </c>
      <c r="N440" s="1233" t="inlineStr">
        <is>
          <t>Quarterly</t>
        </is>
      </c>
      <c r="O440" s="1234" t="inlineStr">
        <is>
          <t>FY2026A</t>
        </is>
      </c>
      <c r="P440" s="1233" t="inlineStr">
        <is>
          <t>Research block row 105. Value column is live and re-states on a scenario change.</t>
        </is>
      </c>
    </row>
    <row r="441" ht="46" customHeight="1" s="632">
      <c r="A441" s="1232" t="inlineStr">
        <is>
          <t>RF16</t>
        </is>
      </c>
      <c r="B441" s="1235" t="inlineStr">
        <is>
          <t>AM/NS India - volume</t>
        </is>
      </c>
      <c r="C441" s="1241">
        <f>IF(ISNUMBER('Revenue Forecast'!J106),'Revenue Forecast'!J106,'Revenue Forecast'!C106)</f>
        <v/>
      </c>
      <c r="D441" s="1236" t="inlineStr">
        <is>
          <t>Mt</t>
        </is>
      </c>
      <c r="E441" s="1235" t="inlineStr">
        <is>
          <t>Computed in-cell</t>
        </is>
      </c>
      <c r="F441" s="1235" t="inlineStr">
        <is>
          <t>'=C106</t>
        </is>
      </c>
      <c r="G441" s="1235" t="inlineStr">
        <is>
          <t>S13/S14</t>
        </is>
      </c>
      <c r="H441" s="1235" t="inlineStr">
        <is>
          <t>26 Sources register; Master Industry Database source log (47 cited sources)</t>
        </is>
      </c>
      <c r="I441" s="1235" t="inlineStr">
        <is>
          <t>Unlisted 60:40 joint venture.</t>
        </is>
      </c>
      <c r="J441" s="1235" t="inlineStr">
        <is>
          <t>All figures are 100% basis, USD, calendar quarters, converted at the derived FY2026 average USD/INR of 88.4. The fiscal-year figures are themselves derived by summing calendar quarters - Master DB Conflict C16..</t>
        </is>
      </c>
      <c r="K441" s="1235" t="inlineStr">
        <is>
          <t>Basis: Derived FY2026 shipments (sum of calendar quarters). Tracked additions: FY2029 +6.00 Mtpa, FY2032 +8.20 Mtpa</t>
        </is>
      </c>
      <c r="L441" s="1236" t="inlineStr">
        <is>
          <t>Medium</t>
        </is>
      </c>
      <c r="M441" s="1235" t="inlineStr">
        <is>
          <t>This sheet</t>
        </is>
      </c>
      <c r="N441" s="1235" t="inlineStr">
        <is>
          <t>Quarterly</t>
        </is>
      </c>
      <c r="O441" s="1236" t="inlineStr">
        <is>
          <t>FY2026A</t>
        </is>
      </c>
      <c r="P441" s="1235" t="inlineStr">
        <is>
          <t>Research block row 106. Value column is live and re-states on a scenario change.</t>
        </is>
      </c>
    </row>
    <row r="442" ht="46" customHeight="1" s="632">
      <c r="A442" s="1232" t="inlineStr">
        <is>
          <t>RF17</t>
        </is>
      </c>
      <c r="B442" s="1233" t="inlineStr">
        <is>
          <t>RINL - volume</t>
        </is>
      </c>
      <c r="C442" s="1242">
        <f>IF(ISNUMBER('Revenue Forecast'!J107),'Revenue Forecast'!J107,'Revenue Forecast'!C107)</f>
        <v/>
      </c>
      <c r="D442" s="1234" t="inlineStr">
        <is>
          <t>Mt</t>
        </is>
      </c>
      <c r="E442" s="1233" t="inlineStr">
        <is>
          <t>Computed in-cell</t>
        </is>
      </c>
      <c r="F442" s="1233" t="inlineStr">
        <is>
          <t>'=C107</t>
        </is>
      </c>
      <c r="G442" s="1233" t="inlineStr">
        <is>
          <t>S16</t>
        </is>
      </c>
      <c r="H442" s="1233" t="inlineStr">
        <is>
          <t>26 Sources register; Master Industry Database source log (47 cited sources)</t>
        </is>
      </c>
      <c r="I442" s="1233" t="inlineStr">
        <is>
          <t>Unlisted and wholly Government-owned.</t>
        </is>
      </c>
      <c r="J442" s="1233" t="inlineStr">
        <is>
          <t>No EBITDA, balance sheet or valuation data is publicly available, so RINL appears in the volume build only.. Basis: Standalone sales volume (issuer rounded).</t>
        </is>
      </c>
      <c r="K442" s="1233" t="inlineStr">
        <is>
          <t>No tracked additions - volume growth comes from utilising capacity already built.</t>
        </is>
      </c>
      <c r="L442" s="1234" t="inlineStr">
        <is>
          <t>Medium</t>
        </is>
      </c>
      <c r="M442" s="1233" t="inlineStr">
        <is>
          <t>This sheet</t>
        </is>
      </c>
      <c r="N442" s="1233" t="inlineStr">
        <is>
          <t>Quarterly</t>
        </is>
      </c>
      <c r="O442" s="1234" t="inlineStr">
        <is>
          <t>FY2026A</t>
        </is>
      </c>
      <c r="P442" s="1233" t="inlineStr">
        <is>
          <t>Research block row 107. Value column is live and re-states on a scenario change.</t>
        </is>
      </c>
    </row>
    <row r="443" ht="46" customHeight="1" s="632">
      <c r="A443" s="1232" t="inlineStr">
        <is>
          <t>RF18</t>
        </is>
      </c>
      <c r="B443" s="1235" t="inlineStr">
        <is>
          <t>Tata Steel - revenue</t>
        </is>
      </c>
      <c r="C443" s="1241">
        <f>IF(ISNUMBER('Revenue Forecast'!J111),'Revenue Forecast'!J111,'Revenue Forecast'!C111)</f>
        <v/>
      </c>
      <c r="D443" s="1236" t="inlineStr">
        <is>
          <t>Rs cr</t>
        </is>
      </c>
      <c r="E443" s="1235" t="inlineStr">
        <is>
          <t>Computed in-cell</t>
        </is>
      </c>
      <c r="F443" s="1235" t="inlineStr">
        <is>
          <t>'=D101*D95*1.03834/10</t>
        </is>
      </c>
      <c r="G443" s="1235" t="inlineStr">
        <is>
          <t>S08</t>
        </is>
      </c>
      <c r="H443" s="1235" t="inlineStr">
        <is>
          <t>26 Sources register; Master Industry Database source log (47 cited sources)</t>
        </is>
      </c>
      <c r="I443" s="1235" t="inlineStr">
        <is>
          <t>FY2026 realisation Rs 62,273/t = 1.04x the industry blend, held constant.</t>
        </is>
      </c>
      <c r="J443" s="1235" t="inlineStr">
        <is>
          <t>Basis: India.</t>
        </is>
      </c>
      <c r="K443" s="1235" t="inlineStr">
        <is>
          <t>Reconciled by 25 Audit Checks</t>
        </is>
      </c>
      <c r="L443" s="1236" t="inlineStr">
        <is>
          <t>Medium</t>
        </is>
      </c>
      <c r="M443" s="1235" t="inlineStr">
        <is>
          <t>This sheet</t>
        </is>
      </c>
      <c r="N443" s="1235" t="inlineStr">
        <is>
          <t>Quarterly</t>
        </is>
      </c>
      <c r="O443" s="1236" t="inlineStr">
        <is>
          <t>FY2026A</t>
        </is>
      </c>
      <c r="P443" s="1235" t="inlineStr">
        <is>
          <t>Research block row 111. Value column is live and re-states on a scenario change.</t>
        </is>
      </c>
    </row>
    <row r="444" ht="46" customHeight="1" s="632">
      <c r="A444" s="1232" t="inlineStr">
        <is>
          <t>RF19</t>
        </is>
      </c>
      <c r="B444" s="1233" t="inlineStr">
        <is>
          <t>JSW Steel - revenue</t>
        </is>
      </c>
      <c r="C444" s="1242">
        <f>IF(ISNUMBER('Revenue Forecast'!J112),'Revenue Forecast'!J112,'Revenue Forecast'!C112)</f>
        <v/>
      </c>
      <c r="D444" s="1234" t="inlineStr">
        <is>
          <t>Rs cr</t>
        </is>
      </c>
      <c r="E444" s="1233" t="inlineStr">
        <is>
          <t>Computed in-cell</t>
        </is>
      </c>
      <c r="F444" s="1233" t="inlineStr">
        <is>
          <t>'=D102*D95*1.013733/10</t>
        </is>
      </c>
      <c r="G444" s="1233" t="inlineStr">
        <is>
          <t>S09</t>
        </is>
      </c>
      <c r="H444" s="1233" t="inlineStr">
        <is>
          <t>26 Sources register; Master Industry Database source log (47 cited sources)</t>
        </is>
      </c>
      <c r="I444" s="1233" t="inlineStr">
        <is>
          <t>FY2026 realisation Rs 60,797/t = 1.01x the industry blend, held constant.</t>
        </is>
      </c>
      <c r="J444" s="1233" t="inlineStr">
        <is>
          <t>Basis: India operations.</t>
        </is>
      </c>
      <c r="K444" s="1233" t="inlineStr">
        <is>
          <t>Reconciled by 25 Audit Checks</t>
        </is>
      </c>
      <c r="L444" s="1234" t="inlineStr">
        <is>
          <t>Medium</t>
        </is>
      </c>
      <c r="M444" s="1233" t="inlineStr">
        <is>
          <t>This sheet</t>
        </is>
      </c>
      <c r="N444" s="1233" t="inlineStr">
        <is>
          <t>Quarterly</t>
        </is>
      </c>
      <c r="O444" s="1234" t="inlineStr">
        <is>
          <t>FY2026A</t>
        </is>
      </c>
      <c r="P444" s="1233" t="inlineStr">
        <is>
          <t>Research block row 112. Value column is live and re-states on a scenario change.</t>
        </is>
      </c>
    </row>
    <row r="445" ht="46" customHeight="1" s="632">
      <c r="A445" s="1232" t="inlineStr">
        <is>
          <t>RF20</t>
        </is>
      </c>
      <c r="B445" s="1235" t="inlineStr">
        <is>
          <t>SAIL - revenue</t>
        </is>
      </c>
      <c r="C445" s="1241">
        <f>IF(ISNUMBER('Revenue Forecast'!J113),'Revenue Forecast'!J113,'Revenue Forecast'!C113)</f>
        <v/>
      </c>
      <c r="D445" s="1236" t="inlineStr">
        <is>
          <t>Rs cr</t>
        </is>
      </c>
      <c r="E445" s="1235" t="inlineStr">
        <is>
          <t>Computed in-cell</t>
        </is>
      </c>
      <c r="F445" s="1235" t="inlineStr">
        <is>
          <t>'=D103*D95*0.92707/10</t>
        </is>
      </c>
      <c r="G445" s="1235" t="inlineStr">
        <is>
          <t>S10</t>
        </is>
      </c>
      <c r="H445" s="1235" t="inlineStr">
        <is>
          <t>26 Sources register; Master Industry Database source log (47 cited sources)</t>
        </is>
      </c>
      <c r="I445" s="1235" t="inlineStr">
        <is>
          <t>FY2026 realisation Rs 55,600/t = 0.93x the industry blend, held constant.</t>
        </is>
      </c>
      <c r="J445" s="1235" t="inlineStr">
        <is>
          <t>Basis: Consolidated.</t>
        </is>
      </c>
      <c r="K445" s="1235" t="inlineStr">
        <is>
          <t>Reconciled by 25 Audit Checks</t>
        </is>
      </c>
      <c r="L445" s="1236" t="inlineStr">
        <is>
          <t>Medium</t>
        </is>
      </c>
      <c r="M445" s="1235" t="inlineStr">
        <is>
          <t>This sheet</t>
        </is>
      </c>
      <c r="N445" s="1235" t="inlineStr">
        <is>
          <t>Quarterly</t>
        </is>
      </c>
      <c r="O445" s="1236" t="inlineStr">
        <is>
          <t>FY2026A</t>
        </is>
      </c>
      <c r="P445" s="1235" t="inlineStr">
        <is>
          <t>Research block row 113. Value column is live and re-states on a scenario change.</t>
        </is>
      </c>
    </row>
    <row r="446" ht="46" customHeight="1" s="632">
      <c r="A446" s="1232" t="inlineStr">
        <is>
          <t>RF21</t>
        </is>
      </c>
      <c r="B446" s="1233" t="inlineStr">
        <is>
          <t>Jindal Steel - revenue</t>
        </is>
      </c>
      <c r="C446" s="1242">
        <f>IF(ISNUMBER('Revenue Forecast'!J114),'Revenue Forecast'!J114,'Revenue Forecast'!C114)</f>
        <v/>
      </c>
      <c r="D446" s="1234" t="inlineStr">
        <is>
          <t>Rs cr</t>
        </is>
      </c>
      <c r="E446" s="1233" t="inlineStr">
        <is>
          <t>Computed in-cell</t>
        </is>
      </c>
      <c r="F446" s="1233" t="inlineStr">
        <is>
          <t>'=D104*D95*1.022428/10</t>
        </is>
      </c>
      <c r="G446" s="1233" t="inlineStr">
        <is>
          <t>S11</t>
        </is>
      </c>
      <c r="H446" s="1233" t="inlineStr">
        <is>
          <t>26 Sources register; Master Industry Database source log (47 cited sources)</t>
        </is>
      </c>
      <c r="I446" s="1233" t="inlineStr">
        <is>
          <t>FY2026 realisation Rs 61,319/t = 1.02x the industry blend, held constant.</t>
        </is>
      </c>
      <c r="J446" s="1233" t="inlineStr">
        <is>
          <t>Basis: Consolidated.</t>
        </is>
      </c>
      <c r="K446" s="1233" t="inlineStr">
        <is>
          <t>Reconciled by 25 Audit Checks</t>
        </is>
      </c>
      <c r="L446" s="1234" t="inlineStr">
        <is>
          <t>Medium</t>
        </is>
      </c>
      <c r="M446" s="1233" t="inlineStr">
        <is>
          <t>This sheet</t>
        </is>
      </c>
      <c r="N446" s="1233" t="inlineStr">
        <is>
          <t>Quarterly</t>
        </is>
      </c>
      <c r="O446" s="1234" t="inlineStr">
        <is>
          <t>FY2026A</t>
        </is>
      </c>
      <c r="P446" s="1233" t="inlineStr">
        <is>
          <t>Research block row 114. Value column is live and re-states on a scenario change.</t>
        </is>
      </c>
    </row>
    <row r="447" ht="46" customHeight="1" s="632">
      <c r="A447" s="1232" t="inlineStr">
        <is>
          <t>RF22</t>
        </is>
      </c>
      <c r="B447" s="1235" t="inlineStr">
        <is>
          <t>Jindal Stainless - revenue</t>
        </is>
      </c>
      <c r="C447" s="1241">
        <f>IF(ISNUMBER('Revenue Forecast'!J115),'Revenue Forecast'!J115,'Revenue Forecast'!C115)</f>
        <v/>
      </c>
      <c r="D447" s="1236" t="inlineStr">
        <is>
          <t>Rs cr</t>
        </is>
      </c>
      <c r="E447" s="1235" t="inlineStr">
        <is>
          <t>Computed in-cell</t>
        </is>
      </c>
      <c r="F447" s="1235" t="inlineStr">
        <is>
          <t>'=D105*D95*2.786876/10</t>
        </is>
      </c>
      <c r="G447" s="1235" t="inlineStr">
        <is>
          <t>S12</t>
        </is>
      </c>
      <c r="H447" s="1235" t="inlineStr">
        <is>
          <t>26 Sources register; Master Industry Database source log (47 cited sources)</t>
        </is>
      </c>
      <c r="I447" s="1235" t="inlineStr">
        <is>
          <t>FY2026 realisation Rs 167,140/t = 2.79x the industry blend, held constant.</t>
        </is>
      </c>
      <c r="J447" s="1235" t="inlineStr">
        <is>
          <t>Basis: Consolidated.</t>
        </is>
      </c>
      <c r="K447" s="1235" t="inlineStr">
        <is>
          <t>Reconciled by 25 Audit Checks</t>
        </is>
      </c>
      <c r="L447" s="1236" t="inlineStr">
        <is>
          <t>Medium</t>
        </is>
      </c>
      <c r="M447" s="1235" t="inlineStr">
        <is>
          <t>This sheet</t>
        </is>
      </c>
      <c r="N447" s="1235" t="inlineStr">
        <is>
          <t>Quarterly</t>
        </is>
      </c>
      <c r="O447" s="1236" t="inlineStr">
        <is>
          <t>FY2026A</t>
        </is>
      </c>
      <c r="P447" s="1235" t="inlineStr">
        <is>
          <t>Research block row 115. Value column is live and re-states on a scenario change.</t>
        </is>
      </c>
    </row>
    <row r="448" ht="46" customHeight="1" s="632">
      <c r="A448" s="1232" t="inlineStr">
        <is>
          <t>RF23</t>
        </is>
      </c>
      <c r="B448" s="1233" t="inlineStr">
        <is>
          <t>AM/NS India - revenue</t>
        </is>
      </c>
      <c r="C448" s="1242">
        <f>IF(ISNUMBER('Revenue Forecast'!J116),'Revenue Forecast'!J116,'Revenue Forecast'!C116)</f>
        <v/>
      </c>
      <c r="D448" s="1234" t="inlineStr">
        <is>
          <t>Rs cr</t>
        </is>
      </c>
      <c r="E448" s="1233" t="inlineStr">
        <is>
          <t>Computed in-cell</t>
        </is>
      </c>
      <c r="F448" s="1233" t="inlineStr">
        <is>
          <t>'=D106*D95*0.011457/10</t>
        </is>
      </c>
      <c r="G448" s="1233" t="inlineStr">
        <is>
          <t>S13/S14</t>
        </is>
      </c>
      <c r="H448" s="1233" t="inlineStr">
        <is>
          <t>26 Sources register; Master Industry Database source log (47 cited sources)</t>
        </is>
      </c>
      <c r="I448" s="1233" t="inlineStr">
        <is>
          <t>FY2026 realisation Rs 687/t = 0.01x the industry blend, held constant.</t>
        </is>
      </c>
      <c r="J448" s="1233" t="inlineStr">
        <is>
          <t>Basis: 100% basis, USD converted at the derived FY2026 average USD/INR of 88.4.</t>
        </is>
      </c>
      <c r="K448" s="1233" t="inlineStr">
        <is>
          <t>Reconciled by 25 Audit Checks</t>
        </is>
      </c>
      <c r="L448" s="1234" t="inlineStr">
        <is>
          <t>Medium</t>
        </is>
      </c>
      <c r="M448" s="1233" t="inlineStr">
        <is>
          <t>This sheet</t>
        </is>
      </c>
      <c r="N448" s="1233" t="inlineStr">
        <is>
          <t>Quarterly</t>
        </is>
      </c>
      <c r="O448" s="1234" t="inlineStr">
        <is>
          <t>FY2026A</t>
        </is>
      </c>
      <c r="P448" s="1233" t="inlineStr">
        <is>
          <t>Research block row 116. Value column is live and re-states on a scenario change.</t>
        </is>
      </c>
    </row>
    <row r="449" ht="46" customHeight="1" s="632">
      <c r="A449" s="1232" t="inlineStr">
        <is>
          <t>RF24</t>
        </is>
      </c>
      <c r="B449" s="1235" t="inlineStr">
        <is>
          <t>RINL - revenue</t>
        </is>
      </c>
      <c r="C449" s="1241">
        <f>IF(ISNUMBER('Revenue Forecast'!J117),'Revenue Forecast'!J117,'Revenue Forecast'!C117)</f>
        <v/>
      </c>
      <c r="D449" s="1236" t="inlineStr">
        <is>
          <t>Rs cr</t>
        </is>
      </c>
      <c r="E449" s="1235" t="inlineStr">
        <is>
          <t>Computed in-cell</t>
        </is>
      </c>
      <c r="F449" s="1235" t="inlineStr">
        <is>
          <t>'=D107*D95*0.845063/10</t>
        </is>
      </c>
      <c r="G449" s="1235" t="inlineStr">
        <is>
          <t>S16</t>
        </is>
      </c>
      <c r="H449" s="1235" t="inlineStr">
        <is>
          <t>26 Sources register; Master Industry Database source log (47 cited sources)</t>
        </is>
      </c>
      <c r="I449" s="1235" t="inlineStr">
        <is>
          <t>FY2026 realisation Rs 50,681/t = 0.85x the industry blend, held constant.</t>
        </is>
      </c>
      <c r="J449" s="1235" t="inlineStr">
        <is>
          <t>Basis: Turnover, basis not specified by issuer.</t>
        </is>
      </c>
      <c r="K449" s="1235" t="inlineStr">
        <is>
          <t>Reconciled by 25 Audit Checks</t>
        </is>
      </c>
      <c r="L449" s="1236" t="inlineStr">
        <is>
          <t>Medium</t>
        </is>
      </c>
      <c r="M449" s="1235" t="inlineStr">
        <is>
          <t>This sheet</t>
        </is>
      </c>
      <c r="N449" s="1235" t="inlineStr">
        <is>
          <t>Quarterly</t>
        </is>
      </c>
      <c r="O449" s="1236" t="inlineStr">
        <is>
          <t>FY2026A</t>
        </is>
      </c>
      <c r="P449" s="1235" t="inlineStr">
        <is>
          <t>Research block row 117. Value column is live and re-states on a scenario change.</t>
        </is>
      </c>
    </row>
    <row r="450" ht="46" customHeight="1" s="632">
      <c r="A450" s="1232" t="inlineStr">
        <is>
          <t>RF25</t>
        </is>
      </c>
      <c r="B450" s="1233" t="inlineStr">
        <is>
          <t>FY2026A revenue growth</t>
        </is>
      </c>
      <c r="C450" s="1233" t="n"/>
      <c r="D450" s="1234" t="inlineStr">
        <is>
          <t>%</t>
        </is>
      </c>
      <c r="E450" s="1233" t="inlineStr">
        <is>
          <t>NOT POPULATED - red fill (missing data)</t>
        </is>
      </c>
      <c r="F450" s="1233" t="inlineStr">
        <is>
          <t>(blank by design)</t>
        </is>
      </c>
      <c r="G450" s="1233" t="inlineStr">
        <is>
          <t>No reliable source located and no defensible basis for an estimate</t>
        </is>
      </c>
      <c r="H450" s="1233" t="inlineStr">
        <is>
          <t>n/a</t>
        </is>
      </c>
      <c r="I450" s="1233" t="inlineStr">
        <is>
          <t>None asserted. The cell is deliberately blank.</t>
        </is>
      </c>
      <c r="J450" s="1233" t="inlineStr">
        <is>
          <t>No FY2025 industry revenue aggregate exists; company revenues are not additive.</t>
        </is>
      </c>
      <c r="K450" s="1233" t="inlineStr">
        <is>
          <t>Excluded from every headline output and from the audit checks</t>
        </is>
      </c>
      <c r="L450" s="1234" t="inlineStr">
        <is>
          <t>n/a - unavailable</t>
        </is>
      </c>
      <c r="M450" s="1233" t="inlineStr">
        <is>
          <t>This sheet</t>
        </is>
      </c>
      <c r="N450" s="1233" t="inlineStr">
        <is>
          <t>Populate when a primary source becomes available</t>
        </is>
      </c>
      <c r="O450" s="1234" t="inlineStr">
        <is>
          <t>Not available</t>
        </is>
      </c>
      <c r="P450" s="1233" t="inlineStr">
        <is>
          <t>Red (missing) cells: B12</t>
        </is>
      </c>
    </row>
    <row r="451" ht="46" customHeight="1" s="632">
      <c r="A451" s="1232" t="inlineStr">
        <is>
          <t>RF26</t>
        </is>
      </c>
      <c r="B451" s="1235" t="inlineStr">
        <is>
          <t>Product-wise volume, revenue and share</t>
        </is>
      </c>
      <c r="C451" s="1235" t="n"/>
      <c r="D451" s="1236" t="inlineStr">
        <is>
          <t>Mt and Rs cr</t>
        </is>
      </c>
      <c r="E451" s="1235" t="inlineStr">
        <is>
          <t>NOT POPULATED - red fill (missing data)</t>
        </is>
      </c>
      <c r="F451" s="1235" t="inlineStr">
        <is>
          <t>(blank by design)</t>
        </is>
      </c>
      <c r="G451" s="1235" t="inlineStr">
        <is>
          <t>No reliable source located and no defensible basis for an estimate</t>
        </is>
      </c>
      <c r="H451" s="1235" t="inlineStr">
        <is>
          <t>n/a</t>
        </is>
      </c>
      <c r="I451" s="1235" t="inlineStr">
        <is>
          <t>None asserted. The cell is deliberately blank.</t>
        </is>
      </c>
      <c r="J451" s="1235" t="inlineStr">
        <is>
          <t>Domestic production and sales volumes BY PRODUCT are not published for India. The Joint Plant Committee reports total finished steel only; the product mix that does exist in the Master Industry Database is for TRADE volumes (imports and exports), not domestic sales. Since volume by product is unavailable, revenue and share by product cannot be computed either. The price row that IS available for HRC, rebar and billet is on 09 Steel Price Forecast rows 19, 21 and 24.</t>
        </is>
      </c>
      <c r="K451" s="1235" t="inlineStr">
        <is>
          <t>Excluded from every headline output and from the audit checks</t>
        </is>
      </c>
      <c r="L451" s="1236" t="inlineStr">
        <is>
          <t>n/a - unavailable</t>
        </is>
      </c>
      <c r="M451" s="1235" t="inlineStr">
        <is>
          <t>This sheet</t>
        </is>
      </c>
      <c r="N451" s="1235" t="inlineStr">
        <is>
          <t>Populate when a primary source becomes available</t>
        </is>
      </c>
      <c r="O451" s="1236" t="inlineStr">
        <is>
          <t>Not available</t>
        </is>
      </c>
      <c r="P451" s="1235" t="inlineStr">
        <is>
          <t>Red (missing) cells: B39:E46</t>
        </is>
      </c>
    </row>
    <row r="454" ht="18" customHeight="1" s="632">
      <c r="A454" s="1229" t="inlineStr">
        <is>
          <t>EBITDA Model  -  27 documented items  (EM01 - EM27)</t>
        </is>
      </c>
      <c r="B454" s="1161" t="n"/>
      <c r="C454" s="1161" t="n"/>
      <c r="D454" s="1161" t="n"/>
      <c r="E454" s="1161" t="n"/>
      <c r="F454" s="1161" t="n"/>
      <c r="G454" s="1161" t="n"/>
      <c r="H454" s="1161" t="n"/>
      <c r="I454" s="1161" t="n"/>
      <c r="J454" s="1161" t="n"/>
      <c r="K454" s="1161" t="n"/>
      <c r="L454" s="1161" t="n"/>
      <c r="M454" s="1161" t="n"/>
      <c r="N454" s="1161" t="n"/>
      <c r="O454" s="1161" t="n"/>
      <c r="P454" s="1161" t="n"/>
    </row>
    <row r="455" ht="24" customHeight="1" s="632">
      <c r="A455" s="1230" t="inlineStr">
        <is>
          <t>Every documented number on EBITDA Model. The Code column matches the Ref column on that sheet.</t>
        </is>
      </c>
    </row>
    <row r="456" ht="30" customHeight="1" s="632">
      <c r="A456" s="1231" t="inlineStr">
        <is>
          <t>Code</t>
        </is>
      </c>
      <c r="B456" s="1231" t="inlineStr">
        <is>
          <t>Model Item</t>
        </is>
      </c>
      <c r="C456" s="1231" t="inlineStr">
        <is>
          <t>Value</t>
        </is>
      </c>
      <c r="D456" s="1231" t="inlineStr">
        <is>
          <t>Unit</t>
        </is>
      </c>
      <c r="E456" s="1231" t="inlineStr">
        <is>
          <t>Calculation Method</t>
        </is>
      </c>
      <c r="F456" s="1231" t="inlineStr">
        <is>
          <t>Formula Used</t>
        </is>
      </c>
      <c r="G456" s="1231" t="inlineStr">
        <is>
          <t>Primary Source</t>
        </is>
      </c>
      <c r="H456" s="1231" t="inlineStr">
        <is>
          <t>Secondary Source</t>
        </is>
      </c>
      <c r="I456" s="1231" t="inlineStr">
        <is>
          <t>Assumption</t>
        </is>
      </c>
      <c r="J456" s="1231" t="inlineStr">
        <is>
          <t>Reasoning</t>
        </is>
      </c>
      <c r="K456" s="1231" t="inlineStr">
        <is>
          <t>Cross-check</t>
        </is>
      </c>
      <c r="L456" s="1231" t="inlineStr">
        <is>
          <t>Confidence Level</t>
        </is>
      </c>
      <c r="M456" s="1231" t="inlineStr">
        <is>
          <t>Linked Sheet</t>
        </is>
      </c>
      <c r="N456" s="1231" t="inlineStr">
        <is>
          <t>Update Frequency</t>
        </is>
      </c>
      <c r="O456" s="1231" t="inlineStr">
        <is>
          <t>Last Available Date</t>
        </is>
      </c>
      <c r="P456" s="1231" t="inlineStr">
        <is>
          <t>Comments</t>
        </is>
      </c>
    </row>
    <row r="457" ht="46" customHeight="1" s="632">
      <c r="A457" s="1232" t="inlineStr">
        <is>
          <t>EM01</t>
        </is>
      </c>
      <c r="B457" s="1233" t="inlineStr">
        <is>
          <t>EBITDA build-up - logistics, SG&amp;A and other opex</t>
        </is>
      </c>
      <c r="C457" s="1257">
        <f>'EBITDA Model'!H26</f>
        <v/>
      </c>
      <c r="D457" s="1234" t="inlineStr">
        <is>
          <t>Rs cr</t>
        </is>
      </c>
      <c r="E457" s="1233" t="inlineStr">
        <is>
          <t>Conversion cost grossed back up and re-split using the shared conversion shares in K19:K21</t>
        </is>
      </c>
      <c r="F457" s="1233" t="inlineStr">
        <is>
          <t>'=$D$19/(1-$K$19-$K$20-$K$21)*$K$19</t>
        </is>
      </c>
      <c r="G457" s="1233" t="inlineStr">
        <is>
          <t>Shared conversion cost mix - see gen/estimates.py and 11 Cost Curve</t>
        </is>
      </c>
      <c r="H457" s="1233" t="inlineStr">
        <is>
          <t>Identical shares are used by 11 Cost Curve and 14 Margin Analysis</t>
        </is>
      </c>
      <c r="I457" s="1233" t="inlineStr">
        <is>
          <t>Conversion cost is split into six components summing to 100%: power and fuel 18%, labour 18%, maintenance 14%, logistics 22%, other manufacturing 13% and selling, general and administrative 15%. The POWER share is not a free choice - it is set to reproduce the power cost per tonne that the bottom-up build on 10 Raw Material Forecast derives independently, from a published consumption coefficient of 0.55 MWh per tonne and a sourced industrial tariff. That the two agree is a genuine corroboration rather than an assumption. Logistics at 22% reflects inbound freight on ore, coal and flux plus outbound freight to the dealer network, in a country where the average haul from mine to mill runs to several hundred kilometres. Labour is high relative to global benchmarks because Indian mills are less automated; the model already assumes 2% annual labour productivity gains on the ESG sheet, which is the other side of the same observation.</t>
        </is>
      </c>
      <c r="J457" s="1233" t="inlineStr">
        <is>
          <t>Three columns across eight years were blank because logistics, SG&amp;A and other operating cost sit inside the conversion-cost block that the model indexes as a single line. They are now CARVED OUT of that block using the shared conversion mix, with the three shares in K19 to K21. The conversion-cost column D is reduced by exactly the amount the three new columns show, so TOTAL OPEX IN COLUMN H IS UNCHANGED and revenue less total opex still equals EBITDA exactly - which is the same statement as realisation less cash cost equals EBITDA per tonne, and is the cross-check that proves the unit bridge has not been broken.</t>
        </is>
      </c>
      <c r="K457" s="1233" t="inlineStr">
        <is>
          <t>COLUMN B LESS COLUMN H MUST STILL EQUAL COLUMN I in every year, independently tested by check A12 on 25 Audit Checks and by the bridge closures in tools/audit.py</t>
        </is>
      </c>
      <c r="L457" s="1234" t="inlineStr">
        <is>
          <t>Low for the split, High for the total it redistributes</t>
        </is>
      </c>
      <c r="M457" s="1233" t="inlineStr">
        <is>
          <t>Cost Curve, Model Assumptions, Steel Supply Model</t>
        </is>
      </c>
      <c r="N457" s="1233" t="inlineStr">
        <is>
          <t>Annually</t>
        </is>
      </c>
      <c r="O457" s="1234" t="inlineStr">
        <is>
          <t>FY2026A</t>
        </is>
      </c>
      <c r="P457" s="1233" t="inlineStr">
        <is>
          <t>Populated by modelling rather than left blank; the basis is stated in the Assumption column so it can be replaced with a sourced series when one exists.</t>
        </is>
      </c>
    </row>
    <row r="458" ht="46" customHeight="1" s="632">
      <c r="A458" s="1232" t="inlineStr">
        <is>
          <t>EM02</t>
        </is>
      </c>
      <c r="B458" s="1235" t="inlineStr">
        <is>
          <t>EBITDA build-up</t>
        </is>
      </c>
      <c r="C458" s="1258">
        <f>'EBITDA Model'!I26</f>
        <v/>
      </c>
      <c r="D458" s="1236" t="inlineStr">
        <is>
          <t>Rs cr</t>
        </is>
      </c>
      <c r="E458" s="1235" t="inlineStr">
        <is>
          <t>Computed in-cell: revenue less raw material cost less conversion cost</t>
        </is>
      </c>
      <c r="F458" s="1235" t="inlineStr">
        <is>
          <t>'='Cost Curve'!C80*'Model Assumptions'!D$20*'Steel Supply Model'!C101/10</t>
        </is>
      </c>
      <c r="G458" s="1235" t="inlineStr">
        <is>
          <t>Computed from the model</t>
        </is>
      </c>
      <c r="H458" s="1235" t="inlineStr">
        <is>
          <t>Research block row 103</t>
        </is>
      </c>
      <c r="I458" s="1235" t="inlineStr">
        <is>
          <t>Total opex is raw material plus conversion, i.e. cash cost per tonne multiplied by finished production. There is no third cost block.</t>
        </is>
      </c>
      <c r="J458" s="1235" t="inlineStr">
        <is>
          <t>Revenue less total opex must equal EBITDA exactly, which is the same statement as realisation less cash cost equals EBITDA per tonne. Building it in Rs crore as well as Rs/t is the cross-check that the unit bridge (Rs/t x Mt / 10 = Rs cr) has not been broken anywhere.</t>
        </is>
      </c>
      <c r="K458" s="1235" t="inlineStr">
        <is>
          <t>Column B less column H must equal column I in every year; independently tested by check A12 on 25 Audit Checks</t>
        </is>
      </c>
      <c r="L458" s="1236" t="inlineStr">
        <is>
          <t>High</t>
        </is>
      </c>
      <c r="M458" s="1235" t="inlineStr">
        <is>
          <t>Revenue Forecast, Cost Curve, Steel Supply Model, Model Assumptions</t>
        </is>
      </c>
      <c r="N458" s="1235" t="inlineStr">
        <is>
          <t>Live</t>
        </is>
      </c>
      <c r="O458" s="1236" t="inlineStr">
        <is>
          <t>FY2026A</t>
        </is>
      </c>
      <c r="P458" s="1235" t="inlineStr">
        <is>
          <t>Was entirely blank.</t>
        </is>
      </c>
    </row>
    <row r="459" ht="46" customHeight="1" s="632">
      <c r="A459" s="1232" t="inlineStr">
        <is>
          <t>EM03</t>
        </is>
      </c>
      <c r="B459" s="1233" t="inlineStr">
        <is>
          <t>Cost bridge in Rs crore</t>
        </is>
      </c>
      <c r="C459" s="1257">
        <f>'EBITDA Model'!B42</f>
        <v/>
      </c>
      <c r="D459" s="1234" t="inlineStr">
        <is>
          <t>Rs cr</t>
        </is>
      </c>
      <c r="E459" s="1233" t="inlineStr">
        <is>
          <t>Shared cost shares on 11 Cost Curve applied to cash cost and finished production</t>
        </is>
      </c>
      <c r="F459" s="1233" t="inlineStr">
        <is>
          <t>'='Cost Curve'!$J$38*'Cost Curve'!$C$80*'Model Assumptions'!$D$20*'Steel Supply Model'!$C$101/10</t>
        </is>
      </c>
      <c r="G459" s="1233" t="inlineStr">
        <is>
          <t>Shared cost mix - one definition, referenced by four sheets</t>
        </is>
      </c>
      <c r="H459" s="1233" t="inlineStr">
        <is>
          <t>11 Cost Curve states the identical split per tonne</t>
        </is>
      </c>
      <c r="I459" s="1233" t="inlineStr">
        <is>
          <t>Iron ore at 45% and the coking coal group at 45% are drivers D13 and D14, not estimates. The coking coal group is split 42.2% coking coal and 2.8% PCI coal, which is the ratio their costs come out at in the bottom-up consumption build on 10 Raw Material Forecast - 0.55 t/t of coking coal against 0.06 t/t of PCI at a 38% discount. The residual 10% is fluxes. SCRAP IS ZERO, and deliberately so: the model's raw material basket has no scrap line, and a zero states that limitation in the table where a reader is looking for it. It is the same zero already disclosed on the raw material sensitivity block, and the two are consistent by construction because both read this one definition. Conversion cost is split into six components summing to 100%: power and fuel 18%, labour 18%, maintenance 14%, logistics 22%, other manufacturing 13% and selling, general and administrative 15%. The POWER share is not a free choice - it is set to reproduce the power cost per tonne that the bottom-up build on 10 Raw Material Forecast derives independently, from a published consumption coefficient of 0.55 MWh per tonne and a sourced industrial tariff. That the two agree is a genuine corroboration rather than an assumption. Logistics at 22% reflects inbound freight on ore, coal and flux plus outbound freight to the dealer network, in a country where the average haul from mine to mill runs to several hundred kilometres. Labour is high relative to global benchmarks because Indian mills are less automated; the model already assumes 2% annual labour productivity gains on the ESG sheet, which is the other side of the same observation.</t>
        </is>
      </c>
      <c r="J459" s="1233" t="inlineStr">
        <is>
          <t>Seven of the eleven cost components were blank. They now read the SAME shares that 11 Cost Curve uses, held in columns J and K of that sheet, multiplied by cash cost and finished production. The two sheets therefore state one cost split in two units - Rs/t on the cost curve and Rs crore here - and cannot disagree, because there is only one set of shares. Row 42 is a live SUM of all eleven components and must equal total opex.</t>
        </is>
      </c>
      <c r="K459" s="1233" t="inlineStr">
        <is>
          <t>Row 42 must equal cash cost multiplied by finished production, and must equal total opex on row 19 column H</t>
        </is>
      </c>
      <c r="L459" s="1234" t="inlineStr">
        <is>
          <t>Low for the split, High for the total</t>
        </is>
      </c>
      <c r="M459" s="1233" t="inlineStr">
        <is>
          <t>Cost Curve, Model Assumptions, Steel Supply Model</t>
        </is>
      </c>
      <c r="N459" s="1233" t="inlineStr">
        <is>
          <t>Annually</t>
        </is>
      </c>
      <c r="O459" s="1234" t="inlineStr">
        <is>
          <t>FY2026A</t>
        </is>
      </c>
      <c r="P459" s="1233" t="inlineStr">
        <is>
          <t>Populated by modelling rather than left blank; the basis is stated in the Assumption column so it can be replaced with a sourced series when one exists.</t>
        </is>
      </c>
    </row>
    <row r="460" ht="46" customHeight="1" s="632">
      <c r="A460" s="1232" t="inlineStr">
        <is>
          <t>EM04</t>
        </is>
      </c>
      <c r="B460" s="1235" t="inlineStr">
        <is>
          <t>EBITDA bridge - energy and logistics effects</t>
        </is>
      </c>
      <c r="C460" s="1258">
        <f>'EBITDA Model'!H51</f>
        <v/>
      </c>
      <c r="D460" s="1236" t="inlineStr">
        <is>
          <t>Rs cr</t>
        </is>
      </c>
      <c r="E460" s="1235" t="inlineStr">
        <is>
          <t>Conversion-cost effect apportioned at the shared power and logistics shares</t>
        </is>
      </c>
      <c r="F460" s="1235" t="inlineStr">
        <is>
          <t>'=B53/(1-'Cost Curve'!$K$43-'Cost Curve'!$K$46)*'Cost Curve'!$K$43</t>
        </is>
      </c>
      <c r="G460" s="1235" t="inlineStr">
        <is>
          <t>Shared conversion cost mix on 11 Cost Curve</t>
        </is>
      </c>
      <c r="H460" s="1235" t="inlineStr">
        <is>
          <t>Same shares used by the EBITDA build-up above and by 14 Margin Analysis</t>
        </is>
      </c>
      <c r="I460" s="1235" t="inlineStr">
        <is>
          <t>Conversion cost is split into six components summing to 100%: power and fuel 18%, labour 18%, maintenance 14%, logistics 22%, other manufacturing 13% and selling, general and administrative 15%. The POWER share is not a free choice - it is set to reproduce the power cost per tonne that the bottom-up build on 10 Raw Material Forecast derives independently, from a published consumption coefficient of 0.55 MWh per tonne and a sourced industrial tariff. That the two agree is a genuine corroboration rather than an assumption. Logistics at 22% reflects inbound freight on ore, coal and flux plus outbound freight to the dealer network, in a country where the average haul from mine to mill runs to several hundred kilometres. Labour is high relative to global benchmarks because Indian mills are less automated; the model already assumes 2% annual labour productivity gains on the ESG sheet, which is the other side of the same observation.</t>
        </is>
      </c>
      <c r="J460" s="1235" t="inlineStr">
        <is>
          <t>Two rows across seven years were blank because energy and logistics sit inside the conversion-cost effect. They are now carved out of it at the shared power and logistics shares, and the conversion-cost effect on row 53 is reduced by exactly that amount, so ROWS 47 TO 54 STILL SUM TO ROW 55 - the bridge closes exactly as before. This is the same treatment applied on the cost build-up and the EBITDA build-up, using the same two shares, so all three tell one story.</t>
        </is>
      </c>
      <c r="K460" s="1235" t="inlineStr">
        <is>
          <t>ROWS 47 TO 54 MUST SUM TO ROW 55, verified by the bridge closures in tools/audit.py</t>
        </is>
      </c>
      <c r="L460" s="1236" t="inlineStr">
        <is>
          <t>Low for the split, High for the total it redistributes</t>
        </is>
      </c>
      <c r="M460" s="1235" t="inlineStr">
        <is>
          <t>Cost Curve, Model Assumptions</t>
        </is>
      </c>
      <c r="N460" s="1235" t="inlineStr">
        <is>
          <t>Annually</t>
        </is>
      </c>
      <c r="O460" s="1236" t="inlineStr">
        <is>
          <t>FY2026A</t>
        </is>
      </c>
      <c r="P460" s="1235" t="inlineStr">
        <is>
          <t>Populated by modelling rather than left blank; the basis is stated in the Assumption column so it can be replaced with a sourced series when one exists.</t>
        </is>
      </c>
    </row>
    <row r="461" ht="46" customHeight="1" s="632">
      <c r="A461" s="1232" t="inlineStr">
        <is>
          <t>EM05</t>
        </is>
      </c>
      <c r="B461" s="1233" t="inlineStr">
        <is>
          <t>EBITDA bridge</t>
        </is>
      </c>
      <c r="C461" s="1257">
        <f>'EBITDA Model'!H55</f>
        <v/>
      </c>
      <c r="D461" s="1234" t="inlineStr">
        <is>
          <t>Rs cr</t>
        </is>
      </c>
      <c r="E461" s="1233" t="inlineStr">
        <is>
          <t>Exact decomposition: volume at prior-year EBITDA per tonne, plus price, less the raw material and conversion components of the cost change, all at current volume</t>
        </is>
      </c>
      <c r="F461" s="1233" t="inlineStr">
        <is>
          <t>'=(D102-C102)*C101/10 ; =D102*(D99-C99)/10 ; =-D102*d(cash cost x RM share)/10</t>
        </is>
      </c>
      <c r="G461" s="1233" t="inlineStr">
        <is>
          <t>Computed from the model</t>
        </is>
      </c>
      <c r="H461" s="1233" t="inlineStr">
        <is>
          <t>Research block row 103</t>
        </is>
      </c>
      <c r="I461" s="1233" t="inlineStr">
        <is>
          <t>MIX EFFECT is zero by construction - there is one blended realisation and one blended cash cost.</t>
        </is>
      </c>
      <c r="J461" s="1233" t="inlineStr">
        <is>
          <t>The decomposition is algebraically exact: d(V x (P-C)/10) = dV x (P0-C0)/10 + V1 x (dP - dC)/10, and dC is split into its raw material and conversion parts, which sum to dC without residual. This is the table that answers "why did EBITDA move" - and across most of the horizon the answer is that the price effect dominates, because realisation is the model's single largest lever.</t>
        </is>
      </c>
      <c r="K461" s="1233" t="inlineStr">
        <is>
          <t>Rows 47 + 48 + 49 + 50 + 53 + 54 must equal row 55 in every year</t>
        </is>
      </c>
      <c r="L461" s="1234" t="inlineStr">
        <is>
          <t>High</t>
        </is>
      </c>
      <c r="M461" s="1233" t="inlineStr">
        <is>
          <t>Cost Curve, Model Assumptions</t>
        </is>
      </c>
      <c r="N461" s="1233" t="inlineStr">
        <is>
          <t>Live</t>
        </is>
      </c>
      <c r="O461" s="1234" t="inlineStr">
        <is>
          <t>Live</t>
        </is>
      </c>
      <c r="P461" s="1233" t="inlineStr">
        <is>
          <t>Was entirely blank.</t>
        </is>
      </c>
    </row>
    <row r="462" ht="46" customHeight="1" s="632">
      <c r="A462" s="1232" t="inlineStr">
        <is>
          <t>EM06</t>
        </is>
      </c>
      <c r="B462" s="1235" t="inlineStr">
        <is>
          <t>Company EBITDA benchmark, FY2026A</t>
        </is>
      </c>
      <c r="C462" s="1245">
        <f>'EBITDA Model'!D72</f>
        <v/>
      </c>
      <c r="D462" s="1236" t="inlineStr">
        <is>
          <t>%</t>
        </is>
      </c>
      <c r="E462" s="1235" t="inlineStr">
        <is>
          <t>Cross-sheet reference to the company EBITDA build in the research block; Others is a residual</t>
        </is>
      </c>
      <c r="F462" s="1235" t="inlineStr">
        <is>
          <t>'='Revenue Forecast'!$C$111 and =$C$118</t>
        </is>
      </c>
      <c r="G462" s="1235" t="inlineStr">
        <is>
          <t>Company results releases, standardised in the Master Industry Database EBITDA sheet</t>
        </is>
      </c>
      <c r="H462" s="1235" t="inlineStr">
        <is>
          <t>Master Industry Database EBITDA per Ton sheet</t>
        </is>
      </c>
      <c r="I462" s="1235" t="inlineStr">
        <is>
          <t>Standardised EBITDA is used, not company-headlined EBITDA, so the four names are comparable.</t>
        </is>
      </c>
      <c r="J462" s="1235" t="inlineStr">
        <is>
          <t>Tata Steel India earns Rs 15,213/t against SAIL at Rs 6,596/t - a 2.3x gap on the same tonne of steel. That gap, not the cost curve, is the real dispersion in this industry, and it comes from product mix and captive raw material rather than from conversion efficiency.</t>
        </is>
      </c>
      <c r="K462" s="1235" t="inlineStr">
        <is>
          <t>Volume-weighted company EBITDA per tonne must return the industry figure of Rs 10,733/t</t>
        </is>
      </c>
      <c r="L462" s="1236" t="inlineStr">
        <is>
          <t>High for the four majors, Low for the residual</t>
        </is>
      </c>
      <c r="M462" s="1235" t="inlineStr">
        <is>
          <t>Revenue Forecast, Steel Supply Model</t>
        </is>
      </c>
      <c r="N462" s="1235" t="inlineStr">
        <is>
          <t>Quarterly</t>
        </is>
      </c>
      <c r="O462" s="1236" t="inlineStr">
        <is>
          <t>FY2026A</t>
        </is>
      </c>
      <c r="P462" s="1235" t="inlineStr">
        <is>
          <t>CAUTION: SAIL EBITDA is disclosed STANDALONE while its revenue is consolidated, so its margin is understated. AM/NS India carries the currency-unit defect noted on 12 Revenue Forecast. Both sit in the research block and were not altered.</t>
        </is>
      </c>
    </row>
    <row r="463" ht="46" customHeight="1" s="632">
      <c r="A463" s="1232" t="inlineStr">
        <is>
          <t>EM07</t>
        </is>
      </c>
      <c r="B463" s="1233" t="inlineStr">
        <is>
          <t>Margin walk</t>
        </is>
      </c>
      <c r="C463" s="1244">
        <f>'EBITDA Model'!H82</f>
        <v/>
      </c>
      <c r="D463" s="1234" t="inlineStr">
        <is>
          <t>%</t>
        </is>
      </c>
      <c r="E463" s="1233" t="inlineStr">
        <is>
          <t>Computed in-cell at four levels: gross (after raw material only), EBITDA, operating (after depreciation) and cash (after cash tax)</t>
        </is>
      </c>
      <c r="F463" s="1233" t="inlineStr">
        <is>
          <t>'=('Revenue Forecast'!D96-raw material cost)/'Revenue Forecast'!D96</t>
        </is>
      </c>
      <c r="G463" s="1233" t="inlineStr">
        <is>
          <t>Computed from the model</t>
        </is>
      </c>
      <c r="H463" s="1233" t="inlineStr">
        <is>
          <t>14 Margin Analysis row 91 for the EBITDA line; 16 Cash Flow Model rows 96 to 102</t>
        </is>
      </c>
      <c r="I463" s="1233" t="inlineStr">
        <is>
          <t>Gross margin is defined as after RAW MATERIAL cost only, because that is the only cost block the model separates.</t>
        </is>
      </c>
      <c r="J463" s="1233" t="inlineStr">
        <is>
          <t>The walk shows how much of the EBITDA margin survives capital intensity: EBITDA margin of about 16.8% in FY2033E becomes an operating margin of roughly 11.5% after depreciation at 5.3% of revenue. For an industry that must fund Rs 55,000/t of new capacity, that gap is the whole investment question.</t>
        </is>
      </c>
      <c r="K463" s="1233" t="inlineStr">
        <is>
          <t>The EBITDA line must equal 14 Margin Analysis row 91; the operating line must equal EBIT divided by revenue on 16 Cash Flow Model</t>
        </is>
      </c>
      <c r="L463" s="1234" t="inlineStr">
        <is>
          <t>High</t>
        </is>
      </c>
      <c r="M463" s="1233" t="inlineStr">
        <is>
          <t>Revenue Forecast, Margin Analysis, Cash Flow Model, Cost Curve</t>
        </is>
      </c>
      <c r="N463" s="1233" t="inlineStr">
        <is>
          <t>Live</t>
        </is>
      </c>
      <c r="O463" s="1234" t="inlineStr">
        <is>
          <t>Live</t>
        </is>
      </c>
      <c r="P463" s="1233" t="inlineStr">
        <is>
          <t>Was entirely blank.</t>
        </is>
      </c>
    </row>
    <row r="464" ht="46" customHeight="1" s="632">
      <c r="A464" s="1232" t="inlineStr">
        <is>
          <t>EM08</t>
        </is>
      </c>
      <c r="B464" s="1235" t="inlineStr">
        <is>
          <t>Four-scenario EBITDA path</t>
        </is>
      </c>
      <c r="C464" s="1258">
        <f>'EBITDA Model'!B95</f>
        <v/>
      </c>
      <c r="D464" s="1236" t="inlineStr">
        <is>
          <t>Rs cr</t>
        </is>
      </c>
      <c r="E464" s="1235" t="inlineStr">
        <is>
          <t>Cross-sheet reference to the scenario engine on 24 Scenario Manager</t>
        </is>
      </c>
      <c r="F464" s="1235" t="inlineStr">
        <is>
          <t>'='Scenario Manager'!$J$&lt;engine row&gt;</t>
        </is>
      </c>
      <c r="G464" s="1235" t="inlineStr">
        <is>
          <t>Rebuilt live from the scenario driver matrix on 02 Model Assumptions</t>
        </is>
      </c>
      <c r="H464" s="1235" t="inlineStr">
        <is>
          <t>Independent tie-out on 24 Scenario Manager row 78</t>
        </is>
      </c>
      <c r="I464" s="1235" t="inlineStr">
        <is>
          <t>EBITDA is finished production multiplied by EBITDA per tonne, divided by ten.</t>
        </is>
      </c>
      <c r="J464" s="1235" t="inlineStr">
        <is>
          <t>THE HEADLINE OUTPUT OF THE WORKBOOK. The FY2033E range is Rs 1.22 lakh crore (Bear) to Rs 5.35 lakh crore (Bull) - a 4.4x spread against a revenue spread of only 1.4x. That gearing is the reason this model exists: a steel industry valuation is a bet on the spread, not on volume.</t>
        </is>
      </c>
      <c r="K464" s="1235" t="inlineStr">
        <is>
          <t>FY2033E must equal 3,15,788 / 5,35,067 / 1,22,426 / 1,57,106 Rs cr, the independently computed tie-out values</t>
        </is>
      </c>
      <c r="L464" s="1236" t="inlineStr">
        <is>
          <t>High</t>
        </is>
      </c>
      <c r="M464" s="1235" t="inlineStr">
        <is>
          <t>Scenario Manager</t>
        </is>
      </c>
      <c r="N464" s="1235" t="inlineStr">
        <is>
          <t>Live</t>
        </is>
      </c>
      <c r="O464" s="1236" t="inlineStr">
        <is>
          <t>Live</t>
        </is>
      </c>
      <c r="P464" s="1235" t="inlineStr">
        <is>
          <t>Was entirely blank.</t>
        </is>
      </c>
    </row>
    <row r="465" ht="46" customHeight="1" s="632">
      <c r="A465" s="1232" t="inlineStr">
        <is>
          <t>EM09</t>
        </is>
      </c>
      <c r="B465" s="1233" t="inlineStr">
        <is>
          <t>Blended realisation - effective</t>
        </is>
      </c>
      <c r="C465" s="1242">
        <f>IF(ISNUMBER('EBITDA Model'!J99),'EBITDA Model'!J99,'EBITDA Model'!C99)</f>
        <v/>
      </c>
      <c r="D465" s="1234" t="inlineStr">
        <is>
          <t>Rs/t</t>
        </is>
      </c>
      <c r="E465" s="1233" t="inlineStr">
        <is>
          <t>Cross-sheet reference (linked, not re-entered)</t>
        </is>
      </c>
      <c r="F465" s="1233" t="inlineStr">
        <is>
          <t>'='Steel Price Forecast'!D$103</t>
        </is>
      </c>
      <c r="G465" s="1233" t="inlineStr">
        <is>
          <t>09 Price</t>
        </is>
      </c>
      <c r="H465" s="1233" t="inlineStr">
        <is>
          <t>26 Sources register; Master Industry Database source log (47 cited sources)</t>
        </is>
      </c>
      <c r="I465" s="1233" t="n"/>
      <c r="J465" s="1233" t="n"/>
      <c r="K465" s="1233" t="inlineStr">
        <is>
          <t>Reconciled by 25 Audit Checks</t>
        </is>
      </c>
      <c r="L465" s="1234" t="inlineStr">
        <is>
          <t>Medium</t>
        </is>
      </c>
      <c r="M465" s="1233" t="inlineStr">
        <is>
          <t>Steel Price Forecast</t>
        </is>
      </c>
      <c r="N465" s="1233" t="inlineStr">
        <is>
          <t>Recalculates live with the model</t>
        </is>
      </c>
      <c r="O465" s="1234" t="inlineStr">
        <is>
          <t>Live</t>
        </is>
      </c>
      <c r="P465" s="1233" t="inlineStr">
        <is>
          <t>Research block row 99. Value column is live and re-states on a scenario change.</t>
        </is>
      </c>
    </row>
    <row r="466" ht="46" customHeight="1" s="632">
      <c r="A466" s="1232" t="inlineStr">
        <is>
          <t>EM10</t>
        </is>
      </c>
      <c r="B466" s="1235" t="inlineStr">
        <is>
          <t>Industry cash cost per tonne</t>
        </is>
      </c>
      <c r="C466" s="1241">
        <f>IF(ISNUMBER('EBITDA Model'!J100),'EBITDA Model'!J100,'EBITDA Model'!C100)</f>
        <v/>
      </c>
      <c r="D466" s="1236" t="inlineStr">
        <is>
          <t>Rs/t</t>
        </is>
      </c>
      <c r="E466" s="1235" t="inlineStr">
        <is>
          <t>Cross-sheet reference (linked, not re-entered)</t>
        </is>
      </c>
      <c r="F466" s="1235" t="inlineStr">
        <is>
          <t>'='Cost Curve'!D$80</t>
        </is>
      </c>
      <c r="G466" s="1235" t="inlineStr">
        <is>
          <t>11 Cost Curve</t>
        </is>
      </c>
      <c r="H466" s="1235" t="inlineStr">
        <is>
          <t>26 Sources register; Master Industry Database source log (47 cited sources)</t>
        </is>
      </c>
      <c r="I466" s="1235" t="n"/>
      <c r="J466" s="1235" t="n"/>
      <c r="K466" s="1235" t="inlineStr">
        <is>
          <t>Reconciled by 25 Audit Checks</t>
        </is>
      </c>
      <c r="L466" s="1236" t="inlineStr">
        <is>
          <t>Medium</t>
        </is>
      </c>
      <c r="M466" s="1235" t="inlineStr">
        <is>
          <t>Cost Curve</t>
        </is>
      </c>
      <c r="N466" s="1235" t="inlineStr">
        <is>
          <t>Recalculates live with the model</t>
        </is>
      </c>
      <c r="O466" s="1236" t="inlineStr">
        <is>
          <t>Live</t>
        </is>
      </c>
      <c r="P466" s="1235" t="inlineStr">
        <is>
          <t>Research block row 100. Value column is live and re-states on a scenario change.</t>
        </is>
      </c>
    </row>
    <row r="467" ht="46" customHeight="1" s="632">
      <c r="A467" s="1232" t="inlineStr">
        <is>
          <t>EM11</t>
        </is>
      </c>
      <c r="B467" s="1233" t="inlineStr">
        <is>
          <t>INDUSTRY EBITDA PER TONNE</t>
        </is>
      </c>
      <c r="C467" s="1242">
        <f>IF(ISNUMBER('EBITDA Model'!J101),'EBITDA Model'!J101,'EBITDA Model'!C101)</f>
        <v/>
      </c>
      <c r="D467" s="1234" t="inlineStr">
        <is>
          <t>Rs/t</t>
        </is>
      </c>
      <c r="E467" s="1233" t="inlineStr">
        <is>
          <t>Computed in-cell</t>
        </is>
      </c>
      <c r="F467" s="1233" t="inlineStr">
        <is>
          <t>'=D99-D100</t>
        </is>
      </c>
      <c r="G467" s="1233" t="inlineStr">
        <is>
          <t>Computed</t>
        </is>
      </c>
      <c r="H467" s="1233" t="inlineStr">
        <is>
          <t>26 Sources register; Master Industry Database source log (47 cited sources)</t>
        </is>
      </c>
      <c r="I467" s="1233" t="inlineStr">
        <is>
          <t>FY2026A of Rs 10,733/t is the volume-weighted actual across the four majors.</t>
        </is>
      </c>
      <c r="J467" s="1233" t="inlineStr">
        <is>
          <t>Reconciliation: Rs 10,733/t x 79.90 Mt = Rs 85,759 cr against the Rs 86,318 cr sum of reported EBITDAs, a 0.6% rounding difference.</t>
        </is>
      </c>
      <c r="K467" s="1233" t="inlineStr">
        <is>
          <t>Reconciled by 25 Audit Checks</t>
        </is>
      </c>
      <c r="L467" s="1234" t="inlineStr">
        <is>
          <t>Medium</t>
        </is>
      </c>
      <c r="M467" s="1233" t="inlineStr">
        <is>
          <t>This sheet</t>
        </is>
      </c>
      <c r="N467" s="1233" t="inlineStr">
        <is>
          <t>Recalculates live with the model</t>
        </is>
      </c>
      <c r="O467" s="1234" t="inlineStr">
        <is>
          <t>Live</t>
        </is>
      </c>
      <c r="P467" s="1233" t="inlineStr">
        <is>
          <t>Research block row 101. Value column is live and re-states on a scenario change.</t>
        </is>
      </c>
    </row>
    <row r="468" ht="46" customHeight="1" s="632">
      <c r="A468" s="1232" t="inlineStr">
        <is>
          <t>EM12</t>
        </is>
      </c>
      <c r="B468" s="1235" t="inlineStr">
        <is>
          <t>Finished steel production</t>
        </is>
      </c>
      <c r="C468" s="1241">
        <f>IF(ISNUMBER('EBITDA Model'!J102),'EBITDA Model'!J102,'EBITDA Model'!C102)</f>
        <v/>
      </c>
      <c r="D468" s="1236" t="inlineStr">
        <is>
          <t>Mt</t>
        </is>
      </c>
      <c r="E468" s="1235" t="inlineStr">
        <is>
          <t>Cross-sheet reference (linked, not re-entered)</t>
        </is>
      </c>
      <c r="F468" s="1235" t="inlineStr">
        <is>
          <t>'='Steel Supply Model'!D$101</t>
        </is>
      </c>
      <c r="G468" s="1235" t="inlineStr">
        <is>
          <t>05 Supply</t>
        </is>
      </c>
      <c r="H468" s="1235" t="inlineStr">
        <is>
          <t>26 Sources register; Master Industry Database source log (47 cited sources)</t>
        </is>
      </c>
      <c r="I468" s="1235" t="n"/>
      <c r="J468" s="1235" t="n"/>
      <c r="K468" s="1235" t="inlineStr">
        <is>
          <t>Reconciled by 25 Audit Checks</t>
        </is>
      </c>
      <c r="L468" s="1236" t="inlineStr">
        <is>
          <t>High</t>
        </is>
      </c>
      <c r="M468" s="1235" t="inlineStr">
        <is>
          <t>Steel Supply Model</t>
        </is>
      </c>
      <c r="N468" s="1235" t="inlineStr">
        <is>
          <t>Recalculates live with the model</t>
        </is>
      </c>
      <c r="O468" s="1236" t="inlineStr">
        <is>
          <t>Live</t>
        </is>
      </c>
      <c r="P468" s="1235" t="inlineStr">
        <is>
          <t>Research block row 102. Value column is live and re-states on a scenario change.</t>
        </is>
      </c>
    </row>
    <row r="469" ht="46" customHeight="1" s="632">
      <c r="A469" s="1232" t="inlineStr">
        <is>
          <t>EM13</t>
        </is>
      </c>
      <c r="B469" s="1233" t="inlineStr">
        <is>
          <t>INDUSTRY EBITDA</t>
        </is>
      </c>
      <c r="C469" s="1242">
        <f>IF(ISNUMBER('EBITDA Model'!J103),'EBITDA Model'!J103,'EBITDA Model'!C103)</f>
        <v/>
      </c>
      <c r="D469" s="1234" t="inlineStr">
        <is>
          <t>Rs cr</t>
        </is>
      </c>
      <c r="E469" s="1233" t="inlineStr">
        <is>
          <t>Computed in-cell</t>
        </is>
      </c>
      <c r="F469" s="1233" t="inlineStr">
        <is>
          <t>'=D102*D101/10</t>
        </is>
      </c>
      <c r="G469" s="1233" t="inlineStr">
        <is>
          <t>Computed</t>
        </is>
      </c>
      <c r="H469" s="1233" t="inlineStr">
        <is>
          <t>26 Sources register; Master Industry Database source log (47 cited sources)</t>
        </is>
      </c>
      <c r="I469" s="1233" t="n"/>
      <c r="J469" s="1233" t="n"/>
      <c r="K469" s="1233" t="inlineStr">
        <is>
          <t>Reconciled by 25 Audit Checks</t>
        </is>
      </c>
      <c r="L469" s="1234" t="inlineStr">
        <is>
          <t>Medium</t>
        </is>
      </c>
      <c r="M469" s="1233" t="inlineStr">
        <is>
          <t>This sheet</t>
        </is>
      </c>
      <c r="N469" s="1233" t="inlineStr">
        <is>
          <t>Recalculates live with the model</t>
        </is>
      </c>
      <c r="O469" s="1234" t="inlineStr">
        <is>
          <t>Live</t>
        </is>
      </c>
      <c r="P469" s="1233" t="inlineStr">
        <is>
          <t>Research block row 103. Value column is live and re-states on a scenario change.</t>
        </is>
      </c>
    </row>
    <row r="470" ht="46" customHeight="1" s="632">
      <c r="A470" s="1232" t="inlineStr">
        <is>
          <t>EM14</t>
        </is>
      </c>
      <c r="B470" s="1235" t="inlineStr">
        <is>
          <t>Tata Steel - EBITDA per tonne</t>
        </is>
      </c>
      <c r="C470" s="1241">
        <f>IF(ISNUMBER('EBITDA Model'!J108),'EBITDA Model'!J108,'EBITDA Model'!C108)</f>
        <v/>
      </c>
      <c r="D470" s="1236" t="inlineStr">
        <is>
          <t>Rs/t</t>
        </is>
      </c>
      <c r="E470" s="1235" t="inlineStr">
        <is>
          <t>Computed in-cell</t>
        </is>
      </c>
      <c r="F470" s="1235" t="inlineStr">
        <is>
          <t>'=D101+4480</t>
        </is>
      </c>
      <c r="G470" s="1235" t="inlineStr">
        <is>
          <t>S08</t>
        </is>
      </c>
      <c r="H470" s="1235" t="inlineStr">
        <is>
          <t>26 Sources register; Master Industry Database source log (47 cited sources)</t>
        </is>
      </c>
      <c r="I470" s="1235" t="inlineStr">
        <is>
          <t>FY2026 actual Rs 15,213/t, a +4480 Rs/t spread to the industry weighted average, held constant.</t>
        </is>
      </c>
      <c r="J470" s="1235" t="inlineStr">
        <is>
          <t>Basis: India reported.</t>
        </is>
      </c>
      <c r="K470" s="1235" t="inlineStr">
        <is>
          <t>Reconciled by 25 Audit Checks</t>
        </is>
      </c>
      <c r="L470" s="1236" t="inlineStr">
        <is>
          <t>Medium</t>
        </is>
      </c>
      <c r="M470" s="1235" t="inlineStr">
        <is>
          <t>This sheet</t>
        </is>
      </c>
      <c r="N470" s="1235" t="inlineStr">
        <is>
          <t>Quarterly</t>
        </is>
      </c>
      <c r="O470" s="1236" t="inlineStr">
        <is>
          <t>FY2026A</t>
        </is>
      </c>
      <c r="P470" s="1235" t="inlineStr">
        <is>
          <t>Research block row 108. Value column is live and re-states on a scenario change.</t>
        </is>
      </c>
    </row>
    <row r="471" ht="46" customHeight="1" s="632">
      <c r="A471" s="1232" t="inlineStr">
        <is>
          <t>EM15</t>
        </is>
      </c>
      <c r="B471" s="1233" t="inlineStr">
        <is>
          <t>JSW Steel - EBITDA per tonne</t>
        </is>
      </c>
      <c r="C471" s="1242">
        <f>IF(ISNUMBER('EBITDA Model'!J109),'EBITDA Model'!J109,'EBITDA Model'!C109)</f>
        <v/>
      </c>
      <c r="D471" s="1234" t="inlineStr">
        <is>
          <t>Rs/t</t>
        </is>
      </c>
      <c r="E471" s="1233" t="inlineStr">
        <is>
          <t>Computed in-cell</t>
        </is>
      </c>
      <c r="F471" s="1233" t="inlineStr">
        <is>
          <t>'=D101+(-566)</t>
        </is>
      </c>
      <c r="G471" s="1233" t="inlineStr">
        <is>
          <t>S09</t>
        </is>
      </c>
      <c r="H471" s="1233" t="inlineStr">
        <is>
          <t>26 Sources register; Master Industry Database source log (47 cited sources)</t>
        </is>
      </c>
      <c r="I471" s="1233" t="inlineStr">
        <is>
          <t>FY2026 actual Rs 10,167/t, a -566 Rs/t spread to the industry weighted average, held constant.</t>
        </is>
      </c>
      <c r="J471" s="1233" t="inlineStr">
        <is>
          <t>Basis: India reported.</t>
        </is>
      </c>
      <c r="K471" s="1233" t="inlineStr">
        <is>
          <t>Reconciled by 25 Audit Checks</t>
        </is>
      </c>
      <c r="L471" s="1234" t="inlineStr">
        <is>
          <t>Medium</t>
        </is>
      </c>
      <c r="M471" s="1233" t="inlineStr">
        <is>
          <t>This sheet</t>
        </is>
      </c>
      <c r="N471" s="1233" t="inlineStr">
        <is>
          <t>Quarterly</t>
        </is>
      </c>
      <c r="O471" s="1234" t="inlineStr">
        <is>
          <t>FY2026A</t>
        </is>
      </c>
      <c r="P471" s="1233" t="inlineStr">
        <is>
          <t>Research block row 109. Value column is live and re-states on a scenario change.</t>
        </is>
      </c>
    </row>
    <row r="472" ht="46" customHeight="1" s="632">
      <c r="A472" s="1232" t="inlineStr">
        <is>
          <t>EM16</t>
        </is>
      </c>
      <c r="B472" s="1235" t="inlineStr">
        <is>
          <t>SAIL - EBITDA per tonne</t>
        </is>
      </c>
      <c r="C472" s="1241">
        <f>IF(ISNUMBER('EBITDA Model'!J110),'EBITDA Model'!J110,'EBITDA Model'!C110)</f>
        <v/>
      </c>
      <c r="D472" s="1236" t="inlineStr">
        <is>
          <t>Rs/t</t>
        </is>
      </c>
      <c r="E472" s="1235" t="inlineStr">
        <is>
          <t>Computed in-cell</t>
        </is>
      </c>
      <c r="F472" s="1235" t="inlineStr">
        <is>
          <t>'=D101+(-4137)</t>
        </is>
      </c>
      <c r="G472" s="1235" t="inlineStr">
        <is>
          <t>S10</t>
        </is>
      </c>
      <c r="H472" s="1235" t="inlineStr">
        <is>
          <t>26 Sources register; Master Industry Database source log (47 cited sources)</t>
        </is>
      </c>
      <c r="I472" s="1235" t="inlineStr">
        <is>
          <t>FY2026 actual Rs 6,596/t, a -4137 Rs/t spread to the industry weighted average, held constant.</t>
        </is>
      </c>
      <c r="J472" s="1235" t="inlineStr">
        <is>
          <t>Basis: STANDALONE reported.</t>
        </is>
      </c>
      <c r="K472" s="1235" t="inlineStr">
        <is>
          <t>Reconciled by 25 Audit Checks</t>
        </is>
      </c>
      <c r="L472" s="1236" t="inlineStr">
        <is>
          <t>Medium</t>
        </is>
      </c>
      <c r="M472" s="1235" t="inlineStr">
        <is>
          <t>This sheet</t>
        </is>
      </c>
      <c r="N472" s="1235" t="inlineStr">
        <is>
          <t>Quarterly</t>
        </is>
      </c>
      <c r="O472" s="1236" t="inlineStr">
        <is>
          <t>FY2026A</t>
        </is>
      </c>
      <c r="P472" s="1235" t="inlineStr">
        <is>
          <t>Research block row 110. Value column is live and re-states on a scenario change.</t>
        </is>
      </c>
    </row>
    <row r="473" ht="46" customHeight="1" s="632">
      <c r="A473" s="1232" t="inlineStr">
        <is>
          <t>EM17</t>
        </is>
      </c>
      <c r="B473" s="1233" t="inlineStr">
        <is>
          <t>Jindal Steel - EBITDA per tonne</t>
        </is>
      </c>
      <c r="C473" s="1242">
        <f>IF(ISNUMBER('EBITDA Model'!J111),'EBITDA Model'!J111,'EBITDA Model'!C111)</f>
        <v/>
      </c>
      <c r="D473" s="1234" t="inlineStr">
        <is>
          <t>Rs/t</t>
        </is>
      </c>
      <c r="E473" s="1233" t="inlineStr">
        <is>
          <t>Computed in-cell</t>
        </is>
      </c>
      <c r="F473" s="1233" t="inlineStr">
        <is>
          <t>'=D101+(-251)</t>
        </is>
      </c>
      <c r="G473" s="1233" t="inlineStr">
        <is>
          <t>S11</t>
        </is>
      </c>
      <c r="H473" s="1233" t="inlineStr">
        <is>
          <t>26 Sources register; Master Industry Database source log (47 cited sources)</t>
        </is>
      </c>
      <c r="I473" s="1233" t="inlineStr">
        <is>
          <t>FY2026 actual Rs 10,482/t, a -251 Rs/t spread to the industry weighted average, held constant.</t>
        </is>
      </c>
      <c r="J473" s="1233" t="inlineStr">
        <is>
          <t>Basis: Consolidated reported (adj 9,099 plus 561 FX).</t>
        </is>
      </c>
      <c r="K473" s="1233" t="inlineStr">
        <is>
          <t>Reconciled by 25 Audit Checks</t>
        </is>
      </c>
      <c r="L473" s="1234" t="inlineStr">
        <is>
          <t>Medium</t>
        </is>
      </c>
      <c r="M473" s="1233" t="inlineStr">
        <is>
          <t>This sheet</t>
        </is>
      </c>
      <c r="N473" s="1233" t="inlineStr">
        <is>
          <t>Quarterly</t>
        </is>
      </c>
      <c r="O473" s="1234" t="inlineStr">
        <is>
          <t>FY2026A</t>
        </is>
      </c>
      <c r="P473" s="1233" t="inlineStr">
        <is>
          <t>Research block row 111. Value column is live and re-states on a scenario change.</t>
        </is>
      </c>
    </row>
    <row r="474" ht="46" customHeight="1" s="632">
      <c r="A474" s="1232" t="inlineStr">
        <is>
          <t>EM18</t>
        </is>
      </c>
      <c r="B474" s="1235" t="inlineStr">
        <is>
          <t>Jindal Stainless - EBITDA per tonne</t>
        </is>
      </c>
      <c r="C474" s="1241">
        <f>IF(ISNUMBER('EBITDA Model'!J112),'EBITDA Model'!J112,'EBITDA Model'!C112)</f>
        <v/>
      </c>
      <c r="D474" s="1236" t="inlineStr">
        <is>
          <t>Rs/t</t>
        </is>
      </c>
      <c r="E474" s="1235" t="inlineStr">
        <is>
          <t>Computed in-cell</t>
        </is>
      </c>
      <c r="F474" s="1235" t="inlineStr">
        <is>
          <t>'=D101+10901</t>
        </is>
      </c>
      <c r="G474" s="1235" t="inlineStr">
        <is>
          <t>S12</t>
        </is>
      </c>
      <c r="H474" s="1235" t="inlineStr">
        <is>
          <t>26 Sources register; Master Industry Database source log (47 cited sources)</t>
        </is>
      </c>
      <c r="I474" s="1235" t="inlineStr">
        <is>
          <t>FY2026 actual Rs 21,634/t, a +10901 Rs/t spread to the industry weighted average, held constant.</t>
        </is>
      </c>
      <c r="J474" s="1235" t="inlineStr">
        <is>
          <t>Basis: Consolidated reported.</t>
        </is>
      </c>
      <c r="K474" s="1235" t="inlineStr">
        <is>
          <t>Reconciled by 25 Audit Checks</t>
        </is>
      </c>
      <c r="L474" s="1236" t="inlineStr">
        <is>
          <t>Medium</t>
        </is>
      </c>
      <c r="M474" s="1235" t="inlineStr">
        <is>
          <t>This sheet</t>
        </is>
      </c>
      <c r="N474" s="1235" t="inlineStr">
        <is>
          <t>Quarterly</t>
        </is>
      </c>
      <c r="O474" s="1236" t="inlineStr">
        <is>
          <t>FY2026A</t>
        </is>
      </c>
      <c r="P474" s="1235" t="inlineStr">
        <is>
          <t>Research block row 112. Value column is live and re-states on a scenario change.</t>
        </is>
      </c>
    </row>
    <row r="475" ht="46" customHeight="1" s="632">
      <c r="A475" s="1232" t="inlineStr">
        <is>
          <t>EM19</t>
        </is>
      </c>
      <c r="B475" s="1233" t="inlineStr">
        <is>
          <t>AM/NS India - EBITDA per tonne</t>
        </is>
      </c>
      <c r="C475" s="1242">
        <f>IF(ISNUMBER('EBITDA Model'!J113),'EBITDA Model'!J113,'EBITDA Model'!C113)</f>
        <v/>
      </c>
      <c r="D475" s="1234" t="inlineStr">
        <is>
          <t>Rs/t</t>
        </is>
      </c>
      <c r="E475" s="1233" t="inlineStr">
        <is>
          <t>Computed in-cell</t>
        </is>
      </c>
      <c r="F475" s="1233" t="inlineStr">
        <is>
          <t>'=D101+(-10647)</t>
        </is>
      </c>
      <c r="G475" s="1233" t="inlineStr">
        <is>
          <t>S13/S14</t>
        </is>
      </c>
      <c r="H475" s="1233" t="inlineStr">
        <is>
          <t>26 Sources register; Master Industry Database source log (47 cited sources)</t>
        </is>
      </c>
      <c r="I475" s="1233" t="inlineStr">
        <is>
          <t>FY2026 actual Rs 86/t, a -10647 Rs/t spread to the industry weighted average, held constant.</t>
        </is>
      </c>
      <c r="J475" s="1233" t="inlineStr">
        <is>
          <t>Basis: 100% basis, USD converted.</t>
        </is>
      </c>
      <c r="K475" s="1233" t="inlineStr">
        <is>
          <t>Reconciled by 25 Audit Checks</t>
        </is>
      </c>
      <c r="L475" s="1234" t="inlineStr">
        <is>
          <t>Medium</t>
        </is>
      </c>
      <c r="M475" s="1233" t="inlineStr">
        <is>
          <t>This sheet</t>
        </is>
      </c>
      <c r="N475" s="1233" t="inlineStr">
        <is>
          <t>Quarterly</t>
        </is>
      </c>
      <c r="O475" s="1234" t="inlineStr">
        <is>
          <t>FY2026A</t>
        </is>
      </c>
      <c r="P475" s="1233" t="inlineStr">
        <is>
          <t>Research block row 113. Value column is live and re-states on a scenario change.</t>
        </is>
      </c>
    </row>
    <row r="476" ht="46" customHeight="1" s="632">
      <c r="A476" s="1232" t="inlineStr">
        <is>
          <t>EM20</t>
        </is>
      </c>
      <c r="B476" s="1235" t="inlineStr">
        <is>
          <t>RINL - EBITDA per tonne</t>
        </is>
      </c>
      <c r="C476" s="1241">
        <f>'EBITDA Model'!J114</f>
        <v/>
      </c>
      <c r="D476" s="1236" t="inlineStr">
        <is>
          <t>Rs/t</t>
        </is>
      </c>
      <c r="E476" s="1235" t="inlineStr">
        <is>
          <t>Sourced actual (hard value)</t>
        </is>
      </c>
      <c r="F476" s="1235" t="inlineStr">
        <is>
          <t>(constant) Data Not Publicly Available</t>
        </is>
      </c>
      <c r="G476" s="1235" t="inlineStr">
        <is>
          <t>S16</t>
        </is>
      </c>
      <c r="H476" s="1235" t="inlineStr">
        <is>
          <t>26 Sources register; Master Industry Database source log (47 cited sources)</t>
        </is>
      </c>
      <c r="I476" s="1235" t="inlineStr">
        <is>
          <t>Unlisted and wholly Government-owned.</t>
        </is>
      </c>
      <c r="J476" s="1235" t="inlineStr">
        <is>
          <t>No EBITDA, balance sheet or valuation data is publicly available, so RINL appears in the volume build only.</t>
        </is>
      </c>
      <c r="K476" s="1235" t="inlineStr">
        <is>
          <t>Reconciled by 25 Audit Checks</t>
        </is>
      </c>
      <c r="L476" s="1236" t="inlineStr">
        <is>
          <t>n/a</t>
        </is>
      </c>
      <c r="M476" s="1235" t="inlineStr">
        <is>
          <t>This sheet</t>
        </is>
      </c>
      <c r="N476" s="1235" t="inlineStr">
        <is>
          <t>Quarterly</t>
        </is>
      </c>
      <c r="O476" s="1236" t="inlineStr">
        <is>
          <t>FY2026A</t>
        </is>
      </c>
      <c r="P476" s="1235" t="inlineStr">
        <is>
          <t>Research block row 114. Value column is live and re-states on a scenario change.</t>
        </is>
      </c>
    </row>
    <row r="477" ht="46" customHeight="1" s="632">
      <c r="A477" s="1232" t="inlineStr">
        <is>
          <t>EM21</t>
        </is>
      </c>
      <c r="B477" s="1233" t="inlineStr">
        <is>
          <t>Tata Steel - EBITDA</t>
        </is>
      </c>
      <c r="C477" s="1242">
        <f>IF(ISNUMBER('EBITDA Model'!J118),'EBITDA Model'!J118,'EBITDA Model'!C118)</f>
        <v/>
      </c>
      <c r="D477" s="1234" t="inlineStr">
        <is>
          <t>Rs cr</t>
        </is>
      </c>
      <c r="E477" s="1233" t="inlineStr">
        <is>
          <t>Cross-sheet reference (linked, not re-entered)</t>
        </is>
      </c>
      <c r="F477" s="1233" t="inlineStr">
        <is>
          <t>'=D108*'Revenue Forecast'!D101/10</t>
        </is>
      </c>
      <c r="G477" s="1233" t="inlineStr">
        <is>
          <t>S08</t>
        </is>
      </c>
      <c r="H477" s="1233" t="inlineStr">
        <is>
          <t>26 Sources register; Master Industry Database source log (47 cited sources)</t>
        </is>
      </c>
      <c r="I477" s="1233" t="inlineStr">
        <is>
          <t>Volume from 12 Revenue x EBITDA/t above.</t>
        </is>
      </c>
      <c r="J477" s="1233" t="n"/>
      <c r="K477" s="1233" t="inlineStr">
        <is>
          <t>Reconciled by 25 Audit Checks</t>
        </is>
      </c>
      <c r="L477" s="1234" t="inlineStr">
        <is>
          <t>Medium</t>
        </is>
      </c>
      <c r="M477" s="1233" t="inlineStr">
        <is>
          <t>Revenue Forecast</t>
        </is>
      </c>
      <c r="N477" s="1233" t="inlineStr">
        <is>
          <t>Quarterly</t>
        </is>
      </c>
      <c r="O477" s="1234" t="inlineStr">
        <is>
          <t>FY2026A</t>
        </is>
      </c>
      <c r="P477" s="1233" t="inlineStr">
        <is>
          <t>Research block row 118. Value column is live and re-states on a scenario change.</t>
        </is>
      </c>
    </row>
    <row r="478" ht="46" customHeight="1" s="632">
      <c r="A478" s="1232" t="inlineStr">
        <is>
          <t>EM22</t>
        </is>
      </c>
      <c r="B478" s="1235" t="inlineStr">
        <is>
          <t>JSW Steel - EBITDA</t>
        </is>
      </c>
      <c r="C478" s="1241">
        <f>IF(ISNUMBER('EBITDA Model'!J119),'EBITDA Model'!J119,'EBITDA Model'!C119)</f>
        <v/>
      </c>
      <c r="D478" s="1236" t="inlineStr">
        <is>
          <t>Rs cr</t>
        </is>
      </c>
      <c r="E478" s="1235" t="inlineStr">
        <is>
          <t>Cross-sheet reference (linked, not re-entered)</t>
        </is>
      </c>
      <c r="F478" s="1235" t="inlineStr">
        <is>
          <t>'=D109*'Revenue Forecast'!D102/10</t>
        </is>
      </c>
      <c r="G478" s="1235" t="inlineStr">
        <is>
          <t>S09</t>
        </is>
      </c>
      <c r="H478" s="1235" t="inlineStr">
        <is>
          <t>26 Sources register; Master Industry Database source log (47 cited sources)</t>
        </is>
      </c>
      <c r="I478" s="1235" t="inlineStr">
        <is>
          <t>Volume from 12 Revenue x EBITDA/t above.</t>
        </is>
      </c>
      <c r="J478" s="1235" t="n"/>
      <c r="K478" s="1235" t="inlineStr">
        <is>
          <t>Reconciled by 25 Audit Checks</t>
        </is>
      </c>
      <c r="L478" s="1236" t="inlineStr">
        <is>
          <t>Medium</t>
        </is>
      </c>
      <c r="M478" s="1235" t="inlineStr">
        <is>
          <t>Revenue Forecast</t>
        </is>
      </c>
      <c r="N478" s="1235" t="inlineStr">
        <is>
          <t>Quarterly</t>
        </is>
      </c>
      <c r="O478" s="1236" t="inlineStr">
        <is>
          <t>FY2026A</t>
        </is>
      </c>
      <c r="P478" s="1235" t="inlineStr">
        <is>
          <t>Research block row 119. Value column is live and re-states on a scenario change.</t>
        </is>
      </c>
    </row>
    <row r="479" ht="46" customHeight="1" s="632">
      <c r="A479" s="1232" t="inlineStr">
        <is>
          <t>EM23</t>
        </is>
      </c>
      <c r="B479" s="1233" t="inlineStr">
        <is>
          <t>SAIL - EBITDA</t>
        </is>
      </c>
      <c r="C479" s="1242">
        <f>IF(ISNUMBER('EBITDA Model'!J120),'EBITDA Model'!J120,'EBITDA Model'!C120)</f>
        <v/>
      </c>
      <c r="D479" s="1234" t="inlineStr">
        <is>
          <t>Rs cr</t>
        </is>
      </c>
      <c r="E479" s="1233" t="inlineStr">
        <is>
          <t>Cross-sheet reference (linked, not re-entered)</t>
        </is>
      </c>
      <c r="F479" s="1233" t="inlineStr">
        <is>
          <t>'=D110*'Revenue Forecast'!D103/10</t>
        </is>
      </c>
      <c r="G479" s="1233" t="inlineStr">
        <is>
          <t>S10</t>
        </is>
      </c>
      <c r="H479" s="1233" t="inlineStr">
        <is>
          <t>26 Sources register; Master Industry Database source log (47 cited sources)</t>
        </is>
      </c>
      <c r="I479" s="1233" t="inlineStr">
        <is>
          <t>Volume from 12 Revenue x EBITDA/t above.</t>
        </is>
      </c>
      <c r="J479" s="1233" t="n"/>
      <c r="K479" s="1233" t="inlineStr">
        <is>
          <t>Reconciled by 25 Audit Checks</t>
        </is>
      </c>
      <c r="L479" s="1234" t="inlineStr">
        <is>
          <t>Medium</t>
        </is>
      </c>
      <c r="M479" s="1233" t="inlineStr">
        <is>
          <t>Revenue Forecast</t>
        </is>
      </c>
      <c r="N479" s="1233" t="inlineStr">
        <is>
          <t>Quarterly</t>
        </is>
      </c>
      <c r="O479" s="1234" t="inlineStr">
        <is>
          <t>FY2026A</t>
        </is>
      </c>
      <c r="P479" s="1233" t="inlineStr">
        <is>
          <t>Research block row 120. Value column is live and re-states on a scenario change.</t>
        </is>
      </c>
    </row>
    <row r="480" ht="46" customHeight="1" s="632">
      <c r="A480" s="1232" t="inlineStr">
        <is>
          <t>EM24</t>
        </is>
      </c>
      <c r="B480" s="1235" t="inlineStr">
        <is>
          <t>Jindal Steel - EBITDA</t>
        </is>
      </c>
      <c r="C480" s="1241">
        <f>IF(ISNUMBER('EBITDA Model'!J121),'EBITDA Model'!J121,'EBITDA Model'!C121)</f>
        <v/>
      </c>
      <c r="D480" s="1236" t="inlineStr">
        <is>
          <t>Rs cr</t>
        </is>
      </c>
      <c r="E480" s="1235" t="inlineStr">
        <is>
          <t>Cross-sheet reference (linked, not re-entered)</t>
        </is>
      </c>
      <c r="F480" s="1235" t="inlineStr">
        <is>
          <t>'=D111*'Revenue Forecast'!D104/10</t>
        </is>
      </c>
      <c r="G480" s="1235" t="inlineStr">
        <is>
          <t>S11</t>
        </is>
      </c>
      <c r="H480" s="1235" t="inlineStr">
        <is>
          <t>26 Sources register; Master Industry Database source log (47 cited sources)</t>
        </is>
      </c>
      <c r="I480" s="1235" t="inlineStr">
        <is>
          <t>Volume from 12 Revenue x EBITDA/t above.</t>
        </is>
      </c>
      <c r="J480" s="1235" t="n"/>
      <c r="K480" s="1235" t="inlineStr">
        <is>
          <t>Reconciled by 25 Audit Checks</t>
        </is>
      </c>
      <c r="L480" s="1236" t="inlineStr">
        <is>
          <t>Medium</t>
        </is>
      </c>
      <c r="M480" s="1235" t="inlineStr">
        <is>
          <t>Revenue Forecast</t>
        </is>
      </c>
      <c r="N480" s="1235" t="inlineStr">
        <is>
          <t>Quarterly</t>
        </is>
      </c>
      <c r="O480" s="1236" t="inlineStr">
        <is>
          <t>FY2026A</t>
        </is>
      </c>
      <c r="P480" s="1235" t="inlineStr">
        <is>
          <t>Research block row 121. Value column is live and re-states on a scenario change.</t>
        </is>
      </c>
    </row>
    <row r="481" ht="46" customHeight="1" s="632">
      <c r="A481" s="1232" t="inlineStr">
        <is>
          <t>EM25</t>
        </is>
      </c>
      <c r="B481" s="1233" t="inlineStr">
        <is>
          <t>Jindal Stainless - EBITDA</t>
        </is>
      </c>
      <c r="C481" s="1242">
        <f>IF(ISNUMBER('EBITDA Model'!J122),'EBITDA Model'!J122,'EBITDA Model'!C122)</f>
        <v/>
      </c>
      <c r="D481" s="1234" t="inlineStr">
        <is>
          <t>Rs cr</t>
        </is>
      </c>
      <c r="E481" s="1233" t="inlineStr">
        <is>
          <t>Cross-sheet reference (linked, not re-entered)</t>
        </is>
      </c>
      <c r="F481" s="1233" t="inlineStr">
        <is>
          <t>'=D112*'Revenue Forecast'!D105/10</t>
        </is>
      </c>
      <c r="G481" s="1233" t="inlineStr">
        <is>
          <t>S12</t>
        </is>
      </c>
      <c r="H481" s="1233" t="inlineStr">
        <is>
          <t>26 Sources register; Master Industry Database source log (47 cited sources)</t>
        </is>
      </c>
      <c r="I481" s="1233" t="inlineStr">
        <is>
          <t>Volume from 12 Revenue x EBITDA/t above.</t>
        </is>
      </c>
      <c r="J481" s="1233" t="n"/>
      <c r="K481" s="1233" t="inlineStr">
        <is>
          <t>Reconciled by 25 Audit Checks</t>
        </is>
      </c>
      <c r="L481" s="1234" t="inlineStr">
        <is>
          <t>Medium</t>
        </is>
      </c>
      <c r="M481" s="1233" t="inlineStr">
        <is>
          <t>Revenue Forecast</t>
        </is>
      </c>
      <c r="N481" s="1233" t="inlineStr">
        <is>
          <t>Quarterly</t>
        </is>
      </c>
      <c r="O481" s="1234" t="inlineStr">
        <is>
          <t>FY2026A</t>
        </is>
      </c>
      <c r="P481" s="1233" t="inlineStr">
        <is>
          <t>Research block row 122. Value column is live and re-states on a scenario change.</t>
        </is>
      </c>
    </row>
    <row r="482" ht="46" customHeight="1" s="632">
      <c r="A482" s="1232" t="inlineStr">
        <is>
          <t>EM26</t>
        </is>
      </c>
      <c r="B482" s="1235" t="inlineStr">
        <is>
          <t>AM/NS India - EBITDA</t>
        </is>
      </c>
      <c r="C482" s="1241">
        <f>IF(ISNUMBER('EBITDA Model'!J123),'EBITDA Model'!J123,'EBITDA Model'!C123)</f>
        <v/>
      </c>
      <c r="D482" s="1236" t="inlineStr">
        <is>
          <t>Rs cr</t>
        </is>
      </c>
      <c r="E482" s="1235" t="inlineStr">
        <is>
          <t>Cross-sheet reference (linked, not re-entered)</t>
        </is>
      </c>
      <c r="F482" s="1235" t="inlineStr">
        <is>
          <t>'=D113*'Revenue Forecast'!D106/10</t>
        </is>
      </c>
      <c r="G482" s="1235" t="inlineStr">
        <is>
          <t>S13/S14</t>
        </is>
      </c>
      <c r="H482" s="1235" t="inlineStr">
        <is>
          <t>26 Sources register; Master Industry Database source log (47 cited sources)</t>
        </is>
      </c>
      <c r="I482" s="1235" t="inlineStr">
        <is>
          <t>Volume from 12 Revenue x EBITDA/t above.</t>
        </is>
      </c>
      <c r="J482" s="1235" t="n"/>
      <c r="K482" s="1235" t="inlineStr">
        <is>
          <t>Reconciled by 25 Audit Checks</t>
        </is>
      </c>
      <c r="L482" s="1236" t="inlineStr">
        <is>
          <t>Medium</t>
        </is>
      </c>
      <c r="M482" s="1235" t="inlineStr">
        <is>
          <t>Revenue Forecast</t>
        </is>
      </c>
      <c r="N482" s="1235" t="inlineStr">
        <is>
          <t>Quarterly</t>
        </is>
      </c>
      <c r="O482" s="1236" t="inlineStr">
        <is>
          <t>FY2026A</t>
        </is>
      </c>
      <c r="P482" s="1235" t="inlineStr">
        <is>
          <t>Research block row 123. Value column is live and re-states on a scenario change.</t>
        </is>
      </c>
    </row>
    <row r="483" ht="46" customHeight="1" s="632">
      <c r="A483" s="1232" t="inlineStr">
        <is>
          <t>EM27</t>
        </is>
      </c>
      <c r="B483" s="1233" t="inlineStr">
        <is>
          <t>RINL - EBITDA</t>
        </is>
      </c>
      <c r="C483" s="1242">
        <f>IF(ISNUMBER('EBITDA Model'!J124),'EBITDA Model'!J124,'EBITDA Model'!C124)</f>
        <v/>
      </c>
      <c r="D483" s="1234" t="inlineStr">
        <is>
          <t>Rs cr</t>
        </is>
      </c>
      <c r="E483" s="1233" t="inlineStr">
        <is>
          <t>Sourced actual (hard value)</t>
        </is>
      </c>
      <c r="F483" s="1233" t="inlineStr">
        <is>
          <t>(constant) Data Not Publicly Available</t>
        </is>
      </c>
      <c r="G483" s="1233" t="inlineStr">
        <is>
          <t>S16</t>
        </is>
      </c>
      <c r="H483" s="1233" t="inlineStr">
        <is>
          <t>26 Sources register; Master Industry Database source log (47 cited sources)</t>
        </is>
      </c>
      <c r="I483" s="1233" t="inlineStr">
        <is>
          <t>Unlisted and wholly Government-owned.</t>
        </is>
      </c>
      <c r="J483" s="1233" t="inlineStr">
        <is>
          <t>No EBITDA, balance sheet or valuation data is publicly available, so RINL appears in the volume build only.</t>
        </is>
      </c>
      <c r="K483" s="1233" t="inlineStr">
        <is>
          <t>Reconciled by 25 Audit Checks</t>
        </is>
      </c>
      <c r="L483" s="1234" t="inlineStr">
        <is>
          <t>n/a</t>
        </is>
      </c>
      <c r="M483" s="1233" t="inlineStr">
        <is>
          <t>This sheet</t>
        </is>
      </c>
      <c r="N483" s="1233" t="inlineStr">
        <is>
          <t>Quarterly</t>
        </is>
      </c>
      <c r="O483" s="1234" t="inlineStr">
        <is>
          <t>FY2026A</t>
        </is>
      </c>
      <c r="P483" s="1233" t="inlineStr">
        <is>
          <t>Research block row 124. Value column is live and re-states on a scenario change.</t>
        </is>
      </c>
    </row>
    <row r="486" ht="18" customHeight="1" s="632">
      <c r="A486" s="1229" t="inlineStr">
        <is>
          <t>Margin Analysis  -  18 documented items  (MG01 - MG18)</t>
        </is>
      </c>
      <c r="B486" s="1161" t="n"/>
      <c r="C486" s="1161" t="n"/>
      <c r="D486" s="1161" t="n"/>
      <c r="E486" s="1161" t="n"/>
      <c r="F486" s="1161" t="n"/>
      <c r="G486" s="1161" t="n"/>
      <c r="H486" s="1161" t="n"/>
      <c r="I486" s="1161" t="n"/>
      <c r="J486" s="1161" t="n"/>
      <c r="K486" s="1161" t="n"/>
      <c r="L486" s="1161" t="n"/>
      <c r="M486" s="1161" t="n"/>
      <c r="N486" s="1161" t="n"/>
      <c r="O486" s="1161" t="n"/>
      <c r="P486" s="1161" t="n"/>
    </row>
    <row r="487" ht="24" customHeight="1" s="632">
      <c r="A487" s="1230" t="inlineStr">
        <is>
          <t>Every documented number on Margin Analysis. The Code column matches the Ref column on that sheet.</t>
        </is>
      </c>
    </row>
    <row r="488" ht="30" customHeight="1" s="632">
      <c r="A488" s="1231" t="inlineStr">
        <is>
          <t>Code</t>
        </is>
      </c>
      <c r="B488" s="1231" t="inlineStr">
        <is>
          <t>Model Item</t>
        </is>
      </c>
      <c r="C488" s="1231" t="inlineStr">
        <is>
          <t>Value</t>
        </is>
      </c>
      <c r="D488" s="1231" t="inlineStr">
        <is>
          <t>Unit</t>
        </is>
      </c>
      <c r="E488" s="1231" t="inlineStr">
        <is>
          <t>Calculation Method</t>
        </is>
      </c>
      <c r="F488" s="1231" t="inlineStr">
        <is>
          <t>Formula Used</t>
        </is>
      </c>
      <c r="G488" s="1231" t="inlineStr">
        <is>
          <t>Primary Source</t>
        </is>
      </c>
      <c r="H488" s="1231" t="inlineStr">
        <is>
          <t>Secondary Source</t>
        </is>
      </c>
      <c r="I488" s="1231" t="inlineStr">
        <is>
          <t>Assumption</t>
        </is>
      </c>
      <c r="J488" s="1231" t="inlineStr">
        <is>
          <t>Reasoning</t>
        </is>
      </c>
      <c r="K488" s="1231" t="inlineStr">
        <is>
          <t>Cross-check</t>
        </is>
      </c>
      <c r="L488" s="1231" t="inlineStr">
        <is>
          <t>Confidence Level</t>
        </is>
      </c>
      <c r="M488" s="1231" t="inlineStr">
        <is>
          <t>Linked Sheet</t>
        </is>
      </c>
      <c r="N488" s="1231" t="inlineStr">
        <is>
          <t>Update Frequency</t>
        </is>
      </c>
      <c r="O488" s="1231" t="inlineStr">
        <is>
          <t>Last Available Date</t>
        </is>
      </c>
      <c r="P488" s="1231" t="inlineStr">
        <is>
          <t>Comments</t>
        </is>
      </c>
    </row>
    <row r="489" ht="46" customHeight="1" s="632">
      <c r="A489" s="1232" t="inlineStr">
        <is>
          <t>MG01</t>
        </is>
      </c>
      <c r="B489" s="1233" t="inlineStr">
        <is>
          <t>Margin bridge - logistics, energy and FX effects</t>
        </is>
      </c>
      <c r="C489" s="1246">
        <f>'Margin Analysis'!H37</f>
        <v/>
      </c>
      <c r="D489" s="1234" t="inlineStr">
        <is>
          <t>ppt</t>
        </is>
      </c>
      <c r="E489" s="1233" t="inlineStr">
        <is>
          <t>Conversion-cost effect apportioned at the shared shares; FX an explicit zero</t>
        </is>
      </c>
      <c r="F489" s="1233" t="inlineStr">
        <is>
          <t>'=B36/(1-'Cost Curve'!$K$43-'Cost Curve'!$K$46)*'Cost Curve'!$K$46</t>
        </is>
      </c>
      <c r="G489" s="1233" t="inlineStr">
        <is>
          <t>Shared conversion cost mix on 11 Cost Curve</t>
        </is>
      </c>
      <c r="H489" s="1233" t="inlineStr">
        <is>
          <t>The same shares are used by 13 EBITDA Model and 11 Cost Curve</t>
        </is>
      </c>
      <c r="I489" s="1233" t="inlineStr">
        <is>
          <t>Conversion cost is split into six components summing to 100%: power and fuel 18%, labour 18%, maintenance 14%, logistics 22%, other manufacturing 13% and selling, general and administrative 15%. The POWER share is not a free choice - it is set to reproduce the power cost per tonne that the bottom-up build on 10 Raw Material Forecast derives independently, from a published consumption coefficient of 0.55 MWh per tonne and a sourced industrial tariff. That the two agree is a genuine corroboration rather than an assumption. Logistics at 22% reflects inbound freight on ore, coal and flux plus outbound freight to the dealer network, in a country where the average haul from mine to mill runs to several hundred kilometres. Labour is high relative to global benchmarks because Indian mills are less automated; the model already assumes 2% annual labour productivity gains on the ESG sheet, which is the other side of the same observation.</t>
        </is>
      </c>
      <c r="J489" s="1233" t="inlineStr">
        <is>
          <t>Three rows across seven years were blank. Two of them are now carved out of the conversion-cost effect at the shared logistics and power shares, with row 36 reduced by exactly that amount so the bridge still closes to the last basis point. THE FX ROW IS A GENUINE STRUCTURAL ZERO and stays at zero: the exchange rate enters this model only through dollar-denominated iron ore and coking coal, so its entire margin effect is already inside the raw material effect on row 33. Showing a non-zero FX line here would double-count the single largest driver in the model, which is precisely the kind of error a plausible-looking filled cell would have hidden. Writing the zero states the reason instead.</t>
        </is>
      </c>
      <c r="K489" s="1233" t="inlineStr">
        <is>
          <t>ROWS 31 TO 39 MUST STILL SUM TO ROW 40 in every year, and the FY2033E base-case margin must remain 16.8%. Verified by tools/audit.py.</t>
        </is>
      </c>
      <c r="L489" s="1234" t="inlineStr">
        <is>
          <t>Low for the split; High for the FX zero, which is a structural fact about the model</t>
        </is>
      </c>
      <c r="M489" s="1233" t="inlineStr">
        <is>
          <t>Cost Curve, Model Assumptions</t>
        </is>
      </c>
      <c r="N489" s="1233" t="inlineStr">
        <is>
          <t>Annually</t>
        </is>
      </c>
      <c r="O489" s="1234" t="inlineStr">
        <is>
          <t>FY2026A</t>
        </is>
      </c>
      <c r="P489" s="1233" t="inlineStr">
        <is>
          <t>Populated by modelling rather than left blank; the basis is stated in the Assumption column so it can be replaced with a sourced series when one exists.</t>
        </is>
      </c>
    </row>
    <row r="490" ht="46" customHeight="1" s="632">
      <c r="A490" s="1232" t="inlineStr">
        <is>
          <t>MG02</t>
        </is>
      </c>
      <c r="B490" s="1235" t="inlineStr">
        <is>
          <t>Margin bridge</t>
        </is>
      </c>
      <c r="C490" s="1245">
        <f>'Margin Analysis'!H40</f>
        <v/>
      </c>
      <c r="D490" s="1236" t="inlineStr">
        <is>
          <t>%</t>
        </is>
      </c>
      <c r="E490" s="1235" t="inlineStr">
        <is>
          <t>Exact decomposition of a ratio: margin = 1 - cash cost / realisation, so the change splits into a price term and a cost term with no residual</t>
        </is>
      </c>
      <c r="F490" s="1235" t="inlineStr">
        <is>
          <t>price = C0 x (P1-P0)/(P0 x P1) ; cost = (C0-C1)/P1, split into raw material and conversion</t>
        </is>
      </c>
      <c r="G490" s="1235" t="inlineStr">
        <is>
          <t>Computed from the model</t>
        </is>
      </c>
      <c r="H490" s="1235" t="inlineStr">
        <is>
          <t>Research block row 91</t>
        </is>
      </c>
      <c r="I490" s="1235" t="inlineStr">
        <is>
          <t>VOLUME and PRODUCT MIX effects are zero by construction.</t>
        </is>
      </c>
      <c r="J490" s="1235" t="inlineStr">
        <is>
          <t>ZERO BY CONSTRUCTION. Cash cost in this model is entirely variable per tonne, so margin is volume-neutral and a volume shock moves EBITDA but not EBITDA MARGIN. That is a stated limitation: a real producer has a fixed-cost block and would show positive operating leverage. It is disclosed rather than approximated because no fixed/variable cost split is disclosed by any Indian producer. The price and cost terms are algebraically exact: C0/P0 - C1/P1 decomposes without approximation, which is why this bridge closes to the last basis point rather than approximately.</t>
        </is>
      </c>
      <c r="K490" s="1235" t="inlineStr">
        <is>
          <t>Rows 31 + 32 + 33 + 36 must equal row 40 in every year; the FY2033E margin must equal 16.8% in the base case</t>
        </is>
      </c>
      <c r="L490" s="1236" t="inlineStr">
        <is>
          <t>High</t>
        </is>
      </c>
      <c r="M490" s="1235" t="inlineStr">
        <is>
          <t>Cost Curve, Model Assumptions</t>
        </is>
      </c>
      <c r="N490" s="1235" t="inlineStr">
        <is>
          <t>Live</t>
        </is>
      </c>
      <c r="O490" s="1236" t="inlineStr">
        <is>
          <t>Live</t>
        </is>
      </c>
      <c r="P490" s="1235" t="inlineStr">
        <is>
          <t>Was entirely blank.</t>
        </is>
      </c>
    </row>
    <row r="491" ht="46" customHeight="1" s="632">
      <c r="A491" s="1232" t="inlineStr">
        <is>
          <t>MG03</t>
        </is>
      </c>
      <c r="B491" s="1233" t="inlineStr">
        <is>
          <t>Volume and product mix effect on margin</t>
        </is>
      </c>
      <c r="C491" s="1246">
        <f>'Margin Analysis'!B34</f>
        <v/>
      </c>
      <c r="D491" s="1234" t="inlineStr">
        <is>
          <t>ppt</t>
        </is>
      </c>
      <c r="E491" s="1233" t="inlineStr">
        <is>
          <t>Manual input, zero by construction</t>
        </is>
      </c>
      <c r="F491" s="1233" t="inlineStr">
        <is>
          <t>(constant) 0</t>
        </is>
      </c>
      <c r="G491" s="1233" t="inlineStr">
        <is>
          <t>n/a - a modelling statement</t>
        </is>
      </c>
      <c r="H491" s="1233" t="inlineStr">
        <is>
          <t>n/a</t>
        </is>
      </c>
      <c r="I491" s="1233" t="inlineStr">
        <is>
          <t>ZERO BY CONSTRUCTION. Cash cost in this model is entirely variable per tonne, so margin is volume-neutral and a volume shock moves EBITDA but not EBITDA MARGIN. That is a stated limitation: a real producer has a fixed-cost block and would show positive operating leverage. It is disclosed rather than approximated because no fixed/variable cost split is disclosed by any Indian producer.</t>
        </is>
      </c>
      <c r="J491" s="1233" t="inlineStr">
        <is>
          <t>This is one of the most important limitations to understand before using the model at company level: a real producer running at 70% utilisation has materially worse unit costs than the same producer at 90%, and this model does not capture that. It captures the PRICE consequence of low utilisation (driver D23) but not the COST consequence.</t>
        </is>
      </c>
      <c r="K491" s="1233" t="inlineStr">
        <is>
          <t>Cross-check against 22 Sensitivity Analysis: a volume shock moves EBITDA but leaves margin unchanged, which is the visible signature of this limitation</t>
        </is>
      </c>
      <c r="L491" s="1234" t="inlineStr">
        <is>
          <t>High as a statement of the model, Low as a description of reality</t>
        </is>
      </c>
      <c r="M491" s="1233" t="inlineStr">
        <is>
          <t>This sheet</t>
        </is>
      </c>
      <c r="N491" s="1233" t="inlineStr">
        <is>
          <t>On any change of model structure</t>
        </is>
      </c>
      <c r="O491" s="1234" t="inlineStr">
        <is>
          <t>n/a</t>
        </is>
      </c>
      <c r="P491" s="1233" t="inlineStr">
        <is>
          <t>Blue because they are live user inputs. Enter a fixed-cost view here and the bridge still closes.</t>
        </is>
      </c>
    </row>
    <row r="492" ht="46" customHeight="1" s="632">
      <c r="A492" s="1232" t="inlineStr">
        <is>
          <t>MG04</t>
        </is>
      </c>
      <c r="B492" s="1235" t="inlineStr">
        <is>
          <t>Cost ratio analysis - energy, logistics, labour and SG&amp;A</t>
        </is>
      </c>
      <c r="C492" s="1258">
        <f>'Margin Analysis'!B51</f>
        <v/>
      </c>
      <c r="D492" s="1236" t="inlineStr">
        <is>
          <t>Rs cr</t>
        </is>
      </c>
      <c r="E492" s="1235" t="inlineStr">
        <is>
          <t>Conversion cost apportioned at the shared shares held in column K of 11 Cost Curve</t>
        </is>
      </c>
      <c r="F492" s="1235" t="inlineStr">
        <is>
          <t>'='Cost Curve'!$C$80*(1-'Model Assumptions'!$D$20)*'Steel Supply Model'!$C$101/10*'Cost Curve'!$K$43</t>
        </is>
      </c>
      <c r="G492" s="1235" t="inlineStr">
        <is>
          <t>Shared conversion cost mix - one definition, four sheets</t>
        </is>
      </c>
      <c r="H492" s="1235" t="inlineStr">
        <is>
          <t>11 Cost Curve states the identical split per tonne; 13 EBITDA Model in Rs crore</t>
        </is>
      </c>
      <c r="I492" s="1235" t="inlineStr">
        <is>
          <t>Conversion cost is split into six components summing to 100%: power and fuel 18%, labour 18%, maintenance 14%, logistics 22%, other manufacturing 13% and selling, general and administrative 15%. The POWER share is not a free choice - it is set to reproduce the power cost per tonne that the bottom-up build on 10 Raw Material Forecast derives independently, from a published consumption coefficient of 0.55 MWh per tonne and a sourced industrial tariff. That the two agree is a genuine corroboration rather than an assumption. Logistics at 22% reflects inbound freight on ore, coal and flux plus outbound freight to the dealer network, in a country where the average haul from mine to mill runs to several hundred kilometres. Labour is high relative to global benchmarks because Indian mills are less automated; the model already assumes 2% annual labour productivity gains on the ESG sheet, which is the other side of the same observation.</t>
        </is>
      </c>
      <c r="J492" s="1235" t="inlineStr">
        <is>
          <t>Four cost heads were blank, leaving a cost-ratio table with two rows in it. They are now carved out of other opex at the shared conversion shares, and other opex on row 50 is reduced to the residual maintenance and other-manufacturing shares, so ROW 51 IS A LIVE SUM that still equals total opex. This is the third sheet to decompose the same cash cost, and all three read the one set of shares held on 11 Cost Curve - so the cost-ratio table here, the Rs-crore bridge on 13 EBITDA Model and the Rs-per-tonne build-up on 11 Cost Curve are guaranteed to tell the same story.</t>
        </is>
      </c>
      <c r="K492" s="1235" t="inlineStr">
        <is>
          <t>Row 51 must equal cash cost multiplied by finished production, and must equal total opex on 13 EBITDA Model row 42</t>
        </is>
      </c>
      <c r="L492" s="1236" t="inlineStr">
        <is>
          <t>Low for the split, High for the total</t>
        </is>
      </c>
      <c r="M492" s="1235" t="inlineStr">
        <is>
          <t>Cost Curve, Model Assumptions, Steel Supply Model</t>
        </is>
      </c>
      <c r="N492" s="1235" t="inlineStr">
        <is>
          <t>Annually</t>
        </is>
      </c>
      <c r="O492" s="1236" t="inlineStr">
        <is>
          <t>FY2026A</t>
        </is>
      </c>
      <c r="P492" s="1235" t="inlineStr">
        <is>
          <t>Populated by modelling rather than left blank; the basis is stated in the Assumption column so it can be replaced with a sourced series when one exists.</t>
        </is>
      </c>
    </row>
    <row r="493" ht="46" customHeight="1" s="632">
      <c r="A493" s="1232" t="inlineStr">
        <is>
          <t>MG05</t>
        </is>
      </c>
      <c r="B493" s="1233" t="inlineStr">
        <is>
          <t>Margin benchmark, FY2026A</t>
        </is>
      </c>
      <c r="C493" s="1244">
        <f>'Margin Analysis'!B56</f>
        <v/>
      </c>
      <c r="D493" s="1234" t="inlineStr">
        <is>
          <t>%</t>
        </is>
      </c>
      <c r="E493" s="1233" t="inlineStr">
        <is>
          <t>Computed in-cell: realisation is rebuilt as EBITDA per tonne plus cash cost, which makes the benchmark internally consistent by construction</t>
        </is>
      </c>
      <c r="F493" s="1233" t="inlineStr">
        <is>
          <t>'=C56+D56 for realisation; =IFERROR(C56/E56,"") for margin</t>
        </is>
      </c>
      <c r="G493" s="1233" t="inlineStr">
        <is>
          <t>Master Industry Database: each producer discloses realisation and EBITDA per tonne</t>
        </is>
      </c>
      <c r="H493" s="1233" t="inlineStr">
        <is>
          <t>13 EBITDA Model rows 108 to 111; 11 Cost Curve rows 85 to 88</t>
        </is>
      </c>
      <c r="I493" s="1233" t="inlineStr">
        <is>
          <t>Realisation is derived rather than quoted, so margin, EBITDA per tonne and cash cost cannot disagree.</t>
        </is>
      </c>
      <c r="J493" s="1233" t="inlineStr">
        <is>
          <t>Tata Steel at roughly 24.4% against SAIL at roughly 11.9% on the same tonne of steel. The dispersion is driven by product mix and captive iron ore, not by conversion cost - the cost curve above shows only a 7.7% spread. Note SAIL is understated because its EBITDA is standalone while its revenue is consolidated.</t>
        </is>
      </c>
      <c r="K493" s="1233" t="inlineStr">
        <is>
          <t>The Others row reproduces the industry aggregate of 17.9%, and each producer margin must equal its EBITDA per tonne divided by its implied realisation</t>
        </is>
      </c>
      <c r="L493" s="1234" t="inlineStr">
        <is>
          <t>High for the four majors</t>
        </is>
      </c>
      <c r="M493" s="1233" t="inlineStr">
        <is>
          <t>EBITDA Model, Cost Curve</t>
        </is>
      </c>
      <c r="N493" s="1233" t="inlineStr">
        <is>
          <t>Quarterly</t>
        </is>
      </c>
      <c r="O493" s="1234" t="inlineStr">
        <is>
          <t>FY2026A</t>
        </is>
      </c>
      <c r="P493" s="1233" t="inlineStr">
        <is>
          <t>Was entirely blank.</t>
        </is>
      </c>
    </row>
    <row r="494" ht="46" customHeight="1" s="632">
      <c r="A494" s="1232" t="inlineStr">
        <is>
          <t>MG06</t>
        </is>
      </c>
      <c r="B494" s="1235" t="inlineStr">
        <is>
          <t>Margin sensitivity, FY2033E</t>
        </is>
      </c>
      <c r="C494" s="1259">
        <f>'Margin Analysis'!C65</f>
        <v/>
      </c>
      <c r="D494" s="1236" t="inlineStr">
        <is>
          <t>ppt</t>
        </is>
      </c>
      <c r="E494" s="1235" t="inlineStr">
        <is>
          <t>Computed in-cell by re-striking the margin identity under each shock and differencing against the base</t>
        </is>
      </c>
      <c r="F494" s="1235" t="inlineStr">
        <is>
          <t>'=(1-'Cost Curve'!$J$80/($J$88*(1+B65)))-$J$91</t>
        </is>
      </c>
      <c r="G494" s="1235" t="inlineStr">
        <is>
          <t>Computed from the model</t>
        </is>
      </c>
      <c r="H494" s="1235" t="inlineStr">
        <is>
          <t>22 Sensitivity Analysis section A, which runs the same shocks through to EBITDA in Rs crore</t>
        </is>
      </c>
      <c r="I494" s="1235" t="inlineStr">
        <is>
          <t>Iron ore moves 45% of the 60% raw material share; USD/INR moves 90% of it, because only the 10% other-ferrous weight is domestically priced.</t>
        </is>
      </c>
      <c r="J494" s="1235" t="inlineStr">
        <is>
          <t>A 5% move in steel price is worth roughly 4.2 percentage points of margin, while a 10% move in iron ore is worth roughly 1.4 points. Price is therefore about three times as powerful as either input cost - which is why the realisation driver, not the commodity deck, is the assumption to stress-test hardest.</t>
        </is>
      </c>
      <c r="K494" s="1235" t="inlineStr">
        <is>
          <t>Signs must be intuitive: price up improves margin, input costs up reduce it, and the two volume rows return exactly zero</t>
        </is>
      </c>
      <c r="L494" s="1236" t="inlineStr">
        <is>
          <t>Medium</t>
        </is>
      </c>
      <c r="M494" s="1235" t="inlineStr">
        <is>
          <t>Cost Curve, Model Assumptions</t>
        </is>
      </c>
      <c r="N494" s="1235" t="inlineStr">
        <is>
          <t>Live</t>
        </is>
      </c>
      <c r="O494" s="1236" t="inlineStr">
        <is>
          <t>FY2033E</t>
        </is>
      </c>
      <c r="P494" s="1235" t="inlineStr">
        <is>
          <t>Was entirely blank. The two volume rows are zero by construction and are explained separately.</t>
        </is>
      </c>
    </row>
    <row r="495" ht="46" customHeight="1" s="632">
      <c r="A495" s="1232" t="inlineStr">
        <is>
          <t>MG07</t>
        </is>
      </c>
      <c r="B495" s="1233" t="inlineStr">
        <is>
          <t>Four-scenario margin path</t>
        </is>
      </c>
      <c r="C495" s="1244">
        <f>'Margin Analysis'!B82</f>
        <v/>
      </c>
      <c r="D495" s="1234" t="inlineStr">
        <is>
          <t>%</t>
        </is>
      </c>
      <c r="E495" s="1233" t="inlineStr">
        <is>
          <t>Cross-sheet reference to the scenario engine on 24 Scenario Manager</t>
        </is>
      </c>
      <c r="F495" s="1233" t="inlineStr">
        <is>
          <t>'='Scenario Manager'!$J$&lt;engine row&gt;</t>
        </is>
      </c>
      <c r="G495" s="1233" t="inlineStr">
        <is>
          <t>Rebuilt live from the scenario driver matrix on 02 Model Assumptions</t>
        </is>
      </c>
      <c r="H495" s="1233" t="inlineStr">
        <is>
          <t>Independent tie-out on 24 Scenario Manager row 76; observed history on research block rows 97 to 100</t>
        </is>
      </c>
      <c r="I495" s="1233" t="inlineStr">
        <is>
          <t>Margin is EBITDA per tonne divided by effective realisation.</t>
        </is>
      </c>
      <c r="J495" s="1233" t="inlineStr">
        <is>
          <t>THE SCENARIOS ARE CALIBRATED TO OBSERVED HISTORY, which is what makes them defendable. The Bull Case peaks at 26.0%, exactly the FY2022 cycle peak. The Bear Case troughs at 7-11%, below the FY2024 trough of 13%. The Stress Case reaches -9.2%, marginally worse than the worst single observation in the database, SAIL at -7% in FY2016. No scenario asserts a margin the industry has never delivered.</t>
        </is>
      </c>
      <c r="K495" s="1233" t="inlineStr">
        <is>
          <t>FY2033E must equal 16.8% / 25.2% / 8.0% / 9.9%, and every scenario path must sit inside the -9.2% to +26.0% observed envelope on research block rows 97 to 99</t>
        </is>
      </c>
      <c r="L495" s="1234" t="inlineStr">
        <is>
          <t>High</t>
        </is>
      </c>
      <c r="M495" s="1233" t="inlineStr">
        <is>
          <t>Scenario Manager</t>
        </is>
      </c>
      <c r="N495" s="1233" t="inlineStr">
        <is>
          <t>Live</t>
        </is>
      </c>
      <c r="O495" s="1234" t="inlineStr">
        <is>
          <t>Live</t>
        </is>
      </c>
      <c r="P495" s="1233" t="inlineStr">
        <is>
          <t>Was entirely blank.</t>
        </is>
      </c>
    </row>
    <row r="496" ht="46" customHeight="1" s="632">
      <c r="A496" s="1232" t="inlineStr">
        <is>
          <t>MG08</t>
        </is>
      </c>
      <c r="B496" s="1235" t="inlineStr">
        <is>
          <t>Realisation</t>
        </is>
      </c>
      <c r="C496" s="1241">
        <f>IF(ISNUMBER('Margin Analysis'!J88),'Margin Analysis'!J88,'Margin Analysis'!C88)</f>
        <v/>
      </c>
      <c r="D496" s="1236" t="inlineStr">
        <is>
          <t>Rs/t</t>
        </is>
      </c>
      <c r="E496" s="1235" t="inlineStr">
        <is>
          <t>Cross-sheet reference (linked, not re-entered)</t>
        </is>
      </c>
      <c r="F496" s="1235" t="inlineStr">
        <is>
          <t>'='Steel Price Forecast'!D$103</t>
        </is>
      </c>
      <c r="G496" s="1235" t="inlineStr">
        <is>
          <t>09 Price</t>
        </is>
      </c>
      <c r="H496" s="1235" t="inlineStr">
        <is>
          <t>26 Sources register; Master Industry Database source log (47 cited sources)</t>
        </is>
      </c>
      <c r="I496" s="1235" t="n"/>
      <c r="J496" s="1235" t="n"/>
      <c r="K496" s="1235" t="inlineStr">
        <is>
          <t>Reconciled by 25 Audit Checks</t>
        </is>
      </c>
      <c r="L496" s="1236" t="inlineStr">
        <is>
          <t>Medium</t>
        </is>
      </c>
      <c r="M496" s="1235" t="inlineStr">
        <is>
          <t>Steel Price Forecast</t>
        </is>
      </c>
      <c r="N496" s="1235" t="inlineStr">
        <is>
          <t>Recalculates live with the model</t>
        </is>
      </c>
      <c r="O496" s="1236" t="inlineStr">
        <is>
          <t>Live</t>
        </is>
      </c>
      <c r="P496" s="1235" t="inlineStr">
        <is>
          <t>Research block row 88. Value column is live and re-states on a scenario change.</t>
        </is>
      </c>
    </row>
    <row r="497" ht="46" customHeight="1" s="632">
      <c r="A497" s="1232" t="inlineStr">
        <is>
          <t>MG09</t>
        </is>
      </c>
      <c r="B497" s="1233" t="inlineStr">
        <is>
          <t>Cash cost</t>
        </is>
      </c>
      <c r="C497" s="1242">
        <f>IF(ISNUMBER('Margin Analysis'!J89),'Margin Analysis'!J89,'Margin Analysis'!C89)</f>
        <v/>
      </c>
      <c r="D497" s="1234" t="inlineStr">
        <is>
          <t>Rs/t</t>
        </is>
      </c>
      <c r="E497" s="1233" t="inlineStr">
        <is>
          <t>Cross-sheet reference (linked, not re-entered)</t>
        </is>
      </c>
      <c r="F497" s="1233" t="inlineStr">
        <is>
          <t>'='Cost Curve'!D$80</t>
        </is>
      </c>
      <c r="G497" s="1233" t="inlineStr">
        <is>
          <t>11 Cost</t>
        </is>
      </c>
      <c r="H497" s="1233" t="inlineStr">
        <is>
          <t>26 Sources register; Master Industry Database source log (47 cited sources)</t>
        </is>
      </c>
      <c r="I497" s="1233" t="n"/>
      <c r="J497" s="1233" t="n"/>
      <c r="K497" s="1233" t="inlineStr">
        <is>
          <t>Reconciled by 25 Audit Checks</t>
        </is>
      </c>
      <c r="L497" s="1234" t="inlineStr">
        <is>
          <t>Medium</t>
        </is>
      </c>
      <c r="M497" s="1233" t="inlineStr">
        <is>
          <t>Cost Curve</t>
        </is>
      </c>
      <c r="N497" s="1233" t="inlineStr">
        <is>
          <t>Recalculates live with the model</t>
        </is>
      </c>
      <c r="O497" s="1234" t="inlineStr">
        <is>
          <t>Live</t>
        </is>
      </c>
      <c r="P497" s="1233" t="inlineStr">
        <is>
          <t>Research block row 89. Value column is live and re-states on a scenario change.</t>
        </is>
      </c>
    </row>
    <row r="498" ht="46" customHeight="1" s="632">
      <c r="A498" s="1232" t="inlineStr">
        <is>
          <t>MG10</t>
        </is>
      </c>
      <c r="B498" s="1235" t="inlineStr">
        <is>
          <t>EBITDA per tonne</t>
        </is>
      </c>
      <c r="C498" s="1241">
        <f>IF(ISNUMBER('Margin Analysis'!J90),'Margin Analysis'!J90,'Margin Analysis'!C90)</f>
        <v/>
      </c>
      <c r="D498" s="1236" t="inlineStr">
        <is>
          <t>Rs/t</t>
        </is>
      </c>
      <c r="E498" s="1235" t="inlineStr">
        <is>
          <t>Cross-sheet reference (linked, not re-entered)</t>
        </is>
      </c>
      <c r="F498" s="1235" t="inlineStr">
        <is>
          <t>'='EBITDA Model'!D$101</t>
        </is>
      </c>
      <c r="G498" s="1235" t="inlineStr">
        <is>
          <t>13 EBITDA</t>
        </is>
      </c>
      <c r="H498" s="1235" t="inlineStr">
        <is>
          <t>26 Sources register; Master Industry Database source log (47 cited sources)</t>
        </is>
      </c>
      <c r="I498" s="1235" t="n"/>
      <c r="J498" s="1235" t="n"/>
      <c r="K498" s="1235" t="inlineStr">
        <is>
          <t>Reconciled by 25 Audit Checks</t>
        </is>
      </c>
      <c r="L498" s="1236" t="inlineStr">
        <is>
          <t>Medium</t>
        </is>
      </c>
      <c r="M498" s="1235" t="inlineStr">
        <is>
          <t>EBITDA Model</t>
        </is>
      </c>
      <c r="N498" s="1235" t="inlineStr">
        <is>
          <t>Recalculates live with the model</t>
        </is>
      </c>
      <c r="O498" s="1236" t="inlineStr">
        <is>
          <t>Live</t>
        </is>
      </c>
      <c r="P498" s="1235" t="inlineStr">
        <is>
          <t>Research block row 90. Value column is live and re-states on a scenario change.</t>
        </is>
      </c>
    </row>
    <row r="499" ht="46" customHeight="1" s="632">
      <c r="A499" s="1232" t="inlineStr">
        <is>
          <t>MG11</t>
        </is>
      </c>
      <c r="B499" s="1233" t="inlineStr">
        <is>
          <t>INDUSTRY EBITDA MARGIN</t>
        </is>
      </c>
      <c r="C499" s="1242">
        <f>IF(ISNUMBER('Margin Analysis'!J91),'Margin Analysis'!J91,'Margin Analysis'!C91)</f>
        <v/>
      </c>
      <c r="D499" s="1234" t="inlineStr">
        <is>
          <t>%</t>
        </is>
      </c>
      <c r="E499" s="1233" t="inlineStr">
        <is>
          <t>Computed in-cell</t>
        </is>
      </c>
      <c r="F499" s="1233" t="inlineStr">
        <is>
          <t>'=D90/D88</t>
        </is>
      </c>
      <c r="G499" s="1233" t="inlineStr">
        <is>
          <t>Computed</t>
        </is>
      </c>
      <c r="H499" s="1233" t="inlineStr">
        <is>
          <t>26 Sources register; Master Industry Database source log (47 cited sources)</t>
        </is>
      </c>
      <c r="I499" s="1233" t="inlineStr">
        <is>
          <t>FY2026A of 17.9% is the volume-weighted actual across the four majors.</t>
        </is>
      </c>
      <c r="J499" s="1233" t="n"/>
      <c r="K499" s="1233" t="inlineStr">
        <is>
          <t>Reconciled by 25 Audit Checks</t>
        </is>
      </c>
      <c r="L499" s="1234" t="inlineStr">
        <is>
          <t>Medium</t>
        </is>
      </c>
      <c r="M499" s="1233" t="inlineStr">
        <is>
          <t>This sheet</t>
        </is>
      </c>
      <c r="N499" s="1233" t="inlineStr">
        <is>
          <t>Recalculates live with the model</t>
        </is>
      </c>
      <c r="O499" s="1234" t="inlineStr">
        <is>
          <t>Live</t>
        </is>
      </c>
      <c r="P499" s="1233" t="inlineStr">
        <is>
          <t>Research block row 91. Value column is live and re-states on a scenario change.</t>
        </is>
      </c>
    </row>
    <row r="500" ht="46" customHeight="1" s="632">
      <c r="A500" s="1232" t="inlineStr">
        <is>
          <t>MG12</t>
        </is>
      </c>
      <c r="B500" s="1235" t="inlineStr">
        <is>
          <t>Realisation change vs FY2026A</t>
        </is>
      </c>
      <c r="C500" s="1241">
        <f>'Margin Analysis'!J93</f>
        <v/>
      </c>
      <c r="D500" s="1236" t="inlineStr">
        <is>
          <t>Rs/t</t>
        </is>
      </c>
      <c r="E500" s="1235" t="inlineStr">
        <is>
          <t>Computed in-cell</t>
        </is>
      </c>
      <c r="F500" s="1235" t="inlineStr">
        <is>
          <t>'=D88-$C$88</t>
        </is>
      </c>
      <c r="G500" s="1235" t="inlineStr">
        <is>
          <t>Computed</t>
        </is>
      </c>
      <c r="H500" s="1235" t="inlineStr">
        <is>
          <t>26 Sources register; Master Industry Database source log (47 cited sources)</t>
        </is>
      </c>
      <c r="I500" s="1235" t="n"/>
      <c r="J500" s="1235" t="n"/>
      <c r="K500" s="1235" t="inlineStr">
        <is>
          <t>Reconciled by 25 Audit Checks</t>
        </is>
      </c>
      <c r="L500" s="1236" t="inlineStr">
        <is>
          <t>Medium</t>
        </is>
      </c>
      <c r="M500" s="1235" t="inlineStr">
        <is>
          <t>This sheet</t>
        </is>
      </c>
      <c r="N500" s="1235" t="inlineStr">
        <is>
          <t>Recalculates live with the model</t>
        </is>
      </c>
      <c r="O500" s="1236" t="inlineStr">
        <is>
          <t>Live</t>
        </is>
      </c>
      <c r="P500" s="1235" t="inlineStr">
        <is>
          <t>Research block row 93. Value column is live and re-states on a scenario change.</t>
        </is>
      </c>
    </row>
    <row r="501" ht="46" customHeight="1" s="632">
      <c r="A501" s="1232" t="inlineStr">
        <is>
          <t>MG13</t>
        </is>
      </c>
      <c r="B501" s="1233" t="inlineStr">
        <is>
          <t>Cash cost change vs FY2026A</t>
        </is>
      </c>
      <c r="C501" s="1242">
        <f>'Margin Analysis'!J94</f>
        <v/>
      </c>
      <c r="D501" s="1234" t="inlineStr">
        <is>
          <t>Rs/t</t>
        </is>
      </c>
      <c r="E501" s="1233" t="inlineStr">
        <is>
          <t>Computed in-cell</t>
        </is>
      </c>
      <c r="F501" s="1233" t="inlineStr">
        <is>
          <t>'=-(D89-$C$89)</t>
        </is>
      </c>
      <c r="G501" s="1233" t="inlineStr">
        <is>
          <t>Computed</t>
        </is>
      </c>
      <c r="H501" s="1233" t="inlineStr">
        <is>
          <t>26 Sources register; Master Industry Database source log (47 cited sources)</t>
        </is>
      </c>
      <c r="I501" s="1233" t="inlineStr">
        <is>
          <t>Shown with the sign reversed so that the two bridge lines sum to the EBITDA/t change - a negative value means cost inflation is eroding margin.</t>
        </is>
      </c>
      <c r="J501" s="1233" t="n"/>
      <c r="K501" s="1233" t="inlineStr">
        <is>
          <t>Reconciled by 25 Audit Checks</t>
        </is>
      </c>
      <c r="L501" s="1234" t="inlineStr">
        <is>
          <t>Medium</t>
        </is>
      </c>
      <c r="M501" s="1233" t="inlineStr">
        <is>
          <t>This sheet</t>
        </is>
      </c>
      <c r="N501" s="1233" t="inlineStr">
        <is>
          <t>Recalculates live with the model</t>
        </is>
      </c>
      <c r="O501" s="1234" t="inlineStr">
        <is>
          <t>Live</t>
        </is>
      </c>
      <c r="P501" s="1233" t="inlineStr">
        <is>
          <t>Research block row 94. Value column is live and re-states on a scenario change.</t>
        </is>
      </c>
    </row>
    <row r="502" ht="46" customHeight="1" s="632">
      <c r="A502" s="1232" t="inlineStr">
        <is>
          <t>MG14</t>
        </is>
      </c>
      <c r="B502" s="1235" t="inlineStr">
        <is>
          <t>EBITDA per tonne change vs FY2026A</t>
        </is>
      </c>
      <c r="C502" s="1241">
        <f>'Margin Analysis'!J95</f>
        <v/>
      </c>
      <c r="D502" s="1236" t="inlineStr">
        <is>
          <t>Rs/t</t>
        </is>
      </c>
      <c r="E502" s="1235" t="inlineStr">
        <is>
          <t>Computed in-cell</t>
        </is>
      </c>
      <c r="F502" s="1235" t="inlineStr">
        <is>
          <t>'=D93+D94</t>
        </is>
      </c>
      <c r="G502" s="1235" t="inlineStr">
        <is>
          <t>Computed</t>
        </is>
      </c>
      <c r="H502" s="1235" t="inlineStr">
        <is>
          <t>26 Sources register; Master Industry Database source log (47 cited sources)</t>
        </is>
      </c>
      <c r="I502" s="1235" t="inlineStr">
        <is>
          <t>BRIDGE CHECK: must equal EBITDA/t less the FY2026A EBITDA/t.</t>
        </is>
      </c>
      <c r="J502" s="1235" t="inlineStr">
        <is>
          <t>Verified on 25 Audit Checks.</t>
        </is>
      </c>
      <c r="K502" s="1235" t="inlineStr">
        <is>
          <t>Reconciled by 25 Audit Checks</t>
        </is>
      </c>
      <c r="L502" s="1236" t="inlineStr">
        <is>
          <t>Medium</t>
        </is>
      </c>
      <c r="M502" s="1235" t="inlineStr">
        <is>
          <t>This sheet</t>
        </is>
      </c>
      <c r="N502" s="1235" t="inlineStr">
        <is>
          <t>Recalculates live with the model</t>
        </is>
      </c>
      <c r="O502" s="1236" t="inlineStr">
        <is>
          <t>Live</t>
        </is>
      </c>
      <c r="P502" s="1235" t="inlineStr">
        <is>
          <t>Research block row 95. Value column is live and re-states on a scenario change.</t>
        </is>
      </c>
    </row>
    <row r="503" ht="46" customHeight="1" s="632">
      <c r="A503" s="1232" t="inlineStr">
        <is>
          <t>MG15</t>
        </is>
      </c>
      <c r="B503" s="1233" t="inlineStr">
        <is>
          <t>Observed cycle PEAK margin, FY2022</t>
        </is>
      </c>
      <c r="C503" s="1242">
        <f>'Margin Analysis'!C97</f>
        <v/>
      </c>
      <c r="D503" s="1234" t="inlineStr">
        <is>
          <t>%</t>
        </is>
      </c>
      <c r="E503" s="1233" t="inlineStr">
        <is>
          <t>Sourced actual (hard value)</t>
        </is>
      </c>
      <c r="F503" s="1233" t="inlineStr">
        <is>
          <t>(constant) 0.26</t>
        </is>
      </c>
      <c r="G503" s="1233" t="inlineStr">
        <is>
          <t>Master DB</t>
        </is>
      </c>
      <c r="H503" s="1233" t="inlineStr">
        <is>
          <t>26 Sources register; Master Industry Database source log (47 cited sources)</t>
        </is>
      </c>
      <c r="I503" s="1233" t="inlineStr">
        <is>
          <t>Standardised EBITDA margins FY2022: Tata Steel 26%, JSW Steel 27%, SAIL 21%, Jindal Steel 30%.</t>
        </is>
      </c>
      <c r="J503" s="1233" t="inlineStr">
        <is>
          <t>The bull case is calibrated to peak at 26.0% in FY2030.</t>
        </is>
      </c>
      <c r="K503" s="1233" t="inlineStr">
        <is>
          <t>Reconciled by 25 Audit Checks</t>
        </is>
      </c>
      <c r="L503" s="1234" t="inlineStr">
        <is>
          <t>High</t>
        </is>
      </c>
      <c r="M503" s="1233" t="inlineStr">
        <is>
          <t>This sheet</t>
        </is>
      </c>
      <c r="N503" s="1233" t="inlineStr">
        <is>
          <t>Quarterly, on each results season</t>
        </is>
      </c>
      <c r="O503" s="1234" t="inlineStr">
        <is>
          <t>FY2026A</t>
        </is>
      </c>
      <c r="P503" s="1233" t="inlineStr">
        <is>
          <t>Research block row 97. Value column is live and re-states on a scenario change.</t>
        </is>
      </c>
    </row>
    <row r="504" ht="46" customHeight="1" s="632">
      <c r="A504" s="1232" t="inlineStr">
        <is>
          <t>MG16</t>
        </is>
      </c>
      <c r="B504" s="1235" t="inlineStr">
        <is>
          <t>Observed cycle TROUGH margin, FY2024</t>
        </is>
      </c>
      <c r="C504" s="1241">
        <f>'Margin Analysis'!C98</f>
        <v/>
      </c>
      <c r="D504" s="1236" t="inlineStr">
        <is>
          <t>%</t>
        </is>
      </c>
      <c r="E504" s="1235" t="inlineStr">
        <is>
          <t>Sourced actual (hard value)</t>
        </is>
      </c>
      <c r="F504" s="1235" t="inlineStr">
        <is>
          <t>(constant) 0.13</t>
        </is>
      </c>
      <c r="G504" s="1235" t="inlineStr">
        <is>
          <t>Master DB</t>
        </is>
      </c>
      <c r="H504" s="1235" t="inlineStr">
        <is>
          <t>26 Sources register; Master Industry Database source log (47 cited sources)</t>
        </is>
      </c>
      <c r="I504" s="1235" t="inlineStr">
        <is>
          <t>FY2024: Tata Steel 10%, JSW Steel 16%, SAIL 11%, Jindal Steel 20%.</t>
        </is>
      </c>
      <c r="J504" s="1235" t="n"/>
      <c r="K504" s="1235" t="inlineStr">
        <is>
          <t>Reconciled by 25 Audit Checks</t>
        </is>
      </c>
      <c r="L504" s="1236" t="inlineStr">
        <is>
          <t>High</t>
        </is>
      </c>
      <c r="M504" s="1235" t="inlineStr">
        <is>
          <t>This sheet</t>
        </is>
      </c>
      <c r="N504" s="1235" t="inlineStr">
        <is>
          <t>Quarterly, on each results season</t>
        </is>
      </c>
      <c r="O504" s="1236" t="inlineStr">
        <is>
          <t>FY2026A</t>
        </is>
      </c>
      <c r="P504" s="1235" t="inlineStr">
        <is>
          <t>Research block row 98. Value column is live and re-states on a scenario change.</t>
        </is>
      </c>
    </row>
    <row r="505" ht="46" customHeight="1" s="632">
      <c r="A505" s="1232" t="inlineStr">
        <is>
          <t>MG17</t>
        </is>
      </c>
      <c r="B505" s="1233" t="inlineStr">
        <is>
          <t>Worst single observation, SAIL FY2016</t>
        </is>
      </c>
      <c r="C505" s="1242">
        <f>'Margin Analysis'!C99</f>
        <v/>
      </c>
      <c r="D505" s="1234" t="inlineStr">
        <is>
          <t>%</t>
        </is>
      </c>
      <c r="E505" s="1233" t="inlineStr">
        <is>
          <t>Sourced actual (hard value)</t>
        </is>
      </c>
      <c r="F505" s="1233" t="inlineStr">
        <is>
          <t>(constant) -0.07</t>
        </is>
      </c>
      <c r="G505" s="1233" t="inlineStr">
        <is>
          <t>Master DB</t>
        </is>
      </c>
      <c r="H505" s="1233" t="inlineStr">
        <is>
          <t>26 Sources register; Master Industry Database source log (47 cited sources)</t>
        </is>
      </c>
      <c r="I505" s="1233" t="inlineStr">
        <is>
          <t>The floor reference.</t>
        </is>
      </c>
      <c r="J505" s="1233" t="inlineStr">
        <is>
          <t>The stress case troughs at -9.2% in FY2028, marginally worse, which is deliberate: a stress case should breach the worst observed outcome.</t>
        </is>
      </c>
      <c r="K505" s="1233" t="inlineStr">
        <is>
          <t>Reconciled by 25 Audit Checks</t>
        </is>
      </c>
      <c r="L505" s="1234" t="inlineStr">
        <is>
          <t>High</t>
        </is>
      </c>
      <c r="M505" s="1233" t="inlineStr">
        <is>
          <t>This sheet</t>
        </is>
      </c>
      <c r="N505" s="1233" t="inlineStr">
        <is>
          <t>Quarterly, on each results season</t>
        </is>
      </c>
      <c r="O505" s="1234" t="inlineStr">
        <is>
          <t>FY2026A</t>
        </is>
      </c>
      <c r="P505" s="1233" t="inlineStr">
        <is>
          <t>Research block row 99. Value column is live and re-states on a scenario change.</t>
        </is>
      </c>
    </row>
    <row r="506" ht="46" customHeight="1" s="632">
      <c r="A506" s="1232" t="inlineStr">
        <is>
          <t>MG18</t>
        </is>
      </c>
      <c r="B506" s="1235" t="inlineStr">
        <is>
          <t>FY2026A actual industry margin</t>
        </is>
      </c>
      <c r="C506" s="1241">
        <f>'Margin Analysis'!C100</f>
        <v/>
      </c>
      <c r="D506" s="1236" t="inlineStr">
        <is>
          <t>%</t>
        </is>
      </c>
      <c r="E506" s="1235" t="inlineStr">
        <is>
          <t>Sourced actual (hard value)</t>
        </is>
      </c>
      <c r="F506" s="1235" t="inlineStr">
        <is>
          <t>(constant) 0.1789608830493214</t>
        </is>
      </c>
      <c r="G506" s="1235" t="inlineStr">
        <is>
          <t>Master DB</t>
        </is>
      </c>
      <c r="H506" s="1235" t="inlineStr">
        <is>
          <t>26 Sources register; Master Industry Database source log (47 cited sources)</t>
        </is>
      </c>
      <c r="I506" s="1235" t="inlineStr">
        <is>
          <t>Volume-weighted across the four majors.</t>
        </is>
      </c>
      <c r="J506" s="1235" t="n"/>
      <c r="K506" s="1235" t="inlineStr">
        <is>
          <t>Reconciled by 25 Audit Checks</t>
        </is>
      </c>
      <c r="L506" s="1236" t="inlineStr">
        <is>
          <t>High</t>
        </is>
      </c>
      <c r="M506" s="1235" t="inlineStr">
        <is>
          <t>This sheet</t>
        </is>
      </c>
      <c r="N506" s="1235" t="inlineStr">
        <is>
          <t>Quarterly, on each results season</t>
        </is>
      </c>
      <c r="O506" s="1236" t="inlineStr">
        <is>
          <t>FY2026A</t>
        </is>
      </c>
      <c r="P506" s="1235" t="inlineStr">
        <is>
          <t>Research block row 100. Value column is live and re-states on a scenario change.</t>
        </is>
      </c>
    </row>
    <row r="509" ht="18" customHeight="1" s="632">
      <c r="A509" s="1229" t="inlineStr">
        <is>
          <t>Working Capital Model  -  9 documented items  (WC01 - WC09)</t>
        </is>
      </c>
      <c r="B509" s="1161" t="n"/>
      <c r="C509" s="1161" t="n"/>
      <c r="D509" s="1161" t="n"/>
      <c r="E509" s="1161" t="n"/>
      <c r="F509" s="1161" t="n"/>
      <c r="G509" s="1161" t="n"/>
      <c r="H509" s="1161" t="n"/>
      <c r="I509" s="1161" t="n"/>
      <c r="J509" s="1161" t="n"/>
      <c r="K509" s="1161" t="n"/>
      <c r="L509" s="1161" t="n"/>
      <c r="M509" s="1161" t="n"/>
      <c r="N509" s="1161" t="n"/>
      <c r="O509" s="1161" t="n"/>
      <c r="P509" s="1161" t="n"/>
    </row>
    <row r="510" ht="24" customHeight="1" s="632">
      <c r="A510" s="1230" t="inlineStr">
        <is>
          <t>Every documented number on Working Capital Model. The Code column matches the Ref column on that sheet.</t>
        </is>
      </c>
    </row>
    <row r="511" ht="30" customHeight="1" s="632">
      <c r="A511" s="1231" t="inlineStr">
        <is>
          <t>Code</t>
        </is>
      </c>
      <c r="B511" s="1231" t="inlineStr">
        <is>
          <t>Model Item</t>
        </is>
      </c>
      <c r="C511" s="1231" t="inlineStr">
        <is>
          <t>Value</t>
        </is>
      </c>
      <c r="D511" s="1231" t="inlineStr">
        <is>
          <t>Unit</t>
        </is>
      </c>
      <c r="E511" s="1231" t="inlineStr">
        <is>
          <t>Calculation Method</t>
        </is>
      </c>
      <c r="F511" s="1231" t="inlineStr">
        <is>
          <t>Formula Used</t>
        </is>
      </c>
      <c r="G511" s="1231" t="inlineStr">
        <is>
          <t>Primary Source</t>
        </is>
      </c>
      <c r="H511" s="1231" t="inlineStr">
        <is>
          <t>Secondary Source</t>
        </is>
      </c>
      <c r="I511" s="1231" t="inlineStr">
        <is>
          <t>Assumption</t>
        </is>
      </c>
      <c r="J511" s="1231" t="inlineStr">
        <is>
          <t>Reasoning</t>
        </is>
      </c>
      <c r="K511" s="1231" t="inlineStr">
        <is>
          <t>Cross-check</t>
        </is>
      </c>
      <c r="L511" s="1231" t="inlineStr">
        <is>
          <t>Confidence Level</t>
        </is>
      </c>
      <c r="M511" s="1231" t="inlineStr">
        <is>
          <t>Linked Sheet</t>
        </is>
      </c>
      <c r="N511" s="1231" t="inlineStr">
        <is>
          <t>Update Frequency</t>
        </is>
      </c>
      <c r="O511" s="1231" t="inlineStr">
        <is>
          <t>Last Available Date</t>
        </is>
      </c>
      <c r="P511" s="1231" t="inlineStr">
        <is>
          <t>Comments</t>
        </is>
      </c>
    </row>
    <row r="512" ht="46" customHeight="1" s="632">
      <c r="A512" s="1232" t="inlineStr">
        <is>
          <t>WC01</t>
        </is>
      </c>
      <c r="B512" s="1233" t="inlineStr">
        <is>
          <t>Working capital decomposition - inventory, receivables and payables</t>
        </is>
      </c>
      <c r="C512" s="1257">
        <f>'Working Capital Model'!I24</f>
        <v/>
      </c>
      <c r="D512" s="1234" t="inlineStr">
        <is>
          <t>Rs cr and days</t>
        </is>
      </c>
      <c r="E512" s="1233" t="inlineStr">
        <is>
          <t>Each component is a fixed ratio of net working capital days (column K), applied to revenue: revenue x ratio x net days / 365</t>
        </is>
      </c>
      <c r="F512" s="1233" t="inlineStr">
        <is>
          <t>'=$C$70*$K$19*$C$71/365 for the inventory balance; =$K$19*$C$71 for inventory days</t>
        </is>
      </c>
      <c r="G512" s="1233" t="inlineStr">
        <is>
          <t>Modelled decomposition of driver D18, which is itself NOT SOURCED</t>
        </is>
      </c>
      <c r="H512" s="1233" t="inlineStr">
        <is>
          <t>Component levels are typical of Indian integrated producers; Tata Steel and JSW Steel disclose the components individually</t>
        </is>
      </c>
      <c r="I512" s="1233" t="inlineStr">
        <is>
          <t>Net working capital of 45 days of revenue in the base case is decomposed into 55 days of inventory, 28 days of trade receivables and 7 days of other receivables, less 38 days of trade payables and 7 days of other current liabilities: 55 + 28 + 7 - 38 - 7 = 45. Those levels are typical of Indian integrated steel producers - inventory is the largest component because an integrated mill holds coal, ore, work in progress and finished stock, and receivable days are short because a large share of domestic sales goes through dealers on tight credit. Each component is stored as a RATIO to the net, not as an absolute day-count, which is the important design choice: the five ratios sum to exactly 1.00, so the decomposition always reconciles to driver D18, and when the scenario moves the driver to 40, 52 or 62 days every component rescales with it instead of silently breaking the identity.</t>
        </is>
      </c>
      <c r="J512" s="1233" t="inlineStr">
        <is>
          <t>These twenty-one rows were blank across every year - the largest single block of holes on the sheet - on the grounds that the Master Industry Database carries total assets and borrowings but no working-capital breakdown. That is true, and it is exactly why the decomposition has to be modelled rather than sourced. Leaving it blank had a real cost: the sheet is titled Working Capital Model and its three detail tables were empty, so the only usable number on it was the single 45-day driver, which is also the weakest input in the whole workbook. A decomposition that is forced to reconcile to that driver does not add false precision - the total is unchanged and every component is a stated fraction of it - but it does let a reader see WHERE the cash is locked up, and it makes the cash conversion cycle on row 32 the arithmetic consequence of three visible day-counts instead of a restatement of the driver.</t>
        </is>
      </c>
      <c r="K512" s="1233" t="inlineStr">
        <is>
          <t>ROW 24 IS THE TEST: it sums the five components and must equal research block row 72, the driver-based net working capital, in every year and every scenario. Row 32 cash conversion cycle must equal inventory days plus receivable days less payable days, which must equal the driver on row 71.</t>
        </is>
      </c>
      <c r="L512" s="1234" t="inlineStr">
        <is>
          <t>Low - the driver is unsourced and the split is modelled. MUST be replaced with disclosed receivable, inventory and payable days before transaction use.</t>
        </is>
      </c>
      <c r="M512" s="1233" t="inlineStr">
        <is>
          <t>Revenue Forecast, Model Assumptions</t>
        </is>
      </c>
      <c r="N512" s="1233" t="inlineStr">
        <is>
          <t>Quarterly, on each results season</t>
        </is>
      </c>
      <c r="O512" s="1234" t="inlineStr">
        <is>
          <t>FY2026A</t>
        </is>
      </c>
      <c r="P512" s="1233" t="inlineStr">
        <is>
          <t>Populated by modelling rather than left blank; the basis is stated in the Assumption column so it can be replaced with a sourced series when one exists.</t>
        </is>
      </c>
    </row>
    <row r="513" ht="46" customHeight="1" s="632">
      <c r="A513" s="1232" t="inlineStr">
        <is>
          <t>WC02</t>
        </is>
      </c>
      <c r="B513" s="1235" t="inlineStr">
        <is>
          <t>Working capital driver days by year</t>
        </is>
      </c>
      <c r="C513" s="1255">
        <f>'Working Capital Model'!H39</f>
        <v/>
      </c>
      <c r="D513" s="1236" t="inlineStr">
        <is>
          <t>days</t>
        </is>
      </c>
      <c r="E513" s="1235" t="inlineStr">
        <is>
          <t>Component ratio in column K multiplied by net working capital days for the year</t>
        </is>
      </c>
      <c r="F513" s="1235" t="inlineStr">
        <is>
          <t>'=$K$19*$D$71</t>
        </is>
      </c>
      <c r="G513" s="1235" t="inlineStr">
        <is>
          <t>Modelled decomposition of driver D18</t>
        </is>
      </c>
      <c r="H513" s="1235" t="inlineStr">
        <is>
          <t>Identical to rows 29 to 31, by construction</t>
        </is>
      </c>
      <c r="I513" s="1235" t="inlineStr">
        <is>
          <t>Net working capital of 45 days of revenue in the base case is decomposed into 55 days of inventory, 28 days of trade receivables and 7 days of other receivables, less 38 days of trade payables and 7 days of other current liabilities: 55 + 28 + 7 - 38 - 7 = 45. Those levels are typical of Indian integrated steel producers - inventory is the largest component because an integrated mill holds coal, ore, work in progress and finished stock, and receivable days are short because a large share of domestic sales goes through dealers on tight credit. Each component is stored as a RATIO to the net, not as an absolute day-count, which is the important design choice: the five ratios sum to exactly 1.00, so the decomposition always reconciles to driver D18, and when the scenario moves the driver to 40, 52 or 62 days every component rescales with it instead of silently breaking the identity.</t>
        </is>
      </c>
      <c r="J513" s="1235" t="inlineStr">
        <is>
          <t>The driver table repeated the same three day-counts that the days table above computes, and all three rows were blank. They now read from the same component ratios in column K, so the two tables cannot disagree - which is the whole reason for holding the ratios in one place rather than typing the days twice.</t>
        </is>
      </c>
      <c r="K513" s="1235" t="inlineStr">
        <is>
          <t>Must equal rows 29 to 31 exactly; inventory plus collection less payment days must equal the net working capital driver</t>
        </is>
      </c>
      <c r="L513" s="1236" t="inlineStr">
        <is>
          <t>Low</t>
        </is>
      </c>
      <c r="M513" s="1235" t="inlineStr">
        <is>
          <t>Model Assumptions</t>
        </is>
      </c>
      <c r="N513" s="1235" t="inlineStr">
        <is>
          <t>Quarterly</t>
        </is>
      </c>
      <c r="O513" s="1236" t="inlineStr">
        <is>
          <t>FY2026A</t>
        </is>
      </c>
      <c r="P513" s="1235" t="inlineStr">
        <is>
          <t>Populated by modelling rather than left blank; the basis is stated in the Assumption column so it can be replaced with a sourced series when one exists.</t>
        </is>
      </c>
    </row>
    <row r="514" ht="46" customHeight="1" s="632">
      <c r="A514" s="1232" t="inlineStr">
        <is>
          <t>WC03</t>
        </is>
      </c>
      <c r="B514" s="1233" t="inlineStr">
        <is>
          <t>Cash locked in working capital</t>
        </is>
      </c>
      <c r="C514" s="1257">
        <f>'Working Capital Model'!C53</f>
        <v/>
      </c>
      <c r="D514" s="1234" t="inlineStr">
        <is>
          <t>Rs cr</t>
        </is>
      </c>
      <c r="E514" s="1233" t="inlineStr">
        <is>
          <t>Cross-sheet reference within this sheet to the research block roll-forward</t>
        </is>
      </c>
      <c r="F514" s="1233" t="inlineStr">
        <is>
          <t>'=$C$72 opening, =$D$72 closing, =$D$73 change</t>
        </is>
      </c>
      <c r="G514" s="1233" t="inlineStr">
        <is>
          <t>Driver D18, net working capital days - NOT SOURCED</t>
        </is>
      </c>
      <c r="H514" s="1233" t="inlineStr">
        <is>
          <t>Master Industry Database carries total assets and borrowings but no working-capital breakdown</t>
        </is>
      </c>
      <c r="I514" s="1233" t="inlineStr">
        <is>
          <t>Net working capital is a single parameter of 45 days of revenue in the base case, held flat.</t>
        </is>
      </c>
      <c r="J514" s="1233" t="inlineStr">
        <is>
          <t>THE WEAKEST INPUT IN THE MODEL AND THE ONE THAT MATTERS MOST FOR CASH. Net working capital rises from about Rs 1.19 lakh crore in FY2026A to about Rs 2.32 lakh crore by FY2033E purely because revenue grows - roughly Rs 1.13 lakh crore of cash absorbed over the horizon, which is 1.7x a single year of base-case free cash flow. A four-and-a-half day error in the parameter is worth about Rs 12,000 crore of cash by FY2033E.</t>
        </is>
      </c>
      <c r="K514" s="1233" t="inlineStr">
        <is>
          <t>Change in NWC must reconcile to the free cash flow statement on 16 Cash Flow Model row 113; check A19 on 25 Audit Checks tests that NWC stays positive</t>
        </is>
      </c>
      <c r="L514" s="1234" t="inlineStr">
        <is>
          <t>Low - MUST be replaced before transaction use</t>
        </is>
      </c>
      <c r="M514" s="1233" t="inlineStr">
        <is>
          <t>Revenue Forecast, Cash Flow Model, Model Assumptions</t>
        </is>
      </c>
      <c r="N514" s="1233" t="inlineStr">
        <is>
          <t>Quarterly, and MUST be replaced with disclosed receivable, inventory and payable days</t>
        </is>
      </c>
      <c r="O514" s="1234" t="inlineStr">
        <is>
          <t>FY2026A</t>
        </is>
      </c>
      <c r="P514" s="1233" t="inlineStr">
        <is>
          <t>Was entirely blank.</t>
        </is>
      </c>
    </row>
    <row r="515" ht="46" customHeight="1" s="632">
      <c r="A515" s="1232" t="inlineStr">
        <is>
          <t>WC04</t>
        </is>
      </c>
      <c r="B515" s="1235" t="inlineStr">
        <is>
          <t>Four-scenario working capital path</t>
        </is>
      </c>
      <c r="C515" s="1258">
        <f>'Working Capital Model'!B64</f>
        <v/>
      </c>
      <c r="D515" s="1236" t="inlineStr">
        <is>
          <t>Rs cr</t>
        </is>
      </c>
      <c r="E515" s="1235" t="inlineStr">
        <is>
          <t>Cross-sheet reference to the scenario engine on 24 Scenario Manager</t>
        </is>
      </c>
      <c r="F515" s="1235" t="inlineStr">
        <is>
          <t>'='Scenario Manager'!$J$&lt;engine row&gt;</t>
        </is>
      </c>
      <c r="G515" s="1235" t="inlineStr">
        <is>
          <t>Driver D18 by scenario: 45 days base, 40 bull, 52 bear, 62 stress</t>
        </is>
      </c>
      <c r="H515" s="1235" t="inlineStr">
        <is>
          <t>Sector convention; directional corroboration from Tata Steel and JSW Steel disclosure</t>
        </is>
      </c>
      <c r="I515" s="1235" t="inlineStr">
        <is>
          <t>Working capital days tighten in an upcycle and stretch in a downturn.</t>
        </is>
      </c>
      <c r="J515" s="1235" t="inlineStr">
        <is>
          <t>The scenario spread on days is deliberately WIDE - 40 to 62 days - precisely because the parameter is unsourced. Widening an unsourced parameter is the honest response to not knowing it: it makes the resulting cash flow range visibly uncertain rather than falsely precise.</t>
        </is>
      </c>
      <c r="K515" s="1235" t="inlineStr">
        <is>
          <t>Change in NWC feeds unlevered free cash flow, which ties out on 24 Scenario Manager row 79</t>
        </is>
      </c>
      <c r="L515" s="1236" t="inlineStr">
        <is>
          <t>Low</t>
        </is>
      </c>
      <c r="M515" s="1235" t="inlineStr">
        <is>
          <t>Scenario Manager, Model Assumptions</t>
        </is>
      </c>
      <c r="N515" s="1235" t="inlineStr">
        <is>
          <t>Live</t>
        </is>
      </c>
      <c r="O515" s="1236" t="inlineStr">
        <is>
          <t>Live</t>
        </is>
      </c>
      <c r="P515" s="1235" t="inlineStr">
        <is>
          <t>Was entirely blank.</t>
        </is>
      </c>
    </row>
    <row r="516" ht="46" customHeight="1" s="632">
      <c r="A516" s="1232" t="inlineStr">
        <is>
          <t>WC05</t>
        </is>
      </c>
      <c r="B516" s="1233" t="inlineStr">
        <is>
          <t>Industry revenue</t>
        </is>
      </c>
      <c r="C516" s="1242">
        <f>IF(ISNUMBER('Working Capital Model'!J70),'Working Capital Model'!J70,'Working Capital Model'!C70)</f>
        <v/>
      </c>
      <c r="D516" s="1234" t="inlineStr">
        <is>
          <t>Rs cr</t>
        </is>
      </c>
      <c r="E516" s="1233" t="inlineStr">
        <is>
          <t>Cross-sheet reference (linked, not re-entered)</t>
        </is>
      </c>
      <c r="F516" s="1233" t="inlineStr">
        <is>
          <t>'='Revenue Forecast'!D$96</t>
        </is>
      </c>
      <c r="G516" s="1233" t="inlineStr">
        <is>
          <t>12 Revenue</t>
        </is>
      </c>
      <c r="H516" s="1233" t="inlineStr">
        <is>
          <t>26 Sources register; Master Industry Database source log (47 cited sources)</t>
        </is>
      </c>
      <c r="I516" s="1233" t="n"/>
      <c r="J516" s="1233" t="n"/>
      <c r="K516" s="1233" t="inlineStr">
        <is>
          <t>Reconciled by 25 Audit Checks</t>
        </is>
      </c>
      <c r="L516" s="1234" t="inlineStr">
        <is>
          <t>Medium</t>
        </is>
      </c>
      <c r="M516" s="1233" t="inlineStr">
        <is>
          <t>Revenue Forecast</t>
        </is>
      </c>
      <c r="N516" s="1233" t="inlineStr">
        <is>
          <t>Recalculates live with the model</t>
        </is>
      </c>
      <c r="O516" s="1234" t="inlineStr">
        <is>
          <t>Live</t>
        </is>
      </c>
      <c r="P516" s="1233" t="inlineStr">
        <is>
          <t>Research block row 70. Value column is live and re-states on a scenario change.</t>
        </is>
      </c>
    </row>
    <row r="517" ht="46" customHeight="1" s="632">
      <c r="A517" s="1232" t="inlineStr">
        <is>
          <t>WC06</t>
        </is>
      </c>
      <c r="B517" s="1235" t="inlineStr">
        <is>
          <t>Net working capital</t>
        </is>
      </c>
      <c r="C517" s="1241">
        <f>IF(ISNUMBER('Working Capital Model'!J71),'Working Capital Model'!J71,'Working Capital Model'!C71)</f>
        <v/>
      </c>
      <c r="D517" s="1236" t="inlineStr">
        <is>
          <t>days of revenue</t>
        </is>
      </c>
      <c r="E517" s="1235" t="inlineStr">
        <is>
          <t>Cross-sheet reference (linked, not re-entered)</t>
        </is>
      </c>
      <c r="F517" s="1235" t="inlineStr">
        <is>
          <t>'='Model Assumptions'!E$25</t>
        </is>
      </c>
      <c r="G517" s="1235" t="inlineStr">
        <is>
          <t>NOT SOURCED</t>
        </is>
      </c>
      <c r="H517" s="1235" t="inlineStr">
        <is>
          <t>26 Sources register; Master Industry Database source log (47 cited sources)</t>
        </is>
      </c>
      <c r="I517" s="1235" t="inlineStr">
        <is>
          <t>45 days base, 40 bull, 52 bear, 62 stress.</t>
        </is>
      </c>
      <c r="J517" s="1235" t="inlineStr">
        <is>
          <t>A working capital BUILD in a downturn is a first-order cash flow risk, not a second-order one, which is why the stress flex is large.</t>
        </is>
      </c>
      <c r="K517" s="1235" t="inlineStr">
        <is>
          <t>Reconciled by 25 Audit Checks</t>
        </is>
      </c>
      <c r="L517" s="1236" t="inlineStr">
        <is>
          <t>Low</t>
        </is>
      </c>
      <c r="M517" s="1235" t="inlineStr">
        <is>
          <t>Model Assumptions</t>
        </is>
      </c>
      <c r="N517" s="1235" t="inlineStr">
        <is>
          <t>Quarterly review; replace before transaction use</t>
        </is>
      </c>
      <c r="O517" s="1236" t="inlineStr">
        <is>
          <t>n/a</t>
        </is>
      </c>
      <c r="P517" s="1235" t="inlineStr">
        <is>
          <t>Research block row 71. Value column is live and re-states on a scenario change.</t>
        </is>
      </c>
    </row>
    <row r="518" ht="46" customHeight="1" s="632">
      <c r="A518" s="1232" t="inlineStr">
        <is>
          <t>WC07</t>
        </is>
      </c>
      <c r="B518" s="1233" t="inlineStr">
        <is>
          <t>Net working capital</t>
        </is>
      </c>
      <c r="C518" s="1242">
        <f>IF(ISNUMBER('Working Capital Model'!J72),'Working Capital Model'!J72,'Working Capital Model'!C72)</f>
        <v/>
      </c>
      <c r="D518" s="1234" t="inlineStr">
        <is>
          <t>Rs cr</t>
        </is>
      </c>
      <c r="E518" s="1233" t="inlineStr">
        <is>
          <t>Computed in-cell</t>
        </is>
      </c>
      <c r="F518" s="1233" t="inlineStr">
        <is>
          <t>'=D70*D71/365</t>
        </is>
      </c>
      <c r="G518" s="1233" t="inlineStr">
        <is>
          <t>Computed</t>
        </is>
      </c>
      <c r="H518" s="1233" t="inlineStr">
        <is>
          <t>26 Sources register; Master Industry Database source log (47 cited sources)</t>
        </is>
      </c>
      <c r="I518" s="1233" t="n"/>
      <c r="J518" s="1233" t="n"/>
      <c r="K518" s="1233" t="inlineStr">
        <is>
          <t>Reconciled by 25 Audit Checks</t>
        </is>
      </c>
      <c r="L518" s="1234" t="inlineStr">
        <is>
          <t>Low</t>
        </is>
      </c>
      <c r="M518" s="1233" t="inlineStr">
        <is>
          <t>This sheet</t>
        </is>
      </c>
      <c r="N518" s="1233" t="inlineStr">
        <is>
          <t>Recalculates live with the model</t>
        </is>
      </c>
      <c r="O518" s="1234" t="inlineStr">
        <is>
          <t>Live</t>
        </is>
      </c>
      <c r="P518" s="1233" t="inlineStr">
        <is>
          <t>Research block row 72. Value column is live and re-states on a scenario change.</t>
        </is>
      </c>
    </row>
    <row r="519" ht="46" customHeight="1" s="632">
      <c r="A519" s="1232" t="inlineStr">
        <is>
          <t>WC08</t>
        </is>
      </c>
      <c r="B519" s="1235" t="inlineStr">
        <is>
          <t>Change in net working capital</t>
        </is>
      </c>
      <c r="C519" s="1241">
        <f>'Working Capital Model'!J73</f>
        <v/>
      </c>
      <c r="D519" s="1236" t="inlineStr">
        <is>
          <t>Rs cr</t>
        </is>
      </c>
      <c r="E519" s="1235" t="inlineStr">
        <is>
          <t>Computed in-cell</t>
        </is>
      </c>
      <c r="F519" s="1235" t="inlineStr">
        <is>
          <t>'=D72-C72</t>
        </is>
      </c>
      <c r="G519" s="1235" t="inlineStr">
        <is>
          <t>Computed</t>
        </is>
      </c>
      <c r="H519" s="1235" t="inlineStr">
        <is>
          <t>26 Sources register; Master Industry Database source log (47 cited sources)</t>
        </is>
      </c>
      <c r="I519" s="1235" t="inlineStr">
        <is>
          <t>Positive equals a cash OUTFLOW (working capital absorbed).</t>
        </is>
      </c>
      <c r="J519" s="1235" t="inlineStr">
        <is>
          <t>Deducted on 16 Cash Flow. FY2027E is measured against the FY2026A NWC computed on the same days basis, so the first year is not distorted by a basis change.</t>
        </is>
      </c>
      <c r="K519" s="1235" t="inlineStr">
        <is>
          <t>Reconciled by 25 Audit Checks</t>
        </is>
      </c>
      <c r="L519" s="1236" t="inlineStr">
        <is>
          <t>Low</t>
        </is>
      </c>
      <c r="M519" s="1235" t="inlineStr">
        <is>
          <t>This sheet</t>
        </is>
      </c>
      <c r="N519" s="1235" t="inlineStr">
        <is>
          <t>Recalculates live with the model</t>
        </is>
      </c>
      <c r="O519" s="1236" t="inlineStr">
        <is>
          <t>Live</t>
        </is>
      </c>
      <c r="P519" s="1235" t="inlineStr">
        <is>
          <t>Research block row 73. Value column is live and re-states on a scenario change.</t>
        </is>
      </c>
    </row>
    <row r="520" ht="46" customHeight="1" s="632">
      <c r="A520" s="1232" t="inlineStr">
        <is>
          <t>WC09</t>
        </is>
      </c>
      <c r="B520" s="1233" t="inlineStr">
        <is>
          <t>NWC as % of revenue</t>
        </is>
      </c>
      <c r="C520" s="1242">
        <f>IF(ISNUMBER('Working Capital Model'!J74),'Working Capital Model'!J74,'Working Capital Model'!C74)</f>
        <v/>
      </c>
      <c r="D520" s="1234" t="inlineStr">
        <is>
          <t>%</t>
        </is>
      </c>
      <c r="E520" s="1233" t="inlineStr">
        <is>
          <t>Computed in-cell</t>
        </is>
      </c>
      <c r="F520" s="1233" t="inlineStr">
        <is>
          <t>'=D72/D70</t>
        </is>
      </c>
      <c r="G520" s="1233" t="inlineStr">
        <is>
          <t>Computed</t>
        </is>
      </c>
      <c r="H520" s="1233" t="inlineStr">
        <is>
          <t>26 Sources register; Master Industry Database source log (47 cited sources)</t>
        </is>
      </c>
      <c r="I520" s="1233" t="n"/>
      <c r="J520" s="1233" t="n"/>
      <c r="K520" s="1233" t="inlineStr">
        <is>
          <t>Reconciled by 25 Audit Checks</t>
        </is>
      </c>
      <c r="L520" s="1234" t="inlineStr">
        <is>
          <t>Low</t>
        </is>
      </c>
      <c r="M520" s="1233" t="inlineStr">
        <is>
          <t>This sheet</t>
        </is>
      </c>
      <c r="N520" s="1233" t="inlineStr">
        <is>
          <t>Recalculates live with the model</t>
        </is>
      </c>
      <c r="O520" s="1234" t="inlineStr">
        <is>
          <t>Live</t>
        </is>
      </c>
      <c r="P520" s="1233" t="inlineStr">
        <is>
          <t>Research block row 74. Value column is live and re-states on a scenario change.</t>
        </is>
      </c>
    </row>
    <row r="523" ht="18" customHeight="1" s="632">
      <c r="A523" s="1229" t="inlineStr">
        <is>
          <t>Cash Flow Model  -  22 documented items  (CX01 - CX22)</t>
        </is>
      </c>
      <c r="B523" s="1161" t="n"/>
      <c r="C523" s="1161" t="n"/>
      <c r="D523" s="1161" t="n"/>
      <c r="E523" s="1161" t="n"/>
      <c r="F523" s="1161" t="n"/>
      <c r="G523" s="1161" t="n"/>
      <c r="H523" s="1161" t="n"/>
      <c r="I523" s="1161" t="n"/>
      <c r="J523" s="1161" t="n"/>
      <c r="K523" s="1161" t="n"/>
      <c r="L523" s="1161" t="n"/>
      <c r="M523" s="1161" t="n"/>
      <c r="N523" s="1161" t="n"/>
      <c r="O523" s="1161" t="n"/>
      <c r="P523" s="1161" t="n"/>
    </row>
    <row r="524" ht="24" customHeight="1" s="632">
      <c r="A524" s="1230" t="inlineStr">
        <is>
          <t>Every documented number on Cash Flow Model. The Code column matches the Ref column on that sheet.</t>
        </is>
      </c>
    </row>
    <row r="525" ht="30" customHeight="1" s="632">
      <c r="A525" s="1231" t="inlineStr">
        <is>
          <t>Code</t>
        </is>
      </c>
      <c r="B525" s="1231" t="inlineStr">
        <is>
          <t>Model Item</t>
        </is>
      </c>
      <c r="C525" s="1231" t="inlineStr">
        <is>
          <t>Value</t>
        </is>
      </c>
      <c r="D525" s="1231" t="inlineStr">
        <is>
          <t>Unit</t>
        </is>
      </c>
      <c r="E525" s="1231" t="inlineStr">
        <is>
          <t>Calculation Method</t>
        </is>
      </c>
      <c r="F525" s="1231" t="inlineStr">
        <is>
          <t>Formula Used</t>
        </is>
      </c>
      <c r="G525" s="1231" t="inlineStr">
        <is>
          <t>Primary Source</t>
        </is>
      </c>
      <c r="H525" s="1231" t="inlineStr">
        <is>
          <t>Secondary Source</t>
        </is>
      </c>
      <c r="I525" s="1231" t="inlineStr">
        <is>
          <t>Assumption</t>
        </is>
      </c>
      <c r="J525" s="1231" t="inlineStr">
        <is>
          <t>Reasoning</t>
        </is>
      </c>
      <c r="K525" s="1231" t="inlineStr">
        <is>
          <t>Cross-check</t>
        </is>
      </c>
      <c r="L525" s="1231" t="inlineStr">
        <is>
          <t>Confidence Level</t>
        </is>
      </c>
      <c r="M525" s="1231" t="inlineStr">
        <is>
          <t>Linked Sheet</t>
        </is>
      </c>
      <c r="N525" s="1231" t="inlineStr">
        <is>
          <t>Update Frequency</t>
        </is>
      </c>
      <c r="O525" s="1231" t="inlineStr">
        <is>
          <t>Last Available Date</t>
        </is>
      </c>
      <c r="P525" s="1231" t="inlineStr">
        <is>
          <t>Comments</t>
        </is>
      </c>
    </row>
    <row r="526" ht="46" customHeight="1" s="632">
      <c r="A526" s="1232" t="inlineStr">
        <is>
          <t>CX01</t>
        </is>
      </c>
      <c r="B526" s="1233" t="inlineStr">
        <is>
          <t>Cash flow build-up</t>
        </is>
      </c>
      <c r="C526" s="1257">
        <f>'Cash Flow Model'!I26</f>
        <v/>
      </c>
      <c r="D526" s="1234" t="inlineStr">
        <is>
          <t>Rs cr</t>
        </is>
      </c>
      <c r="E526" s="1233" t="inlineStr">
        <is>
          <t>Computed in-cell: EBITDA less cash tax less change in working capital gives operating cash flow, less maintenance and growth capex gives unlevered free cash flow</t>
        </is>
      </c>
      <c r="F526" s="1233" t="inlineStr">
        <is>
          <t>'=B20+B21+B22 then =B23+B24+B25</t>
        </is>
      </c>
      <c r="G526" s="1233" t="inlineStr">
        <is>
          <t>Computed from the model</t>
        </is>
      </c>
      <c r="H526" s="1233" t="inlineStr">
        <is>
          <t>Research block row 114, which row 26 must reproduce exactly</t>
        </is>
      </c>
      <c r="I526" s="1233" t="inlineStr">
        <is>
          <t>OTHER OPERATING CASH ITEMS, PLANT UPGRADES and OTHER INVESTMENTS are zero by construction - the model has no such line, and plant upgrades are inside maintenance capex.</t>
        </is>
      </c>
      <c r="J526" s="1233" t="inlineStr">
        <is>
          <t>Presenting the same free cash flow twice - once as a signed build-up here and once as a single formula on the research block row 114 - is a deliberate cross-check. If the two ever disagree, a sign has been flipped somewhere.</t>
        </is>
      </c>
      <c r="K526" s="1233" t="inlineStr">
        <is>
          <t>Row 26 must equal research block row 114 in every year; row 35 must equal row 23</t>
        </is>
      </c>
      <c r="L526" s="1234" t="inlineStr">
        <is>
          <t>Medium</t>
        </is>
      </c>
      <c r="M526" s="1233" t="inlineStr">
        <is>
          <t>Working Capital Model, Capacity Forecast, Model Assumptions</t>
        </is>
      </c>
      <c r="N526" s="1233" t="inlineStr">
        <is>
          <t>Live</t>
        </is>
      </c>
      <c r="O526" s="1234" t="inlineStr">
        <is>
          <t>FY2027E</t>
        </is>
      </c>
      <c r="P526" s="1233" t="inlineStr">
        <is>
          <t>Was entirely blank. Signs follow the cash convention: outflows negative.</t>
        </is>
      </c>
    </row>
    <row r="527" ht="46" customHeight="1" s="632">
      <c r="A527" s="1232" t="inlineStr">
        <is>
          <t>CX02</t>
        </is>
      </c>
      <c r="B527" s="1235" t="inlineStr">
        <is>
          <t>Financing cash flow - deliberate zeros</t>
        </is>
      </c>
      <c r="C527" s="1258">
        <f>'Cash Flow Model'!C51</f>
        <v/>
      </c>
      <c r="D527" s="1236" t="inlineStr">
        <is>
          <t>Rs cr</t>
        </is>
      </c>
      <c r="E527" s="1235" t="inlineStr">
        <is>
          <t>Deliberate zeros; interest paid links to the illustrative line on 17 Capital Allocation</t>
        </is>
      </c>
      <c r="F527" s="1235" t="inlineStr">
        <is>
          <t>'=-'Capital Allocation'!C79 for interest; entered zero for every other line</t>
        </is>
      </c>
      <c r="G527" s="1235" t="inlineStr">
        <is>
          <t>Modelling decision, not an estimate</t>
        </is>
      </c>
      <c r="H527" s="1235" t="inlineStr">
        <is>
          <t>Row 91 of 17 Capital Allocation states the same convention</t>
        </is>
      </c>
      <c r="I527" s="1235" t="inlineStr">
        <is>
          <t>The model is an unlevered INDUSTRY aggregate. It does not forecast debt draw-downs, repayments, dividends, buybacks or equity issuance, because those are capital-structure decisions taken at company level. Net debt is rolled forward from free cash flow only.</t>
        </is>
      </c>
      <c r="J527" s="1235" t="inlineStr">
        <is>
          <t>These rows were blank and flagged as missing data. That was the wrong classification: nothing about them is unknown. The model is an unlevered industry aggregate that applies every rupee of free cash flow to net debt, so debt raised, debt repaid, dividends, buybacks and equity issuance are all zero BY CONSTRUCTION. A deliberate zero belongs in the cell as a blue input - it makes the financing section add up, row 55 becomes a live SUM, and the reader can see that the model takes no view on capital structure rather than wondering whether the numbers are simply missing. Interest paid is the one non-zero line and it is illustrative only: it does not feed free cash flow. Substitute a company financing plan when this model is used for a single-name valuation.</t>
        </is>
      </c>
      <c r="K527" s="1235" t="inlineStr">
        <is>
          <t>Net financing cash flow on row 55 is a live SUM of the rows above it</t>
        </is>
      </c>
      <c r="L527" s="1236" t="inlineStr">
        <is>
          <t>High - this is a stated convention, not an uncertain quantity</t>
        </is>
      </c>
      <c r="M527" s="1235" t="inlineStr">
        <is>
          <t>Capital Allocation</t>
        </is>
      </c>
      <c r="N527" s="1235" t="inlineStr">
        <is>
          <t>n/a - changes only if the model is given a capital structure</t>
        </is>
      </c>
      <c r="O527" s="1236" t="inlineStr">
        <is>
          <t>FY2026A</t>
        </is>
      </c>
      <c r="P527" s="1235" t="inlineStr">
        <is>
          <t>Populated by modelling rather than left blank; the basis is stated in the Assumption column so it can be replaced with a sourced series when one exists.</t>
        </is>
      </c>
    </row>
    <row r="528" ht="46" customHeight="1" s="632">
      <c r="A528" s="1232" t="inlineStr">
        <is>
          <t>CX03</t>
        </is>
      </c>
      <c r="B528" s="1233" t="inlineStr">
        <is>
          <t>Interest paid</t>
        </is>
      </c>
      <c r="C528" s="1257">
        <f>'Cash Flow Model'!C51</f>
        <v/>
      </c>
      <c r="D528" s="1234" t="inlineStr">
        <is>
          <t>Rs cr</t>
        </is>
      </c>
      <c r="E528" s="1233" t="inlineStr">
        <is>
          <t>Cross-sheet reference to the illustrative interest line on 17 Capital Allocation</t>
        </is>
      </c>
      <c r="F528" s="1233" t="inlineStr">
        <is>
          <t>'=-'Capital Allocation'!C79</t>
        </is>
      </c>
      <c r="G528" s="1233" t="inlineStr">
        <is>
          <t>Illustrative, computed on the net debt roll-forward at an indicative cost of debt</t>
        </is>
      </c>
      <c r="H528" s="1233" t="inlineStr">
        <is>
          <t>02 Model Assumptions section D: CRISIL RateView pre-tax cost of debt 7.44%</t>
        </is>
      </c>
      <c r="I528" s="1233" t="inlineStr">
        <is>
          <t>ILLUSTRATIVE ONLY. The model is an UNLEVERED industry aggregate.</t>
        </is>
      </c>
      <c r="J528" s="1233" t="inlineStr">
        <is>
          <t>Free cash flow in this model is unlevered by design, because capital structure is a company decision, not an industry one. Interest is shown so that the leverage trajectory on 17 Capital Allocation is transparent, but it does NOT feed free cash flow. Note the line turns negative from FY2030E, which is net INTEREST INCOME once the industry has repaid its net debt out of free cash flow.</t>
        </is>
      </c>
      <c r="K528" s="1233" t="inlineStr">
        <is>
          <t>Ties to 17 Capital Allocation row 79; net debt roll-forward is tested by check A22 on 25 Audit Checks</t>
        </is>
      </c>
      <c r="L528" s="1234" t="inlineStr">
        <is>
          <t>Low - illustrative</t>
        </is>
      </c>
      <c r="M528" s="1233" t="inlineStr">
        <is>
          <t>Capital Allocation</t>
        </is>
      </c>
      <c r="N528" s="1233" t="inlineStr">
        <is>
          <t>Quarterly</t>
        </is>
      </c>
      <c r="O528" s="1234" t="inlineStr">
        <is>
          <t>FY2027E</t>
        </is>
      </c>
      <c r="P528" s="1233" t="inlineStr">
        <is>
          <t>Sign is negative here (a cash outflow) and positive on 17 Capital Allocation (an addition to net debt). Both conventions are correct in their own statement.</t>
        </is>
      </c>
    </row>
    <row r="529" ht="46" customHeight="1" s="632">
      <c r="A529" s="1232" t="inlineStr">
        <is>
          <t>CX04</t>
        </is>
      </c>
      <c r="B529" s="1235" t="inlineStr">
        <is>
          <t>Free cash flow bridge</t>
        </is>
      </c>
      <c r="C529" s="1258">
        <f>'Cash Flow Model'!I66</f>
        <v/>
      </c>
      <c r="D529" s="1236" t="inlineStr">
        <is>
          <t>Rs cr</t>
        </is>
      </c>
      <c r="E529" s="1235" t="inlineStr">
        <is>
          <t>Exact four-factor decomposition of the change in unlevered free cash flow</t>
        </is>
      </c>
      <c r="F529" s="1235" t="inlineStr">
        <is>
          <t>'=-(D113-C113) working capital, =-(D110-C110) capex, =-(D102-C102) tax</t>
        </is>
      </c>
      <c r="G529" s="1235" t="inlineStr">
        <is>
          <t>Computed from the model</t>
        </is>
      </c>
      <c r="H529" s="1235" t="inlineStr">
        <is>
          <t>Research block row 114</t>
        </is>
      </c>
      <c r="I529" s="1235" t="inlineStr">
        <is>
          <t>The bridge is exact because free cash flow is a simple sum: EBITDA less tax less capex less the change in working capital. Each effect is the year-on-year change in one term.</t>
        </is>
      </c>
      <c r="J529" s="1235" t="inlineStr">
        <is>
          <t>The bridge makes visible the single most important dynamic in the forecast: free cash flow improves sharply from FY2029E not because EBITDA accelerates but because the CAPEX EFFECT turns positive as the dated project pipeline exhausts itself after FY2031. This is a capital-cycle model, and the bridge is where the cycle shows up.</t>
        </is>
      </c>
      <c r="K529" s="1235" t="inlineStr">
        <is>
          <t>Rows 60 + 61 + 62 + 63 + 64 + 65 must equal row 66 from FY2028E onwards</t>
        </is>
      </c>
      <c r="L529" s="1236" t="inlineStr">
        <is>
          <t>Medium</t>
        </is>
      </c>
      <c r="M529" s="1235" t="inlineStr">
        <is>
          <t>Working Capital Model, Capacity Forecast</t>
        </is>
      </c>
      <c r="N529" s="1235" t="inlineStr">
        <is>
          <t>Live</t>
        </is>
      </c>
      <c r="O529" s="1236" t="inlineStr">
        <is>
          <t>Live</t>
        </is>
      </c>
      <c r="P529" s="1235" t="inlineStr">
        <is>
          <t>Was entirely blank.</t>
        </is>
      </c>
    </row>
    <row r="530" ht="46" customHeight="1" s="632">
      <c r="A530" s="1232" t="inlineStr">
        <is>
          <t>CX05</t>
        </is>
      </c>
      <c r="B530" s="1233" t="inlineStr">
        <is>
          <t>Four-scenario free cash flow path</t>
        </is>
      </c>
      <c r="C530" s="1257">
        <f>'Cash Flow Model'!B85</f>
        <v/>
      </c>
      <c r="D530" s="1234" t="inlineStr">
        <is>
          <t>Rs cr</t>
        </is>
      </c>
      <c r="E530" s="1233" t="inlineStr">
        <is>
          <t>Cross-sheet reference to the scenario engine on 24 Scenario Manager</t>
        </is>
      </c>
      <c r="F530" s="1233" t="inlineStr">
        <is>
          <t>'='Scenario Manager'!$J$&lt;engine row&gt;</t>
        </is>
      </c>
      <c r="G530" s="1233" t="inlineStr">
        <is>
          <t>Rebuilt live from the scenario driver matrix on 02 Model Assumptions</t>
        </is>
      </c>
      <c r="H530" s="1233" t="inlineStr">
        <is>
          <t>Independent tie-out on 24 Scenario Manager row 79</t>
        </is>
      </c>
      <c r="I530" s="1233" t="inlineStr">
        <is>
          <t>Unlevered: no interest, no debt movement, no dividend.</t>
        </is>
      </c>
      <c r="J530" s="1233" t="inlineStr">
        <is>
          <t>The FY2033E range runs from NEGATIVE Rs 49,522 crore in the Bear Case to POSITIVE Rs 2,23,086 crore in the Bull Case. A negative terminal-year free cash flow in the Bear Case is not a modelling error: it is the capital cycle working correctly, because the industry keeps committing capex into a market whose margin has compressed to 8%. That is exactly how steel downturns actually happen, and it is why check A18 on 25 Audit Checks reports a WARN rather than a FAIL when free cash flow turns negative.</t>
        </is>
      </c>
      <c r="K530" s="1233" t="inlineStr">
        <is>
          <t>FY2033E must equal 66,854 / 2,23,086 / -49,522 / -5,040 Rs cr</t>
        </is>
      </c>
      <c r="L530" s="1234" t="inlineStr">
        <is>
          <t>Medium</t>
        </is>
      </c>
      <c r="M530" s="1233" t="inlineStr">
        <is>
          <t>Scenario Manager</t>
        </is>
      </c>
      <c r="N530" s="1233" t="inlineStr">
        <is>
          <t>Live</t>
        </is>
      </c>
      <c r="O530" s="1234" t="inlineStr">
        <is>
          <t>Live</t>
        </is>
      </c>
      <c r="P530" s="1233" t="inlineStr">
        <is>
          <t>Was entirely blank.</t>
        </is>
      </c>
    </row>
    <row r="531" ht="46" customHeight="1" s="632">
      <c r="A531" s="1232" t="inlineStr">
        <is>
          <t>CX06</t>
        </is>
      </c>
      <c r="B531" s="1235" t="inlineStr">
        <is>
          <t>Industry EBITDA</t>
        </is>
      </c>
      <c r="C531" s="1241">
        <f>IF(ISNUMBER('Cash Flow Model'!J96),'Cash Flow Model'!J96,'Cash Flow Model'!C96)</f>
        <v/>
      </c>
      <c r="D531" s="1236" t="inlineStr">
        <is>
          <t>Rs cr</t>
        </is>
      </c>
      <c r="E531" s="1235" t="inlineStr">
        <is>
          <t>Cross-sheet reference (linked, not re-entered)</t>
        </is>
      </c>
      <c r="F531" s="1235" t="inlineStr">
        <is>
          <t>'='EBITDA Model'!D$103</t>
        </is>
      </c>
      <c r="G531" s="1235" t="inlineStr">
        <is>
          <t>13 EBITDA</t>
        </is>
      </c>
      <c r="H531" s="1235" t="inlineStr">
        <is>
          <t>26 Sources register; Master Industry Database source log (47 cited sources)</t>
        </is>
      </c>
      <c r="I531" s="1235" t="n"/>
      <c r="J531" s="1235" t="n"/>
      <c r="K531" s="1235" t="inlineStr">
        <is>
          <t>Reconciled by 25 Audit Checks</t>
        </is>
      </c>
      <c r="L531" s="1236" t="inlineStr">
        <is>
          <t>Medium</t>
        </is>
      </c>
      <c r="M531" s="1235" t="inlineStr">
        <is>
          <t>EBITDA Model</t>
        </is>
      </c>
      <c r="N531" s="1235" t="inlineStr">
        <is>
          <t>Recalculates live with the model</t>
        </is>
      </c>
      <c r="O531" s="1236" t="inlineStr">
        <is>
          <t>Live</t>
        </is>
      </c>
      <c r="P531" s="1235" t="inlineStr">
        <is>
          <t>Research block row 96. Value column is live and re-states on a scenario change.</t>
        </is>
      </c>
    </row>
    <row r="532" ht="46" customHeight="1" s="632">
      <c r="A532" s="1232" t="inlineStr">
        <is>
          <t>CX07</t>
        </is>
      </c>
      <c r="B532" s="1233" t="inlineStr">
        <is>
          <t>Industry revenue</t>
        </is>
      </c>
      <c r="C532" s="1242">
        <f>IF(ISNUMBER('Cash Flow Model'!J97),'Cash Flow Model'!J97,'Cash Flow Model'!C97)</f>
        <v/>
      </c>
      <c r="D532" s="1234" t="inlineStr">
        <is>
          <t>Rs cr</t>
        </is>
      </c>
      <c r="E532" s="1233" t="inlineStr">
        <is>
          <t>Cross-sheet reference (linked, not re-entered)</t>
        </is>
      </c>
      <c r="F532" s="1233" t="inlineStr">
        <is>
          <t>'='Revenue Forecast'!D$96</t>
        </is>
      </c>
      <c r="G532" s="1233" t="inlineStr">
        <is>
          <t>12 Revenue</t>
        </is>
      </c>
      <c r="H532" s="1233" t="inlineStr">
        <is>
          <t>26 Sources register; Master Industry Database source log (47 cited sources)</t>
        </is>
      </c>
      <c r="I532" s="1233" t="n"/>
      <c r="J532" s="1233" t="n"/>
      <c r="K532" s="1233" t="inlineStr">
        <is>
          <t>Reconciled by 25 Audit Checks</t>
        </is>
      </c>
      <c r="L532" s="1234" t="inlineStr">
        <is>
          <t>Medium</t>
        </is>
      </c>
      <c r="M532" s="1233" t="inlineStr">
        <is>
          <t>Revenue Forecast</t>
        </is>
      </c>
      <c r="N532" s="1233" t="inlineStr">
        <is>
          <t>Recalculates live with the model</t>
        </is>
      </c>
      <c r="O532" s="1234" t="inlineStr">
        <is>
          <t>Live</t>
        </is>
      </c>
      <c r="P532" s="1233" t="inlineStr">
        <is>
          <t>Research block row 97. Value column is live and re-states on a scenario change.</t>
        </is>
      </c>
    </row>
    <row r="533" ht="46" customHeight="1" s="632">
      <c r="A533" s="1232" t="inlineStr">
        <is>
          <t>CX08</t>
        </is>
      </c>
      <c r="B533" s="1235" t="inlineStr">
        <is>
          <t>Depreciation and amortisation</t>
        </is>
      </c>
      <c r="C533" s="1241">
        <f>IF(ISNUMBER('Cash Flow Model'!J98),'Cash Flow Model'!J98,'Cash Flow Model'!C98)</f>
        <v/>
      </c>
      <c r="D533" s="1236" t="inlineStr">
        <is>
          <t>% of revenue</t>
        </is>
      </c>
      <c r="E533" s="1235" t="inlineStr">
        <is>
          <t>Cross-sheet reference (linked, not re-entered)</t>
        </is>
      </c>
      <c r="F533" s="1235" t="inlineStr">
        <is>
          <t>'='Model Assumptions'!E$33</t>
        </is>
      </c>
      <c r="G533" s="1235" t="inlineStr">
        <is>
          <t>Derived from Master DB</t>
        </is>
      </c>
      <c r="H533" s="1235" t="inlineStr">
        <is>
          <t>26 Sources register; Master Industry Database source log (47 cited sources)</t>
        </is>
      </c>
      <c r="I533" s="1235" t="inlineStr">
        <is>
          <t>FY2026A of 5.28% is derived: Rs 30,715 cr of D&amp;A on Rs 5,81,646 cr of consolidated revenue for the four majors.</t>
        </is>
      </c>
      <c r="J533" s="1235" t="inlineStr">
        <is>
          <t>Tight across companies - Tata 5.15%, JSW 5.18%, SAIL 5.40%, Jindal Steel 5.96%.</t>
        </is>
      </c>
      <c r="K533" s="1235" t="inlineStr">
        <is>
          <t>Reconciled by 25 Audit Checks</t>
        </is>
      </c>
      <c r="L533" s="1236" t="inlineStr">
        <is>
          <t>High</t>
        </is>
      </c>
      <c r="M533" s="1235" t="inlineStr">
        <is>
          <t>Model Assumptions</t>
        </is>
      </c>
      <c r="N533" s="1235" t="inlineStr">
        <is>
          <t>Quarterly, on each results season</t>
        </is>
      </c>
      <c r="O533" s="1236" t="inlineStr">
        <is>
          <t>FY2026A</t>
        </is>
      </c>
      <c r="P533" s="1235" t="inlineStr">
        <is>
          <t>Research block row 98. Value column is live and re-states on a scenario change.</t>
        </is>
      </c>
    </row>
    <row r="534" ht="46" customHeight="1" s="632">
      <c r="A534" s="1232" t="inlineStr">
        <is>
          <t>CX09</t>
        </is>
      </c>
      <c r="B534" s="1233" t="inlineStr">
        <is>
          <t>Depreciation and amortisation</t>
        </is>
      </c>
      <c r="C534" s="1242">
        <f>IF(ISNUMBER('Cash Flow Model'!J99),'Cash Flow Model'!J99,'Cash Flow Model'!C99)</f>
        <v/>
      </c>
      <c r="D534" s="1234" t="inlineStr">
        <is>
          <t>Rs cr</t>
        </is>
      </c>
      <c r="E534" s="1233" t="inlineStr">
        <is>
          <t>Computed in-cell</t>
        </is>
      </c>
      <c r="F534" s="1233" t="inlineStr">
        <is>
          <t>'=D97*D98</t>
        </is>
      </c>
      <c r="G534" s="1233" t="inlineStr">
        <is>
          <t>Computed</t>
        </is>
      </c>
      <c r="H534" s="1233" t="inlineStr">
        <is>
          <t>26 Sources register; Master Industry Database source log (47 cited sources)</t>
        </is>
      </c>
      <c r="I534" s="1233" t="n"/>
      <c r="J534" s="1233" t="n"/>
      <c r="K534" s="1233" t="inlineStr">
        <is>
          <t>Reconciled by 25 Audit Checks</t>
        </is>
      </c>
      <c r="L534" s="1234" t="inlineStr">
        <is>
          <t>High</t>
        </is>
      </c>
      <c r="M534" s="1233" t="inlineStr">
        <is>
          <t>This sheet</t>
        </is>
      </c>
      <c r="N534" s="1233" t="inlineStr">
        <is>
          <t>Recalculates live with the model</t>
        </is>
      </c>
      <c r="O534" s="1234" t="inlineStr">
        <is>
          <t>Live</t>
        </is>
      </c>
      <c r="P534" s="1233" t="inlineStr">
        <is>
          <t>Research block row 99. Value column is live and re-states on a scenario change.</t>
        </is>
      </c>
    </row>
    <row r="535" ht="46" customHeight="1" s="632">
      <c r="A535" s="1232" t="inlineStr">
        <is>
          <t>CX10</t>
        </is>
      </c>
      <c r="B535" s="1235" t="inlineStr">
        <is>
          <t>EBIT</t>
        </is>
      </c>
      <c r="C535" s="1241">
        <f>IF(ISNUMBER('Cash Flow Model'!J100),'Cash Flow Model'!J100,'Cash Flow Model'!C100)</f>
        <v/>
      </c>
      <c r="D535" s="1236" t="inlineStr">
        <is>
          <t>Rs cr</t>
        </is>
      </c>
      <c r="E535" s="1235" t="inlineStr">
        <is>
          <t>Computed in-cell</t>
        </is>
      </c>
      <c r="F535" s="1235" t="inlineStr">
        <is>
          <t>'=D96-D99</t>
        </is>
      </c>
      <c r="G535" s="1235" t="inlineStr">
        <is>
          <t>Computed</t>
        </is>
      </c>
      <c r="H535" s="1235" t="inlineStr">
        <is>
          <t>26 Sources register; Master Industry Database source log (47 cited sources)</t>
        </is>
      </c>
      <c r="I535" s="1235" t="n"/>
      <c r="J535" s="1235" t="n"/>
      <c r="K535" s="1235" t="inlineStr">
        <is>
          <t>Reconciled by 25 Audit Checks</t>
        </is>
      </c>
      <c r="L535" s="1236" t="inlineStr">
        <is>
          <t>Medium</t>
        </is>
      </c>
      <c r="M535" s="1235" t="inlineStr">
        <is>
          <t>This sheet</t>
        </is>
      </c>
      <c r="N535" s="1235" t="inlineStr">
        <is>
          <t>Recalculates live with the model</t>
        </is>
      </c>
      <c r="O535" s="1236" t="inlineStr">
        <is>
          <t>Live</t>
        </is>
      </c>
      <c r="P535" s="1235" t="inlineStr">
        <is>
          <t>Research block row 100. Value column is live and re-states on a scenario change.</t>
        </is>
      </c>
    </row>
    <row r="536" ht="46" customHeight="1" s="632">
      <c r="A536" s="1232" t="inlineStr">
        <is>
          <t>CX11</t>
        </is>
      </c>
      <c r="B536" s="1233" t="inlineStr">
        <is>
          <t>Effective tax rate</t>
        </is>
      </c>
      <c r="C536" s="1242">
        <f>IF(ISNUMBER('Cash Flow Model'!J101),'Cash Flow Model'!J101,'Cash Flow Model'!C101)</f>
        <v/>
      </c>
      <c r="D536" s="1234" t="inlineStr">
        <is>
          <t>%</t>
        </is>
      </c>
      <c r="E536" s="1233" t="inlineStr">
        <is>
          <t>Cross-sheet reference (linked, not re-entered)</t>
        </is>
      </c>
      <c r="F536" s="1233" t="inlineStr">
        <is>
          <t>'='Model Assumptions'!E$22</t>
        </is>
      </c>
      <c r="G536" s="1233" t="inlineStr">
        <is>
          <t>Statutory 115BAA</t>
        </is>
      </c>
      <c r="H536" s="1233" t="inlineStr">
        <is>
          <t>26 Sources register; Master Industry Database source log (47 cited sources)</t>
        </is>
      </c>
      <c r="I536" s="1233" t="inlineStr">
        <is>
          <t>22% plus surcharge and cess.</t>
        </is>
      </c>
      <c r="J536" s="1233" t="inlineStr">
        <is>
          <t>Company-specific effective rates differ because of MAT credits and deferred tax - the database flags Kirloskar Ferrous FY2026 net profit exceeding PBT on a write-back (Conflict C12).</t>
        </is>
      </c>
      <c r="K536" s="1233" t="inlineStr">
        <is>
          <t>Reconciled by 25 Audit Checks</t>
        </is>
      </c>
      <c r="L536" s="1234" t="inlineStr">
        <is>
          <t>Medium</t>
        </is>
      </c>
      <c r="M536" s="1233" t="inlineStr">
        <is>
          <t>Model Assumptions</t>
        </is>
      </c>
      <c r="N536" s="1233" t="inlineStr">
        <is>
          <t>On any statutory or policy change</t>
        </is>
      </c>
      <c r="O536" s="1234" t="inlineStr">
        <is>
          <t>In force</t>
        </is>
      </c>
      <c r="P536" s="1233" t="inlineStr">
        <is>
          <t>Research block row 101. Value column is live and re-states on a scenario change.</t>
        </is>
      </c>
    </row>
    <row r="537" ht="46" customHeight="1" s="632">
      <c r="A537" s="1232" t="inlineStr">
        <is>
          <t>CX12</t>
        </is>
      </c>
      <c r="B537" s="1235" t="inlineStr">
        <is>
          <t>Cash tax</t>
        </is>
      </c>
      <c r="C537" s="1241">
        <f>IF(ISNUMBER('Cash Flow Model'!J102),'Cash Flow Model'!J102,'Cash Flow Model'!C102)</f>
        <v/>
      </c>
      <c r="D537" s="1236" t="inlineStr">
        <is>
          <t>Rs cr</t>
        </is>
      </c>
      <c r="E537" s="1235" t="inlineStr">
        <is>
          <t>Conditional / constrained calculation</t>
        </is>
      </c>
      <c r="F537" s="1235" t="inlineStr">
        <is>
          <t>'=MAX(0,D100)*D101</t>
        </is>
      </c>
      <c r="G537" s="1235" t="inlineStr">
        <is>
          <t>Computed</t>
        </is>
      </c>
      <c r="H537" s="1235" t="inlineStr">
        <is>
          <t>26 Sources register; Master Industry Database source log (47 cited sources)</t>
        </is>
      </c>
      <c r="I537" s="1235" t="inlineStr">
        <is>
          <t>Floored at zero.</t>
        </is>
      </c>
      <c r="J537" s="1235" t="inlineStr">
        <is>
          <t>No loss carry-forward is modelled, which understates cash flow in any recovery following a loss year - conservative and disclosed.</t>
        </is>
      </c>
      <c r="K537" s="1235" t="inlineStr">
        <is>
          <t>Reconciled by 25 Audit Checks</t>
        </is>
      </c>
      <c r="L537" s="1236" t="inlineStr">
        <is>
          <t>Medium</t>
        </is>
      </c>
      <c r="M537" s="1235" t="inlineStr">
        <is>
          <t>This sheet</t>
        </is>
      </c>
      <c r="N537" s="1235" t="inlineStr">
        <is>
          <t>Recalculates live with the model</t>
        </is>
      </c>
      <c r="O537" s="1236" t="inlineStr">
        <is>
          <t>Live</t>
        </is>
      </c>
      <c r="P537" s="1235" t="inlineStr">
        <is>
          <t>Research block row 102. Value column is live and re-states on a scenario change.</t>
        </is>
      </c>
    </row>
    <row r="538" ht="46" customHeight="1" s="632">
      <c r="A538" s="1232" t="inlineStr">
        <is>
          <t>CX13</t>
        </is>
      </c>
      <c r="B538" s="1233" t="inlineStr">
        <is>
          <t>Capacity added</t>
        </is>
      </c>
      <c r="C538" s="1242">
        <f>IF(ISNUMBER('Cash Flow Model'!J105),'Cash Flow Model'!J105,'Cash Flow Model'!C105)</f>
        <v/>
      </c>
      <c r="D538" s="1234" t="inlineStr">
        <is>
          <t>Mtpa</t>
        </is>
      </c>
      <c r="E538" s="1233" t="inlineStr">
        <is>
          <t>Cross-sheet reference (linked, not re-entered)</t>
        </is>
      </c>
      <c r="F538" s="1233" t="inlineStr">
        <is>
          <t>'='Capacity Forecast'!D$100</t>
        </is>
      </c>
      <c r="G538" s="1233" t="inlineStr">
        <is>
          <t>06 Capacity</t>
        </is>
      </c>
      <c r="H538" s="1233" t="inlineStr">
        <is>
          <t>26 Sources register; Master Industry Database source log (47 cited sources)</t>
        </is>
      </c>
      <c r="I538" s="1233" t="n"/>
      <c r="J538" s="1233" t="n"/>
      <c r="K538" s="1233" t="inlineStr">
        <is>
          <t>Reconciled by 25 Audit Checks</t>
        </is>
      </c>
      <c r="L538" s="1234" t="inlineStr">
        <is>
          <t>Medium</t>
        </is>
      </c>
      <c r="M538" s="1233" t="inlineStr">
        <is>
          <t>Capacity Forecast</t>
        </is>
      </c>
      <c r="N538" s="1233" t="inlineStr">
        <is>
          <t>Recalculates live with the model</t>
        </is>
      </c>
      <c r="O538" s="1234" t="inlineStr">
        <is>
          <t>Live</t>
        </is>
      </c>
      <c r="P538" s="1233" t="inlineStr">
        <is>
          <t>Research block row 105. Value column is live and re-states on a scenario change.</t>
        </is>
      </c>
    </row>
    <row r="539" ht="46" customHeight="1" s="632">
      <c r="A539" s="1232" t="inlineStr">
        <is>
          <t>CX14</t>
        </is>
      </c>
      <c r="B539" s="1235" t="inlineStr">
        <is>
          <t>Capex intensity</t>
        </is>
      </c>
      <c r="C539" s="1241">
        <f>IF(ISNUMBER('Cash Flow Model'!J106),'Cash Flow Model'!J106,'Cash Flow Model'!C106)</f>
        <v/>
      </c>
      <c r="D539" s="1236" t="inlineStr">
        <is>
          <t>Rs/t of capacity</t>
        </is>
      </c>
      <c r="E539" s="1235" t="inlineStr">
        <is>
          <t>Cross-sheet reference (linked, not re-entered)</t>
        </is>
      </c>
      <c r="F539" s="1235" t="inlineStr">
        <is>
          <t>'='Model Assumptions'!E$23</t>
        </is>
      </c>
      <c r="G539" s="1235" t="inlineStr">
        <is>
          <t>Derived from Master DB</t>
        </is>
      </c>
      <c r="H539" s="1235" t="inlineStr">
        <is>
          <t>26 Sources register; Master Industry Database source log (47 cited sources)</t>
        </is>
      </c>
      <c r="I539" s="1235" t="inlineStr">
        <is>
          <t>Rs 55,000/t base.</t>
        </is>
      </c>
      <c r="J539" s="1235" t="inlineStr">
        <is>
          <t>Cross-checks: JSW JVML 5 Mtpa at Rs 26,000 cr = Rs 52,000/t; SAIL roughly Rs 1 lakh cr for about 15 Mtpa = roughly Rs 67,000/t; Tata Ludhiana 0.75 Mtpa EAF at Rs 3,200 cr = Rs 42,700/t (lower, no ironmaking).</t>
        </is>
      </c>
      <c r="K539" s="1235" t="inlineStr">
        <is>
          <t>Reconciled by 25 Audit Checks</t>
        </is>
      </c>
      <c r="L539" s="1236" t="inlineStr">
        <is>
          <t>Medium</t>
        </is>
      </c>
      <c r="M539" s="1235" t="inlineStr">
        <is>
          <t>Model Assumptions</t>
        </is>
      </c>
      <c r="N539" s="1235" t="inlineStr">
        <is>
          <t>Quarterly, on each results season</t>
        </is>
      </c>
      <c r="O539" s="1236" t="inlineStr">
        <is>
          <t>FY2026A</t>
        </is>
      </c>
      <c r="P539" s="1235" t="inlineStr">
        <is>
          <t>Research block row 106. Value column is live and re-states on a scenario change.</t>
        </is>
      </c>
    </row>
    <row r="540" ht="46" customHeight="1" s="632">
      <c r="A540" s="1232" t="inlineStr">
        <is>
          <t>CX15</t>
        </is>
      </c>
      <c r="B540" s="1233" t="inlineStr">
        <is>
          <t>Growth capex</t>
        </is>
      </c>
      <c r="C540" s="1242">
        <f>IF(ISNUMBER('Cash Flow Model'!J107),'Cash Flow Model'!J107,'Cash Flow Model'!C107)</f>
        <v/>
      </c>
      <c r="D540" s="1234" t="inlineStr">
        <is>
          <t>Rs cr</t>
        </is>
      </c>
      <c r="E540" s="1233" t="inlineStr">
        <is>
          <t>Computed in-cell</t>
        </is>
      </c>
      <c r="F540" s="1233" t="inlineStr">
        <is>
          <t>'=D105*D106/10</t>
        </is>
      </c>
      <c r="G540" s="1233" t="inlineStr">
        <is>
          <t>Computed</t>
        </is>
      </c>
      <c r="H540" s="1233" t="inlineStr">
        <is>
          <t>26 Sources register; Master Industry Database source log (47 cited sources)</t>
        </is>
      </c>
      <c r="I540" s="1233" t="inlineStr">
        <is>
          <t>Unit bridge: Mtpa x Rs/t / 10 = Rs crore.</t>
        </is>
      </c>
      <c r="J540" s="1233" t="n"/>
      <c r="K540" s="1233" t="inlineStr">
        <is>
          <t>Reconciled by 25 Audit Checks</t>
        </is>
      </c>
      <c r="L540" s="1234" t="inlineStr">
        <is>
          <t>Medium</t>
        </is>
      </c>
      <c r="M540" s="1233" t="inlineStr">
        <is>
          <t>This sheet</t>
        </is>
      </c>
      <c r="N540" s="1233" t="inlineStr">
        <is>
          <t>Recalculates live with the model</t>
        </is>
      </c>
      <c r="O540" s="1234" t="inlineStr">
        <is>
          <t>Live</t>
        </is>
      </c>
      <c r="P540" s="1233" t="inlineStr">
        <is>
          <t>Research block row 107. Value column is live and re-states on a scenario change.</t>
        </is>
      </c>
    </row>
    <row r="541" ht="46" customHeight="1" s="632">
      <c r="A541" s="1232" t="inlineStr">
        <is>
          <t>CX16</t>
        </is>
      </c>
      <c r="B541" s="1235" t="inlineStr">
        <is>
          <t>Maintenance capex</t>
        </is>
      </c>
      <c r="C541" s="1241">
        <f>IF(ISNUMBER('Cash Flow Model'!J108),'Cash Flow Model'!J108,'Cash Flow Model'!C108)</f>
        <v/>
      </c>
      <c r="D541" s="1236" t="inlineStr">
        <is>
          <t>% of revenue</t>
        </is>
      </c>
      <c r="E541" s="1235" t="inlineStr">
        <is>
          <t>Cross-sheet reference (linked, not re-entered)</t>
        </is>
      </c>
      <c r="F541" s="1235" t="inlineStr">
        <is>
          <t>'='Model Assumptions'!E$24</t>
        </is>
      </c>
      <c r="G541" s="1235" t="inlineStr">
        <is>
          <t>Indicative</t>
        </is>
      </c>
      <c r="H541" s="1235" t="inlineStr">
        <is>
          <t>26 Sources register; Master Industry Database source log (47 cited sources)</t>
        </is>
      </c>
      <c r="I541" s="1235" t="inlineStr">
        <is>
          <t>3.0% of revenue.</t>
        </is>
      </c>
      <c r="J541" s="1235" t="inlineStr">
        <is>
          <t>Cross-check: Tata Steel FY2026 total capex of Rs 14,026 cr on Rs 2,32,140 cr revenue is 6.0%, but that includes growth capex, so 3.0% sustaining implies a roughly 50/50 split.</t>
        </is>
      </c>
      <c r="K541" s="1235" t="inlineStr">
        <is>
          <t>Reconciled by 25 Audit Checks</t>
        </is>
      </c>
      <c r="L541" s="1236" t="inlineStr">
        <is>
          <t>Low</t>
        </is>
      </c>
      <c r="M541" s="1235" t="inlineStr">
        <is>
          <t>Model Assumptions</t>
        </is>
      </c>
      <c r="N541" s="1235" t="inlineStr">
        <is>
          <t>Quarterly review; replace before transaction use</t>
        </is>
      </c>
      <c r="O541" s="1236" t="inlineStr">
        <is>
          <t>n/a</t>
        </is>
      </c>
      <c r="P541" s="1235" t="inlineStr">
        <is>
          <t>Research block row 108. Value column is live and re-states on a scenario change.</t>
        </is>
      </c>
    </row>
    <row r="542" ht="46" customHeight="1" s="632">
      <c r="A542" s="1232" t="inlineStr">
        <is>
          <t>CX17</t>
        </is>
      </c>
      <c r="B542" s="1233" t="inlineStr">
        <is>
          <t>Maintenance capex</t>
        </is>
      </c>
      <c r="C542" s="1242">
        <f>IF(ISNUMBER('Cash Flow Model'!J109),'Cash Flow Model'!J109,'Cash Flow Model'!C109)</f>
        <v/>
      </c>
      <c r="D542" s="1234" t="inlineStr">
        <is>
          <t>Rs cr</t>
        </is>
      </c>
      <c r="E542" s="1233" t="inlineStr">
        <is>
          <t>Computed in-cell</t>
        </is>
      </c>
      <c r="F542" s="1233" t="inlineStr">
        <is>
          <t>'=D97*D108</t>
        </is>
      </c>
      <c r="G542" s="1233" t="inlineStr">
        <is>
          <t>Computed</t>
        </is>
      </c>
      <c r="H542" s="1233" t="inlineStr">
        <is>
          <t>26 Sources register; Master Industry Database source log (47 cited sources)</t>
        </is>
      </c>
      <c r="I542" s="1233" t="n"/>
      <c r="J542" s="1233" t="n"/>
      <c r="K542" s="1233" t="inlineStr">
        <is>
          <t>Reconciled by 25 Audit Checks</t>
        </is>
      </c>
      <c r="L542" s="1234" t="inlineStr">
        <is>
          <t>Low</t>
        </is>
      </c>
      <c r="M542" s="1233" t="inlineStr">
        <is>
          <t>This sheet</t>
        </is>
      </c>
      <c r="N542" s="1233" t="inlineStr">
        <is>
          <t>Recalculates live with the model</t>
        </is>
      </c>
      <c r="O542" s="1234" t="inlineStr">
        <is>
          <t>Live</t>
        </is>
      </c>
      <c r="P542" s="1233" t="inlineStr">
        <is>
          <t>Research block row 109. Value column is live and re-states on a scenario change.</t>
        </is>
      </c>
    </row>
    <row r="543" ht="46" customHeight="1" s="632">
      <c r="A543" s="1232" t="inlineStr">
        <is>
          <t>CX18</t>
        </is>
      </c>
      <c r="B543" s="1235" t="inlineStr">
        <is>
          <t>Total capex</t>
        </is>
      </c>
      <c r="C543" s="1241">
        <f>IF(ISNUMBER('Cash Flow Model'!J110),'Cash Flow Model'!J110,'Cash Flow Model'!C110)</f>
        <v/>
      </c>
      <c r="D543" s="1236" t="inlineStr">
        <is>
          <t>Rs cr</t>
        </is>
      </c>
      <c r="E543" s="1235" t="inlineStr">
        <is>
          <t>Computed in-cell</t>
        </is>
      </c>
      <c r="F543" s="1235" t="inlineStr">
        <is>
          <t>'=D107+D109</t>
        </is>
      </c>
      <c r="G543" s="1235" t="inlineStr">
        <is>
          <t>Computed</t>
        </is>
      </c>
      <c r="H543" s="1235" t="inlineStr">
        <is>
          <t>26 Sources register; Master Industry Database source log (47 cited sources)</t>
        </is>
      </c>
      <c r="I543" s="1235" t="n"/>
      <c r="J543" s="1235" t="n"/>
      <c r="K543" s="1235" t="inlineStr">
        <is>
          <t>Reconciled by 25 Audit Checks</t>
        </is>
      </c>
      <c r="L543" s="1236" t="inlineStr">
        <is>
          <t>Medium</t>
        </is>
      </c>
      <c r="M543" s="1235" t="inlineStr">
        <is>
          <t>This sheet</t>
        </is>
      </c>
      <c r="N543" s="1235" t="inlineStr">
        <is>
          <t>Recalculates live with the model</t>
        </is>
      </c>
      <c r="O543" s="1236" t="inlineStr">
        <is>
          <t>Live</t>
        </is>
      </c>
      <c r="P543" s="1235" t="inlineStr">
        <is>
          <t>Research block row 110. Value column is live and re-states on a scenario change.</t>
        </is>
      </c>
    </row>
    <row r="544" ht="46" customHeight="1" s="632">
      <c r="A544" s="1232" t="inlineStr">
        <is>
          <t>CX19</t>
        </is>
      </c>
      <c r="B544" s="1233" t="inlineStr">
        <is>
          <t>Change in net working capital</t>
        </is>
      </c>
      <c r="C544" s="1242">
        <f>IF(ISNUMBER('Cash Flow Model'!J113),'Cash Flow Model'!J113,'Cash Flow Model'!C113)</f>
        <v/>
      </c>
      <c r="D544" s="1234" t="inlineStr">
        <is>
          <t>Rs cr</t>
        </is>
      </c>
      <c r="E544" s="1233" t="inlineStr">
        <is>
          <t>Cross-sheet reference (linked, not re-entered)</t>
        </is>
      </c>
      <c r="F544" s="1233" t="inlineStr">
        <is>
          <t>'='Working Capital Model'!D$73</t>
        </is>
      </c>
      <c r="G544" s="1233" t="inlineStr">
        <is>
          <t>15 WC</t>
        </is>
      </c>
      <c r="H544" s="1233" t="inlineStr">
        <is>
          <t>26 Sources register; Master Industry Database source log (47 cited sources)</t>
        </is>
      </c>
      <c r="I544" s="1233" t="n"/>
      <c r="J544" s="1233" t="n"/>
      <c r="K544" s="1233" t="inlineStr">
        <is>
          <t>Reconciled by 25 Audit Checks</t>
        </is>
      </c>
      <c r="L544" s="1234" t="inlineStr">
        <is>
          <t>Low</t>
        </is>
      </c>
      <c r="M544" s="1233" t="inlineStr">
        <is>
          <t>Working Capital Model</t>
        </is>
      </c>
      <c r="N544" s="1233" t="inlineStr">
        <is>
          <t>Recalculates live with the model</t>
        </is>
      </c>
      <c r="O544" s="1234" t="inlineStr">
        <is>
          <t>Live</t>
        </is>
      </c>
      <c r="P544" s="1233" t="inlineStr">
        <is>
          <t>Research block row 113. Value column is live and re-states on a scenario change.</t>
        </is>
      </c>
    </row>
    <row r="545" ht="46" customHeight="1" s="632">
      <c r="A545" s="1232" t="inlineStr">
        <is>
          <t>CX20</t>
        </is>
      </c>
      <c r="B545" s="1235" t="inlineStr">
        <is>
          <t>UNLEVERED FREE CASH FLOW</t>
        </is>
      </c>
      <c r="C545" s="1241">
        <f>IF(ISNUMBER('Cash Flow Model'!J114),'Cash Flow Model'!J114,'Cash Flow Model'!C114)</f>
        <v/>
      </c>
      <c r="D545" s="1236" t="inlineStr">
        <is>
          <t>Rs cr</t>
        </is>
      </c>
      <c r="E545" s="1235" t="inlineStr">
        <is>
          <t>Computed in-cell</t>
        </is>
      </c>
      <c r="F545" s="1235" t="inlineStr">
        <is>
          <t>'=D96-D102-D110-D113</t>
        </is>
      </c>
      <c r="G545" s="1235" t="inlineStr">
        <is>
          <t>Computed</t>
        </is>
      </c>
      <c r="H545" s="1235" t="inlineStr">
        <is>
          <t>26 Sources register; Master Industry Database source log (47 cited sources)</t>
        </is>
      </c>
      <c r="I545" s="1235" t="inlineStr">
        <is>
          <t>EBITDA less cash tax less total capex less the change in working capital.</t>
        </is>
      </c>
      <c r="J545" s="1235" t="inlineStr">
        <is>
          <t>Pre-financing, which is what an enterprise DCF discounts.</t>
        </is>
      </c>
      <c r="K545" s="1235" t="inlineStr">
        <is>
          <t>Reconciled by 25 Audit Checks</t>
        </is>
      </c>
      <c r="L545" s="1236" t="inlineStr">
        <is>
          <t>Medium</t>
        </is>
      </c>
      <c r="M545" s="1235" t="inlineStr">
        <is>
          <t>This sheet</t>
        </is>
      </c>
      <c r="N545" s="1235" t="inlineStr">
        <is>
          <t>Recalculates live with the model</t>
        </is>
      </c>
      <c r="O545" s="1236" t="inlineStr">
        <is>
          <t>Live</t>
        </is>
      </c>
      <c r="P545" s="1235" t="inlineStr">
        <is>
          <t>Research block row 114. Value column is live and re-states on a scenario change.</t>
        </is>
      </c>
    </row>
    <row r="546" ht="46" customHeight="1" s="632">
      <c r="A546" s="1232" t="inlineStr">
        <is>
          <t>CX21</t>
        </is>
      </c>
      <c r="B546" s="1233" t="inlineStr">
        <is>
          <t>FCF conversion</t>
        </is>
      </c>
      <c r="C546" s="1242">
        <f>IF(ISNUMBER('Cash Flow Model'!J115),'Cash Flow Model'!J115,'Cash Flow Model'!C115)</f>
        <v/>
      </c>
      <c r="D546" s="1234" t="inlineStr">
        <is>
          <t>% of EBITDA</t>
        </is>
      </c>
      <c r="E546" s="1233" t="inlineStr">
        <is>
          <t>Computed in-cell</t>
        </is>
      </c>
      <c r="F546" s="1233" t="inlineStr">
        <is>
          <t>'=IFERROR(D114/D96,"")</t>
        </is>
      </c>
      <c r="G546" s="1233" t="inlineStr">
        <is>
          <t>Computed</t>
        </is>
      </c>
      <c r="H546" s="1233" t="inlineStr">
        <is>
          <t>26 Sources register; Master Industry Database source log (47 cited sources)</t>
        </is>
      </c>
      <c r="I546" s="1233" t="inlineStr">
        <is>
          <t>Low or negative conversion in the early years is the signature of an industry in heavy build-out - roughly 20 Mtpa a year of capacity at Rs 55,000/t is about Rs 1.1 lakh crore of growth capex annually.</t>
        </is>
      </c>
      <c r="J546" s="1233" t="n"/>
      <c r="K546" s="1233" t="inlineStr">
        <is>
          <t>Reconciled by 25 Audit Checks</t>
        </is>
      </c>
      <c r="L546" s="1234" t="inlineStr">
        <is>
          <t>Medium</t>
        </is>
      </c>
      <c r="M546" s="1233" t="inlineStr">
        <is>
          <t>This sheet</t>
        </is>
      </c>
      <c r="N546" s="1233" t="inlineStr">
        <is>
          <t>Recalculates live with the model</t>
        </is>
      </c>
      <c r="O546" s="1234" t="inlineStr">
        <is>
          <t>Live</t>
        </is>
      </c>
      <c r="P546" s="1233" t="inlineStr">
        <is>
          <t>Research block row 115. Value column is live and re-states on a scenario change.</t>
        </is>
      </c>
    </row>
    <row r="547" ht="46" customHeight="1" s="632">
      <c r="A547" s="1232" t="inlineStr">
        <is>
          <t>CX22</t>
        </is>
      </c>
      <c r="B547" s="1235" t="inlineStr">
        <is>
          <t>Free cash flow bridge, FY2026A column</t>
        </is>
      </c>
      <c r="C547" s="1235" t="n"/>
      <c r="D547" s="1236" t="inlineStr">
        <is>
          <t>Rs cr</t>
        </is>
      </c>
      <c r="E547" s="1235" t="inlineStr">
        <is>
          <t>NOT POPULATED - red fill (missing data)</t>
        </is>
      </c>
      <c r="F547" s="1235" t="inlineStr">
        <is>
          <t>(blank by design)</t>
        </is>
      </c>
      <c r="G547" s="1235" t="inlineStr">
        <is>
          <t>No reliable source located and no defensible basis for an estimate</t>
        </is>
      </c>
      <c r="H547" s="1235" t="inlineStr">
        <is>
          <t>n/a</t>
        </is>
      </c>
      <c r="I547" s="1235" t="inlineStr">
        <is>
          <t>None asserted. The cell is deliberately blank.</t>
        </is>
      </c>
      <c r="J547" s="1235" t="inlineStr">
        <is>
          <t>NOT APPLICABLE rather than unavailable. The bridge decomposes the change in free cash flow and FY2026A is the first year of the model, so it has no comparative to bridge from. The FY2027E column now resolves, because the FY2026A capex and free cash flow column has been completed - previously the bridge could not start until FY2028E.</t>
        </is>
      </c>
      <c r="K547" s="1235" t="inlineStr">
        <is>
          <t>Excluded from every headline output and from the audit checks</t>
        </is>
      </c>
      <c r="L547" s="1236" t="inlineStr">
        <is>
          <t>n/a - unavailable</t>
        </is>
      </c>
      <c r="M547" s="1235" t="inlineStr">
        <is>
          <t>This sheet</t>
        </is>
      </c>
      <c r="N547" s="1235" t="inlineStr">
        <is>
          <t>Populate when a primary source becomes available</t>
        </is>
      </c>
      <c r="O547" s="1236" t="inlineStr">
        <is>
          <t>Not available</t>
        </is>
      </c>
      <c r="P547" s="1235" t="inlineStr">
        <is>
          <t>Red (missing) cells: B60:B65</t>
        </is>
      </c>
    </row>
    <row r="550" ht="18" customHeight="1" s="632">
      <c r="A550" s="1229" t="inlineStr">
        <is>
          <t>Capital Allocation  -  17 documented items  (CA01 - CA17)</t>
        </is>
      </c>
      <c r="B550" s="1161" t="n"/>
      <c r="C550" s="1161" t="n"/>
      <c r="D550" s="1161" t="n"/>
      <c r="E550" s="1161" t="n"/>
      <c r="F550" s="1161" t="n"/>
      <c r="G550" s="1161" t="n"/>
      <c r="H550" s="1161" t="n"/>
      <c r="I550" s="1161" t="n"/>
      <c r="J550" s="1161" t="n"/>
      <c r="K550" s="1161" t="n"/>
      <c r="L550" s="1161" t="n"/>
      <c r="M550" s="1161" t="n"/>
      <c r="N550" s="1161" t="n"/>
      <c r="O550" s="1161" t="n"/>
      <c r="P550" s="1161" t="n"/>
    </row>
    <row r="551" ht="24" customHeight="1" s="632">
      <c r="A551" s="1230" t="inlineStr">
        <is>
          <t>Every documented number on Capital Allocation. The Code column matches the Ref column on that sheet.</t>
        </is>
      </c>
    </row>
    <row r="552" ht="30" customHeight="1" s="632">
      <c r="A552" s="1231" t="inlineStr">
        <is>
          <t>Code</t>
        </is>
      </c>
      <c r="B552" s="1231" t="inlineStr">
        <is>
          <t>Model Item</t>
        </is>
      </c>
      <c r="C552" s="1231" t="inlineStr">
        <is>
          <t>Value</t>
        </is>
      </c>
      <c r="D552" s="1231" t="inlineStr">
        <is>
          <t>Unit</t>
        </is>
      </c>
      <c r="E552" s="1231" t="inlineStr">
        <is>
          <t>Calculation Method</t>
        </is>
      </c>
      <c r="F552" s="1231" t="inlineStr">
        <is>
          <t>Formula Used</t>
        </is>
      </c>
      <c r="G552" s="1231" t="inlineStr">
        <is>
          <t>Primary Source</t>
        </is>
      </c>
      <c r="H552" s="1231" t="inlineStr">
        <is>
          <t>Secondary Source</t>
        </is>
      </c>
      <c r="I552" s="1231" t="inlineStr">
        <is>
          <t>Assumption</t>
        </is>
      </c>
      <c r="J552" s="1231" t="inlineStr">
        <is>
          <t>Reasoning</t>
        </is>
      </c>
      <c r="K552" s="1231" t="inlineStr">
        <is>
          <t>Cross-check</t>
        </is>
      </c>
      <c r="L552" s="1231" t="inlineStr">
        <is>
          <t>Confidence Level</t>
        </is>
      </c>
      <c r="M552" s="1231" t="inlineStr">
        <is>
          <t>Linked Sheet</t>
        </is>
      </c>
      <c r="N552" s="1231" t="inlineStr">
        <is>
          <t>Update Frequency</t>
        </is>
      </c>
      <c r="O552" s="1231" t="inlineStr">
        <is>
          <t>Last Available Date</t>
        </is>
      </c>
      <c r="P552" s="1231" t="inlineStr">
        <is>
          <t>Comments</t>
        </is>
      </c>
    </row>
    <row r="553" ht="46" customHeight="1" s="632">
      <c r="A553" s="1232" t="inlineStr">
        <is>
          <t>CA01</t>
        </is>
      </c>
      <c r="B553" s="1233" t="inlineStr">
        <is>
          <t>Dividends, share buybacks and M&amp;A investment - deliberate zeros</t>
        </is>
      </c>
      <c r="C553" s="1257">
        <f>'Capital Allocation'!B13</f>
        <v/>
      </c>
      <c r="D553" s="1234" t="inlineStr">
        <is>
          <t>Rs cr</t>
        </is>
      </c>
      <c r="E553" s="1233" t="inlineStr">
        <is>
          <t>Deliberate zero - no distribution is modelled at industry level</t>
        </is>
      </c>
      <c r="F553" s="1233" t="inlineStr">
        <is>
          <t>(entered zero)</t>
        </is>
      </c>
      <c r="G553" s="1233" t="inlineStr">
        <is>
          <t>Modelling decision, not an estimate</t>
        </is>
      </c>
      <c r="H553" s="1233" t="inlineStr">
        <is>
          <t>Row 91 of this sheet states the same convention</t>
        </is>
      </c>
      <c r="I553" s="1233" t="inlineStr">
        <is>
          <t>The model does not forecast dividends, buybacks or M&amp;A at industry level. Those are capital-structure and portfolio decisions taken company by company, and aggregating them would imply a single industry payout policy that does not exist. Every rupee of unlevered free cash flow is applied to net debt, which is the conservative and auditable treatment. Substitute a company payout policy when this model is used as the foundation for a single-name valuation.</t>
        </is>
      </c>
      <c r="J553" s="1233" t="inlineStr">
        <is>
          <t>Three rows across eight years, blank and flagged as missing data. Nothing about them is unknown: this model applies every rupee of unlevered free cash flow to net debt, so distributions and acquisitions are zero BY CONSTRUCTION. Writing the zeros in makes the waterfall add up and makes the modelling decision visible on the sheet instead of looking like an omission. The same three lines appear in the waterfall on rows 26 to 28 and in the scenario table on column D, and all of them are now consistent zeros. Substitute a company payout policy when this model is used as the foundation for a single-name valuation.</t>
        </is>
      </c>
      <c r="K553" s="1233" t="inlineStr">
        <is>
          <t>Consistent with the financing section of 16 Cash Flow Model, which is also zero</t>
        </is>
      </c>
      <c r="L553" s="1234" t="inlineStr">
        <is>
          <t>High - this is a stated convention, not an uncertain quantity</t>
        </is>
      </c>
      <c r="M553" s="1233" t="inlineStr">
        <is>
          <t>This sheet</t>
        </is>
      </c>
      <c r="N553" s="1233" t="inlineStr">
        <is>
          <t>n/a - changes only if the model is given a payout policy</t>
        </is>
      </c>
      <c r="O553" s="1234" t="inlineStr">
        <is>
          <t>FY2026A</t>
        </is>
      </c>
      <c r="P553" s="1233" t="inlineStr">
        <is>
          <t>Populated by modelling rather than left blank; the basis is stated in the Assumption column so it can be replaced with a sourced series when one exists.</t>
        </is>
      </c>
    </row>
    <row r="554" ht="46" customHeight="1" s="632">
      <c r="A554" s="1232" t="inlineStr">
        <is>
          <t>CA02</t>
        </is>
      </c>
      <c r="B554" s="1235" t="inlineStr">
        <is>
          <t>ESG and decarbonisation investment in the waterfall</t>
        </is>
      </c>
      <c r="C554" s="1258">
        <f>'Capital Allocation'!H29</f>
        <v/>
      </c>
      <c r="D554" s="1236" t="inlineStr">
        <is>
          <t>Rs cr</t>
        </is>
      </c>
      <c r="E554" s="1235" t="inlineStr">
        <is>
          <t>Cross-sheet reference to the modelled ESG capex total</t>
        </is>
      </c>
      <c r="F554" s="1235" t="inlineStr">
        <is>
          <t>'='ESG Model'!B46</t>
        </is>
      </c>
      <c r="G554" s="1235" t="inlineStr">
        <is>
          <t>Modelled: share of forecast total capex - see the ESG Model register entries</t>
        </is>
      </c>
      <c r="H554" s="1235" t="inlineStr">
        <is>
          <t>Ministry of Steel net-zero-by-2070 roadmap; EU CBAM definitive regime</t>
        </is>
      </c>
      <c r="I554" s="1235" t="inlineStr">
        <is>
          <t>Reads the ESG capex total modelled on 20 ESG Model row 46, which is itself a share of the total capex this model forecasts.</t>
        </is>
      </c>
      <c r="J554" s="1235" t="inlineStr">
        <is>
          <t>This line was blank because ESG capex was not modelled anywhere. It is now populated as a MEMORANDUM line: decarbonisation spend sits inside the total capex already deducted on rows 22 and 23, so it must NOT be subtracted again in the cash-retained sum on row 30 - doing so would double-count it and break the zero residual that proves the waterfall is complete. The line is shown because a reader wants to know how much of the capex is transition spend, not because it is an additional call on cash.</t>
        </is>
      </c>
      <c r="K554" s="1235" t="inlineStr">
        <is>
          <t>EXCLUDED from the row 30 sum by design, because it is already inside rows 22 and 23. Row 30 must still be exactly zero in every year.</t>
        </is>
      </c>
      <c r="L554" s="1236" t="inlineStr">
        <is>
          <t>Low - inherits the ESG capex share assumption</t>
        </is>
      </c>
      <c r="M554" s="1235" t="inlineStr">
        <is>
          <t>ESG Model</t>
        </is>
      </c>
      <c r="N554" s="1235" t="inlineStr">
        <is>
          <t>Annually</t>
        </is>
      </c>
      <c r="O554" s="1236" t="inlineStr">
        <is>
          <t>FY2026A</t>
        </is>
      </c>
      <c r="P554" s="1235" t="inlineStr">
        <is>
          <t>Populated by modelling rather than left blank; the basis is stated in the Assumption column so it can be replaced with a sourced series when one exists.</t>
        </is>
      </c>
    </row>
    <row r="555" ht="46" customHeight="1" s="632">
      <c r="A555" s="1232" t="inlineStr">
        <is>
          <t>CA03</t>
        </is>
      </c>
      <c r="B555" s="1233" t="inlineStr">
        <is>
          <t>Capital allocation waterfall</t>
        </is>
      </c>
      <c r="C555" s="1257">
        <f>'Capital Allocation'!H30</f>
        <v/>
      </c>
      <c r="D555" s="1234" t="inlineStr">
        <is>
          <t>Rs cr</t>
        </is>
      </c>
      <c r="E555" s="1233" t="inlineStr">
        <is>
          <t>Computed in-cell: operating cash flow less capex less debt service, with the residual as cash retained</t>
        </is>
      </c>
      <c r="F555" s="1233" t="inlineStr">
        <is>
          <t>'=SUM(B21:B25)</t>
        </is>
      </c>
      <c r="G555" s="1233" t="inlineStr">
        <is>
          <t>Computed from the model</t>
        </is>
      </c>
      <c r="H555" s="1233" t="inlineStr">
        <is>
          <t>Research block rows 77 to 80, the net debt roll-forward</t>
        </is>
      </c>
      <c r="I555" s="1233" t="inlineStr">
        <is>
          <t>CASH RETAINED IS EXACTLY ZERO IN EVERY YEAR, and that is a mathematical consequence, not an assumption: net debt is defined as rolling forward by opening less unlevered free cash flow plus interest, so applying all free cash flow to debt leaves nothing over by construction.</t>
        </is>
      </c>
      <c r="J555" s="1233" t="inlineStr">
        <is>
          <t>A zero residual is the proof that the waterfall is complete - no cash is created or destroyed anywhere in the statement. It also makes the model conservative: every rupee services debt, so the leverage trajectory is the best case for the balance sheet and the worst case for shareholders.</t>
        </is>
      </c>
      <c r="K555" s="1233" t="inlineStr">
        <is>
          <t>Rows 21 to 25 must sum to zero in every year and in every scenario; check A22 on 25 Audit Checks tests the net debt roll-forward independently</t>
        </is>
      </c>
      <c r="L555" s="1234" t="inlineStr">
        <is>
          <t>Medium</t>
        </is>
      </c>
      <c r="M555" s="1233" t="inlineStr">
        <is>
          <t>Cash Flow Model</t>
        </is>
      </c>
      <c r="N555" s="1233" t="inlineStr">
        <is>
          <t>Live</t>
        </is>
      </c>
      <c r="O555" s="1234" t="inlineStr">
        <is>
          <t>Live</t>
        </is>
      </c>
      <c r="P555" s="1233" t="inlineStr">
        <is>
          <t>Was entirely blank. Signs follow the cash convention: outflows negative.</t>
        </is>
      </c>
    </row>
    <row r="556" ht="46" customHeight="1" s="632">
      <c r="A556" s="1232" t="inlineStr">
        <is>
          <t>CA04</t>
        </is>
      </c>
      <c r="B556" s="1235" t="inlineStr">
        <is>
          <t>Technology, ESG and safety capex</t>
        </is>
      </c>
      <c r="C556" s="1258">
        <f>'Capital Allocation'!H39</f>
        <v/>
      </c>
      <c r="D556" s="1236" t="inlineStr">
        <is>
          <t>Rs cr</t>
        </is>
      </c>
      <c r="E556" s="1235" t="inlineStr">
        <is>
          <t>Stated share of maintenance capex for technology and safety; ESG reads the ESG Model total</t>
        </is>
      </c>
      <c r="F556" s="1235" t="inlineStr">
        <is>
          <t>'='Cash Flow Model'!$D$109*$J$39</t>
        </is>
      </c>
      <c r="G556" s="1235" t="inlineStr">
        <is>
          <t>Modelled shares of sustaining capital expenditure</t>
        </is>
      </c>
      <c r="H556" s="1235" t="inlineStr">
        <is>
          <t>ESG capex is modelled independently on 20 ESG Model as a share of total capex</t>
        </is>
      </c>
      <c r="I556" s="1235" t="inlineStr">
        <is>
          <t>Technology capex modelled at 8% of maintenance capex and safety capex at 3%, with the shares in column J. ESG capex reads the modelled total on 20 ESG Model row 46. Digitalisation and automation programmes at the Indian majors run at single-digit percentages of sustaining capital expenditure, and statutory safety spend is smaller again.</t>
        </is>
      </c>
      <c r="J556" s="1235" t="inlineStr">
        <is>
          <t>These three rows were blank because the model carries one all-in capex intensity and no producer publishes a capex split by category. They are now MEMORANDUM lines: rows 36 to 38 already sum exactly to total capex on row 42, so these three carve out slices of that same spend rather than adding to it. That distinction is why they can be populated without breaking the reconciliation - and it is stated here rather than left for a reader to infer, because a category table that silently double-counted would be worse than one left blank.</t>
        </is>
      </c>
      <c r="K556" s="1235" t="inlineStr">
        <is>
          <t>MEMORANDUM ONLY - excluded from the row 42 total, which must continue to equal rows 36 plus 37 plus 38 and to tie to 16 Cash Flow Model row 110</t>
        </is>
      </c>
      <c r="L556" s="1236" t="inlineStr">
        <is>
          <t>Low - no producer publishes a capex split by category</t>
        </is>
      </c>
      <c r="M556" s="1235" t="inlineStr">
        <is>
          <t>Cash Flow Model, ESG Model</t>
        </is>
      </c>
      <c r="N556" s="1235" t="inlineStr">
        <is>
          <t>Annually</t>
        </is>
      </c>
      <c r="O556" s="1236" t="inlineStr">
        <is>
          <t>FY2026A</t>
        </is>
      </c>
      <c r="P556" s="1235" t="inlineStr">
        <is>
          <t>Populated by modelling rather than left blank; the basis is stated in the Assumption column so it can be replaced with a sourced series when one exists.</t>
        </is>
      </c>
    </row>
    <row r="557" ht="46" customHeight="1" s="632">
      <c r="A557" s="1232" t="inlineStr">
        <is>
          <t>CA05</t>
        </is>
      </c>
      <c r="B557" s="1233" t="inlineStr">
        <is>
          <t>Capex allocation</t>
        </is>
      </c>
      <c r="C557" s="1257">
        <f>'Capital Allocation'!H42</f>
        <v/>
      </c>
      <c r="D557" s="1234" t="inlineStr">
        <is>
          <t>Rs cr</t>
        </is>
      </c>
      <c r="E557" s="1233" t="inlineStr">
        <is>
          <t>Computed in-cell: maintenance from the research block, brownfield from the dated tracker via the capacity bridge, greenfield as the residual of net additions</t>
        </is>
      </c>
      <c r="F557" s="1233" t="inlineStr">
        <is>
          <t>'='Capacity Forecast'!B52*'Model Assumptions'!E$23/10</t>
        </is>
      </c>
      <c r="G557" s="1233" t="inlineStr">
        <is>
          <t>Dated project tracker on 07 Capacity Expansion Tracker; capex intensity driver D16</t>
        </is>
      </c>
      <c r="H557" s="1233" t="inlineStr">
        <is>
          <t>06 Capacity Forecast capacity bridge rows 51 to 57</t>
        </is>
      </c>
      <c r="I557" s="1233" t="inlineStr">
        <is>
          <t>GREENFIELD here is net capacity additions less brownfield, so it also carries the secondary and unattributed additions of about 11 Mtpa a year.</t>
        </is>
      </c>
      <c r="J557" s="1233" t="inlineStr">
        <is>
          <t>Defining greenfield as the residual is what makes the three rows sum to total capex exactly. The alternative - a separate line for secondary additions - does not exist in this table, and leaving the difference unallocated would break the reconciliation.</t>
        </is>
      </c>
      <c r="K557" s="1233" t="inlineStr">
        <is>
          <t>Rows 36 + 37 + 38 must equal row 42 in every year, which must equal 16 Cash Flow Model row 110</t>
        </is>
      </c>
      <c r="L557" s="1234" t="inlineStr">
        <is>
          <t>Medium</t>
        </is>
      </c>
      <c r="M557" s="1233" t="inlineStr">
        <is>
          <t>Capacity Forecast, Cash Flow Model, Model Assumptions</t>
        </is>
      </c>
      <c r="N557" s="1233" t="inlineStr">
        <is>
          <t>Quarterly</t>
        </is>
      </c>
      <c r="O557" s="1234" t="inlineStr">
        <is>
          <t>FY2027E</t>
        </is>
      </c>
      <c r="P557" s="1233" t="inlineStr">
        <is>
          <t>Was entirely blank.</t>
        </is>
      </c>
    </row>
    <row r="558" ht="46" customHeight="1" s="632">
      <c r="A558" s="1232" t="inlineStr">
        <is>
          <t>CA06</t>
        </is>
      </c>
      <c r="B558" s="1235" t="inlineStr">
        <is>
          <t>Debt allocation and leverage trajectory</t>
        </is>
      </c>
      <c r="C558" s="1258">
        <f>'Capital Allocation'!E53</f>
        <v/>
      </c>
      <c r="D558" s="1236" t="inlineStr">
        <is>
          <t>Rs cr</t>
        </is>
      </c>
      <c r="E558" s="1235" t="inlineStr">
        <is>
          <t>Cross-sheet reference within this sheet to the net debt roll-forward, with repayment and drawdown separated by MAX so the direction of the movement is explicit</t>
        </is>
      </c>
      <c r="F558" s="1235" t="inlineStr">
        <is>
          <t>'=MAX(0,D77-D80) repaid, =MAX(0,D80-D77) drawn</t>
        </is>
      </c>
      <c r="G558" s="1235" t="inlineStr">
        <is>
          <t>FY2026A closing net debt of Rs 1,85,001 cr derived from the Master Industry Database</t>
        </is>
      </c>
      <c r="H558" s="1235" t="inlineStr">
        <is>
          <t>Research block rows 77 to 85; 25 Audit Checks A22</t>
        </is>
      </c>
      <c r="I558" s="1235" t="inlineStr">
        <is>
          <t>All free cash flow after interest is applied to net debt. No new debt is raised for capex.</t>
        </is>
      </c>
      <c r="J558" s="1235" t="inlineStr">
        <is>
          <t>The base case deleverages the industry from 1.07x net debt to EBITDA to a NET CASH position by about FY2030E, which is the single most important balance-sheet message in the model. It also explains why the illustrative interest line turns negative from FY2030E - that is interest income, not a sign error. In the Bear Case the industry re-levers instead, because free cash flow turns negative while capex continues.</t>
        </is>
      </c>
      <c r="K558" s="1235" t="inlineStr">
        <is>
          <t>Opening less repaid plus drawn must equal closing in every year; leverage must equal net debt divided by EBITDA on research block row 84</t>
        </is>
      </c>
      <c r="L558" s="1236" t="inlineStr">
        <is>
          <t>Medium</t>
        </is>
      </c>
      <c r="M558" s="1235" t="inlineStr">
        <is>
          <t>EBITDA Model, Cash Flow Model</t>
        </is>
      </c>
      <c r="N558" s="1235" t="inlineStr">
        <is>
          <t>Quarterly</t>
        </is>
      </c>
      <c r="O558" s="1236" t="inlineStr">
        <is>
          <t>FY2026A</t>
        </is>
      </c>
      <c r="P558" s="1235" t="inlineStr">
        <is>
          <t>Was entirely blank.</t>
        </is>
      </c>
    </row>
    <row r="559" ht="46" customHeight="1" s="632">
      <c r="A559" s="1232" t="inlineStr">
        <is>
          <t>CA07</t>
        </is>
      </c>
      <c r="B559" s="1233" t="inlineStr">
        <is>
          <t>Strategic investment other than capacity expansion</t>
        </is>
      </c>
      <c r="C559" s="1257">
        <f>'Capital Allocation'!H60</f>
        <v/>
      </c>
      <c r="D559" s="1234" t="inlineStr">
        <is>
          <t>Rs cr</t>
        </is>
      </c>
      <c r="E559" s="1233" t="inlineStr">
        <is>
          <t>Renewable energy links to the ESG capex block; the other four categories are deliberate zeros</t>
        </is>
      </c>
      <c r="F559" s="1233" t="inlineStr">
        <is>
          <t>'='ESG Model'!B41 for renewable energy; entered zero for the rest</t>
        </is>
      </c>
      <c r="G559" s="1233" t="inlineStr">
        <is>
          <t>Modelled for renewable energy; a scope decision for the other four</t>
        </is>
      </c>
      <c r="H559" s="1233" t="inlineStr">
        <is>
          <t>07 Capacity Expansion Tracker states the exclusion of acquisitions</t>
        </is>
      </c>
      <c r="I559" s="1233" t="inlineStr">
        <is>
          <t>Renewable energy investment reads the renewable category of the ESG capex block on 20 ESG Model row 41. Downstream products, digital transformation, acquisitions and overseas expansion are deliberate zeros.</t>
        </is>
      </c>
      <c r="J559" s="1233" t="inlineStr">
        <is>
          <t>Five rows across seven years, blank. Two different things were being conflated. Renewable energy spend IS now modelled, inside the ESG capex block, so this line links to it. The other four are not unavailable - they are OUT OF SCOPE, and a zero says that far more clearly than a blank does. The model forecasts Indian crude steel capacity only; acquisitions are explicitly excluded from the project tracker because they transfer ownership of existing capacity rather than add new capacity, and downstream, digital and overseas programmes are company portfolio choices that no producer costs to FY2033.</t>
        </is>
      </c>
      <c r="K559" s="1233" t="inlineStr">
        <is>
          <t>Row 58 capacity expansion must equal growth capex on 16 Cash Flow Model row 107</t>
        </is>
      </c>
      <c r="L559" s="1234" t="inlineStr">
        <is>
          <t>Low for renewable energy, High for the zeros - they are a scope statement</t>
        </is>
      </c>
      <c r="M559" s="1233" t="inlineStr">
        <is>
          <t>ESG Model, Cash Flow Model</t>
        </is>
      </c>
      <c r="N559" s="1233" t="inlineStr">
        <is>
          <t>Annually</t>
        </is>
      </c>
      <c r="O559" s="1234" t="inlineStr">
        <is>
          <t>FY2026A</t>
        </is>
      </c>
      <c r="P559" s="1233" t="inlineStr">
        <is>
          <t>Populated by modelling rather than left blank; the basis is stated in the Assumption column so it can be replaced with a sourced series when one exists.</t>
        </is>
      </c>
    </row>
    <row r="560" ht="46" customHeight="1" s="632">
      <c r="A560" s="1232" t="inlineStr">
        <is>
          <t>CA08</t>
        </is>
      </c>
      <c r="B560" s="1235" t="inlineStr">
        <is>
          <t>Four-scenario capital allocation, cumulative FY2027E-FY2033E</t>
        </is>
      </c>
      <c r="C560" s="1258">
        <f>'Capital Allocation'!C68</f>
        <v/>
      </c>
      <c r="D560" s="1236" t="inlineStr">
        <is>
          <t>Rs cr</t>
        </is>
      </c>
      <c r="E560" s="1235" t="inlineStr">
        <is>
          <t>Cross-sheet SUM across the seven forecast years of the scenario engine on 24 Scenario Manager</t>
        </is>
      </c>
      <c r="F560" s="1235" t="inlineStr">
        <is>
          <t>'=SUM('Scenario Manager'!$D$&lt;row&gt;:$J$&lt;row&gt;)</t>
        </is>
      </c>
      <c r="G560" s="1235" t="inlineStr">
        <is>
          <t>Rebuilt live from the scenario driver matrix on 02 Model Assumptions</t>
        </is>
      </c>
      <c r="H560" s="1235" t="inlineStr">
        <is>
          <t>Independent tie-out on 24 Scenario Manager row 79</t>
        </is>
      </c>
      <c r="I560" s="1235" t="inlineStr">
        <is>
          <t>Cumulative rather than single-year, because capital allocation is a through-cycle question.</t>
        </is>
      </c>
      <c r="J560" s="1235" t="inlineStr">
        <is>
          <t>The Bull Case generates roughly Rs 9.5 lakh crore of cumulative free cash flow against roughly Rs 5.0 lakh crore of growth capex - comfortable self-funding. The Bear Case generates NEGATIVE cumulative free cash flow while still committing roughly Rs 3.5 lakh crore of growth capex, which must be debt-funded. That divergence, not the EBITDA number, is what determines whether the industry is investable through the cycle.</t>
        </is>
      </c>
      <c r="K560" s="1235" t="inlineStr">
        <is>
          <t>Cash retained is exactly zero in every scenario by construction</t>
        </is>
      </c>
      <c r="L560" s="1236" t="inlineStr">
        <is>
          <t>Medium</t>
        </is>
      </c>
      <c r="M560" s="1235" t="inlineStr">
        <is>
          <t>Scenario Manager</t>
        </is>
      </c>
      <c r="N560" s="1235" t="inlineStr">
        <is>
          <t>Live</t>
        </is>
      </c>
      <c r="O560" s="1236" t="inlineStr">
        <is>
          <t>Live</t>
        </is>
      </c>
      <c r="P560" s="1235" t="inlineStr">
        <is>
          <t>Was entirely blank.</t>
        </is>
      </c>
    </row>
    <row r="561" ht="46" customHeight="1" s="632">
      <c r="A561" s="1232" t="inlineStr">
        <is>
          <t>CA09</t>
        </is>
      </c>
      <c r="B561" s="1233" t="inlineStr">
        <is>
          <t>Opening net debt</t>
        </is>
      </c>
      <c r="C561" s="1242">
        <f>'Capital Allocation'!J77</f>
        <v/>
      </c>
      <c r="D561" s="1234" t="inlineStr">
        <is>
          <t>Rs cr</t>
        </is>
      </c>
      <c r="E561" s="1233" t="inlineStr">
        <is>
          <t>Computed in-cell</t>
        </is>
      </c>
      <c r="F561" s="1233" t="inlineStr">
        <is>
          <t>'=C80</t>
        </is>
      </c>
      <c r="G561" s="1233" t="inlineStr">
        <is>
          <t>Computed</t>
        </is>
      </c>
      <c r="H561" s="1233" t="inlineStr">
        <is>
          <t>26 Sources register; Master Industry Database source log (47 cited sources)</t>
        </is>
      </c>
      <c r="I561" s="1233" t="n"/>
      <c r="J561" s="1233" t="n"/>
      <c r="K561" s="1233" t="inlineStr">
        <is>
          <t>Reconciled by 25 Audit Checks</t>
        </is>
      </c>
      <c r="L561" s="1234" t="inlineStr">
        <is>
          <t>Medium</t>
        </is>
      </c>
      <c r="M561" s="1233" t="inlineStr">
        <is>
          <t>This sheet</t>
        </is>
      </c>
      <c r="N561" s="1233" t="inlineStr">
        <is>
          <t>Recalculates live with the model</t>
        </is>
      </c>
      <c r="O561" s="1234" t="inlineStr">
        <is>
          <t>Live</t>
        </is>
      </c>
      <c r="P561" s="1233" t="inlineStr">
        <is>
          <t>Research block row 77. Value column is live and re-states on a scenario change.</t>
        </is>
      </c>
    </row>
    <row r="562" ht="46" customHeight="1" s="632">
      <c r="A562" s="1232" t="inlineStr">
        <is>
          <t>CA10</t>
        </is>
      </c>
      <c r="B562" s="1235" t="inlineStr">
        <is>
          <t>Unlevered free cash flow</t>
        </is>
      </c>
      <c r="C562" s="1241">
        <f>'Capital Allocation'!J78</f>
        <v/>
      </c>
      <c r="D562" s="1236" t="inlineStr">
        <is>
          <t>Rs cr</t>
        </is>
      </c>
      <c r="E562" s="1235" t="inlineStr">
        <is>
          <t>Cross-sheet reference (linked, not re-entered)</t>
        </is>
      </c>
      <c r="F562" s="1235" t="inlineStr">
        <is>
          <t>'='Cash Flow Model'!D$114</t>
        </is>
      </c>
      <c r="G562" s="1235" t="inlineStr">
        <is>
          <t>16 Cash Flow</t>
        </is>
      </c>
      <c r="H562" s="1235" t="inlineStr">
        <is>
          <t>26 Sources register; Master Industry Database source log (47 cited sources)</t>
        </is>
      </c>
      <c r="I562" s="1235" t="n"/>
      <c r="J562" s="1235" t="n"/>
      <c r="K562" s="1235" t="inlineStr">
        <is>
          <t>Reconciled by 25 Audit Checks</t>
        </is>
      </c>
      <c r="L562" s="1236" t="inlineStr">
        <is>
          <t>Medium</t>
        </is>
      </c>
      <c r="M562" s="1235" t="inlineStr">
        <is>
          <t>Cash Flow Model</t>
        </is>
      </c>
      <c r="N562" s="1235" t="inlineStr">
        <is>
          <t>Recalculates live with the model</t>
        </is>
      </c>
      <c r="O562" s="1236" t="inlineStr">
        <is>
          <t>Live</t>
        </is>
      </c>
      <c r="P562" s="1235" t="inlineStr">
        <is>
          <t>Research block row 78. Value column is live and re-states on a scenario change.</t>
        </is>
      </c>
    </row>
    <row r="563" ht="46" customHeight="1" s="632">
      <c r="A563" s="1232" t="inlineStr">
        <is>
          <t>CA11</t>
        </is>
      </c>
      <c r="B563" s="1233" t="inlineStr">
        <is>
          <t>Interest paid (illustrative)</t>
        </is>
      </c>
      <c r="C563" s="1242">
        <f>'Capital Allocation'!J79</f>
        <v/>
      </c>
      <c r="D563" s="1234" t="inlineStr">
        <is>
          <t>Rs cr</t>
        </is>
      </c>
      <c r="E563" s="1233" t="inlineStr">
        <is>
          <t>Sourced actual (hard value)</t>
        </is>
      </c>
      <c r="F563" s="1233" t="inlineStr">
        <is>
          <t>(constant) 13764.0744</t>
        </is>
      </c>
      <c r="G563" s="1233" t="inlineStr">
        <is>
          <t>Computed</t>
        </is>
      </c>
      <c r="H563" s="1233" t="inlineStr">
        <is>
          <t>26 Sources register; Master Industry Database source log (47 cited sources)</t>
        </is>
      </c>
      <c r="I563" s="1233" t="inlineStr">
        <is>
          <t>Opening net debt at the pre-tax cost of debt of 7.44% from the WACC build-up.</t>
        </is>
      </c>
      <c r="J563" s="1233" t="inlineStr">
        <is>
          <t>Illustrative: actual coupons differ by issuer and by instrument.</t>
        </is>
      </c>
      <c r="K563" s="1233" t="inlineStr">
        <is>
          <t>Reconciled by 25 Audit Checks</t>
        </is>
      </c>
      <c r="L563" s="1234" t="inlineStr">
        <is>
          <t>Medium</t>
        </is>
      </c>
      <c r="M563" s="1233" t="inlineStr">
        <is>
          <t>This sheet</t>
        </is>
      </c>
      <c r="N563" s="1233" t="inlineStr">
        <is>
          <t>Recalculates live with the model</t>
        </is>
      </c>
      <c r="O563" s="1234" t="inlineStr">
        <is>
          <t>Live</t>
        </is>
      </c>
      <c r="P563" s="1233" t="inlineStr">
        <is>
          <t>Research block row 79. Value column is live and re-states on a scenario change.</t>
        </is>
      </c>
    </row>
    <row r="564" ht="46" customHeight="1" s="632">
      <c r="A564" s="1232" t="inlineStr">
        <is>
          <t>CA12</t>
        </is>
      </c>
      <c r="B564" s="1235" t="inlineStr">
        <is>
          <t>Closing net debt</t>
        </is>
      </c>
      <c r="C564" s="1241">
        <f>IF(ISNUMBER('Capital Allocation'!J80),'Capital Allocation'!J80,'Capital Allocation'!C80)</f>
        <v/>
      </c>
      <c r="D564" s="1236" t="inlineStr">
        <is>
          <t>Rs cr</t>
        </is>
      </c>
      <c r="E564" s="1235" t="inlineStr">
        <is>
          <t>Computed in-cell</t>
        </is>
      </c>
      <c r="F564" s="1235" t="inlineStr">
        <is>
          <t>'=D77-D78+D79</t>
        </is>
      </c>
      <c r="G564" s="1235" t="inlineStr">
        <is>
          <t>Master DB (aggregate)</t>
        </is>
      </c>
      <c r="H564" s="1235" t="inlineStr">
        <is>
          <t>26 Sources register; Master Industry Database source log (47 cited sources)</t>
        </is>
      </c>
      <c r="I564" s="1235" t="inlineStr">
        <is>
          <t>FY2026A of Rs 1,85,001 cr.</t>
        </is>
      </c>
      <c r="J564" s="1235" t="inlineStr">
        <is>
          <t>Note SAIL is a gross-borrowings proxy, so the aggregate is overstated by SAIL's cash balance, which the database does not disclose.</t>
        </is>
      </c>
      <c r="K564" s="1235" t="inlineStr">
        <is>
          <t>Reconciled by 25 Audit Checks</t>
        </is>
      </c>
      <c r="L564" s="1236" t="inlineStr">
        <is>
          <t>Medium</t>
        </is>
      </c>
      <c r="M564" s="1235" t="inlineStr">
        <is>
          <t>This sheet</t>
        </is>
      </c>
      <c r="N564" s="1235" t="inlineStr">
        <is>
          <t>Quarterly, on each results season</t>
        </is>
      </c>
      <c r="O564" s="1236" t="inlineStr">
        <is>
          <t>FY2026A</t>
        </is>
      </c>
      <c r="P564" s="1235" t="inlineStr">
        <is>
          <t>Research block row 80. Value column is live and re-states on a scenario change.</t>
        </is>
      </c>
    </row>
    <row r="565" ht="46" customHeight="1" s="632">
      <c r="A565" s="1232" t="inlineStr">
        <is>
          <t>CA13</t>
        </is>
      </c>
      <c r="B565" s="1233" t="inlineStr">
        <is>
          <t>Industry EBITDA</t>
        </is>
      </c>
      <c r="C565" s="1242">
        <f>IF(ISNUMBER('Capital Allocation'!J83),'Capital Allocation'!J83,'Capital Allocation'!C83)</f>
        <v/>
      </c>
      <c r="D565" s="1234" t="inlineStr">
        <is>
          <t>Rs cr</t>
        </is>
      </c>
      <c r="E565" s="1233" t="inlineStr">
        <is>
          <t>Cross-sheet reference (linked, not re-entered)</t>
        </is>
      </c>
      <c r="F565" s="1233" t="inlineStr">
        <is>
          <t>'='EBITDA Model'!D$103</t>
        </is>
      </c>
      <c r="G565" s="1233" t="inlineStr">
        <is>
          <t>13 EBITDA</t>
        </is>
      </c>
      <c r="H565" s="1233" t="inlineStr">
        <is>
          <t>26 Sources register; Master Industry Database source log (47 cited sources)</t>
        </is>
      </c>
      <c r="I565" s="1233" t="n"/>
      <c r="J565" s="1233" t="n"/>
      <c r="K565" s="1233" t="inlineStr">
        <is>
          <t>Reconciled by 25 Audit Checks</t>
        </is>
      </c>
      <c r="L565" s="1234" t="inlineStr">
        <is>
          <t>Medium</t>
        </is>
      </c>
      <c r="M565" s="1233" t="inlineStr">
        <is>
          <t>EBITDA Model</t>
        </is>
      </c>
      <c r="N565" s="1233" t="inlineStr">
        <is>
          <t>Recalculates live with the model</t>
        </is>
      </c>
      <c r="O565" s="1234" t="inlineStr">
        <is>
          <t>Live</t>
        </is>
      </c>
      <c r="P565" s="1233" t="inlineStr">
        <is>
          <t>Research block row 83. Value column is live and re-states on a scenario change.</t>
        </is>
      </c>
    </row>
    <row r="566" ht="46" customHeight="1" s="632">
      <c r="A566" s="1232" t="inlineStr">
        <is>
          <t>CA14</t>
        </is>
      </c>
      <c r="B566" s="1235" t="inlineStr">
        <is>
          <t>Net debt / EBITDA</t>
        </is>
      </c>
      <c r="C566" s="1241">
        <f>IF(ISNUMBER('Capital Allocation'!J84),'Capital Allocation'!J84,'Capital Allocation'!C84)</f>
        <v/>
      </c>
      <c r="D566" s="1236" t="inlineStr">
        <is>
          <t>x</t>
        </is>
      </c>
      <c r="E566" s="1235" t="inlineStr">
        <is>
          <t>Computed in-cell</t>
        </is>
      </c>
      <c r="F566" s="1235" t="inlineStr">
        <is>
          <t>'=IFERROR(D80/D83,"")</t>
        </is>
      </c>
      <c r="G566" s="1235" t="inlineStr">
        <is>
          <t>Computed</t>
        </is>
      </c>
      <c r="H566" s="1235" t="inlineStr">
        <is>
          <t>26 Sources register; Master Industry Database source log (47 cited sources)</t>
        </is>
      </c>
      <c r="I566" s="1235" t="inlineStr">
        <is>
          <t>Benchmark against the producers' own stated caps from the database: JSW Steel revised its cap down from 3.75x to 3.00x and achieved 1.81x at Mar-2026; Jindal Steel 1.66x; Jindal Stainless 0.55x; Tata Steel 2.3x.</t>
        </is>
      </c>
      <c r="J566" s="1235" t="n"/>
      <c r="K566" s="1235" t="inlineStr">
        <is>
          <t>Reconciled by 25 Audit Checks</t>
        </is>
      </c>
      <c r="L566" s="1236" t="inlineStr">
        <is>
          <t>Medium</t>
        </is>
      </c>
      <c r="M566" s="1235" t="inlineStr">
        <is>
          <t>This sheet</t>
        </is>
      </c>
      <c r="N566" s="1235" t="inlineStr">
        <is>
          <t>Recalculates live with the model</t>
        </is>
      </c>
      <c r="O566" s="1236" t="inlineStr">
        <is>
          <t>Live</t>
        </is>
      </c>
      <c r="P566" s="1235" t="inlineStr">
        <is>
          <t>Research block row 84. Value column is live and re-states on a scenario change.</t>
        </is>
      </c>
    </row>
    <row r="567" ht="46" customHeight="1" s="632">
      <c r="A567" s="1232" t="inlineStr">
        <is>
          <t>CA15</t>
        </is>
      </c>
      <c r="B567" s="1233" t="inlineStr">
        <is>
          <t>Leverage covenant headroom vs 3.0x</t>
        </is>
      </c>
      <c r="C567" s="1242">
        <f>'Capital Allocation'!J85</f>
        <v/>
      </c>
      <c r="D567" s="1234" t="inlineStr">
        <is>
          <t>x</t>
        </is>
      </c>
      <c r="E567" s="1233" t="inlineStr">
        <is>
          <t>Computed in-cell</t>
        </is>
      </c>
      <c r="F567" s="1233" t="inlineStr">
        <is>
          <t>'=3-D84</t>
        </is>
      </c>
      <c r="G567" s="1233" t="inlineStr">
        <is>
          <t>Computed</t>
        </is>
      </c>
      <c r="H567" s="1233" t="inlineStr">
        <is>
          <t>26 Sources register; Master Industry Database source log (47 cited sources)</t>
        </is>
      </c>
      <c r="I567" s="1233" t="inlineStr">
        <is>
          <t>Against JSW Steel's revised stated cap of 3.00x, the tightest publicly stated cap among the covered producers.</t>
        </is>
      </c>
      <c r="J567" s="1233" t="inlineStr">
        <is>
          <t>Negative means the industry aggregate would breach it.</t>
        </is>
      </c>
      <c r="K567" s="1233" t="inlineStr">
        <is>
          <t>Reconciled by 25 Audit Checks</t>
        </is>
      </c>
      <c r="L567" s="1234" t="inlineStr">
        <is>
          <t>Medium</t>
        </is>
      </c>
      <c r="M567" s="1233" t="inlineStr">
        <is>
          <t>This sheet</t>
        </is>
      </c>
      <c r="N567" s="1233" t="inlineStr">
        <is>
          <t>Recalculates live with the model</t>
        </is>
      </c>
      <c r="O567" s="1234" t="inlineStr">
        <is>
          <t>Live</t>
        </is>
      </c>
      <c r="P567" s="1233" t="inlineStr">
        <is>
          <t>Research block row 85. Value column is live and re-states on a scenario change.</t>
        </is>
      </c>
    </row>
    <row r="568" ht="46" customHeight="1" s="632">
      <c r="A568" s="1232" t="inlineStr">
        <is>
          <t>CA16</t>
        </is>
      </c>
      <c r="B568" s="1235" t="inlineStr">
        <is>
          <t>Total capex</t>
        </is>
      </c>
      <c r="C568" s="1241">
        <f>'Capital Allocation'!J88</f>
        <v/>
      </c>
      <c r="D568" s="1236" t="inlineStr">
        <is>
          <t>Rs cr</t>
        </is>
      </c>
      <c r="E568" s="1235" t="inlineStr">
        <is>
          <t>Cross-sheet reference (linked, not re-entered)</t>
        </is>
      </c>
      <c r="F568" s="1235" t="inlineStr">
        <is>
          <t>'='Cash Flow Model'!D$110</t>
        </is>
      </c>
      <c r="G568" s="1235" t="inlineStr">
        <is>
          <t>16 Cash Flow</t>
        </is>
      </c>
      <c r="H568" s="1235" t="inlineStr">
        <is>
          <t>26 Sources register; Master Industry Database source log (47 cited sources)</t>
        </is>
      </c>
      <c r="I568" s="1235" t="n"/>
      <c r="J568" s="1235" t="n"/>
      <c r="K568" s="1235" t="inlineStr">
        <is>
          <t>Reconciled by 25 Audit Checks</t>
        </is>
      </c>
      <c r="L568" s="1236" t="inlineStr">
        <is>
          <t>Medium</t>
        </is>
      </c>
      <c r="M568" s="1235" t="inlineStr">
        <is>
          <t>Cash Flow Model</t>
        </is>
      </c>
      <c r="N568" s="1235" t="inlineStr">
        <is>
          <t>Recalculates live with the model</t>
        </is>
      </c>
      <c r="O568" s="1236" t="inlineStr">
        <is>
          <t>Live</t>
        </is>
      </c>
      <c r="P568" s="1235" t="inlineStr">
        <is>
          <t>Research block row 88. Value column is live and re-states on a scenario change.</t>
        </is>
      </c>
    </row>
    <row r="569" ht="46" customHeight="1" s="632">
      <c r="A569" s="1232" t="inlineStr">
        <is>
          <t>CA17</t>
        </is>
      </c>
      <c r="B569" s="1233" t="inlineStr">
        <is>
          <t>Cumulative capex FY2027E onwards</t>
        </is>
      </c>
      <c r="C569" s="1242">
        <f>IF(ISNUMBER('Capital Allocation'!J89),'Capital Allocation'!J89,'Capital Allocation'!C89)</f>
        <v/>
      </c>
      <c r="D569" s="1234" t="inlineStr">
        <is>
          <t>Rs cr</t>
        </is>
      </c>
      <c r="E569" s="1233" t="inlineStr">
        <is>
          <t>Computed in-cell</t>
        </is>
      </c>
      <c r="F569" s="1233" t="inlineStr">
        <is>
          <t>'=C89+D88</t>
        </is>
      </c>
      <c r="G569" s="1233" t="inlineStr">
        <is>
          <t>Computed</t>
        </is>
      </c>
      <c r="H569" s="1233" t="inlineStr">
        <is>
          <t>26 Sources register; Master Industry Database source log (47 cited sources)</t>
        </is>
      </c>
      <c r="I569" s="1233" t="inlineStr">
        <is>
          <t>The scale of the capital call on this industry over the horizon.</t>
        </is>
      </c>
      <c r="J569" s="1233" t="inlineStr">
        <is>
          <t>For context the database records Jindal Steel's cumulative capex at Rs 40,450 cr through FY2026 and JSW Steel carrying forward Rs 96,888 cr of approved capex at 1-Apr-2026.</t>
        </is>
      </c>
      <c r="K569" s="1233" t="inlineStr">
        <is>
          <t>Reconciled by 25 Audit Checks</t>
        </is>
      </c>
      <c r="L569" s="1234" t="inlineStr">
        <is>
          <t>Medium</t>
        </is>
      </c>
      <c r="M569" s="1233" t="inlineStr">
        <is>
          <t>This sheet</t>
        </is>
      </c>
      <c r="N569" s="1233" t="inlineStr">
        <is>
          <t>Recalculates live with the model</t>
        </is>
      </c>
      <c r="O569" s="1234" t="inlineStr">
        <is>
          <t>Live</t>
        </is>
      </c>
      <c r="P569" s="1233" t="inlineStr">
        <is>
          <t>Research block row 89. Value column is live and re-states on a scenario change.</t>
        </is>
      </c>
    </row>
    <row r="572" ht="18" customHeight="1" s="632">
      <c r="A572" s="1229" t="inlineStr">
        <is>
          <t>Industry Cycle Model  -  17 documented items  (IC01 - IC17)</t>
        </is>
      </c>
      <c r="B572" s="1161" t="n"/>
      <c r="C572" s="1161" t="n"/>
      <c r="D572" s="1161" t="n"/>
      <c r="E572" s="1161" t="n"/>
      <c r="F572" s="1161" t="n"/>
      <c r="G572" s="1161" t="n"/>
      <c r="H572" s="1161" t="n"/>
      <c r="I572" s="1161" t="n"/>
      <c r="J572" s="1161" t="n"/>
      <c r="K572" s="1161" t="n"/>
      <c r="L572" s="1161" t="n"/>
      <c r="M572" s="1161" t="n"/>
      <c r="N572" s="1161" t="n"/>
      <c r="O572" s="1161" t="n"/>
      <c r="P572" s="1161" t="n"/>
    </row>
    <row r="573" ht="24" customHeight="1" s="632">
      <c r="A573" s="1230" t="inlineStr">
        <is>
          <t>Every documented number on Industry Cycle Model. The Code column matches the Ref column on that sheet.</t>
        </is>
      </c>
    </row>
    <row r="574" ht="30" customHeight="1" s="632">
      <c r="A574" s="1231" t="inlineStr">
        <is>
          <t>Code</t>
        </is>
      </c>
      <c r="B574" s="1231" t="inlineStr">
        <is>
          <t>Model Item</t>
        </is>
      </c>
      <c r="C574" s="1231" t="inlineStr">
        <is>
          <t>Value</t>
        </is>
      </c>
      <c r="D574" s="1231" t="inlineStr">
        <is>
          <t>Unit</t>
        </is>
      </c>
      <c r="E574" s="1231" t="inlineStr">
        <is>
          <t>Calculation Method</t>
        </is>
      </c>
      <c r="F574" s="1231" t="inlineStr">
        <is>
          <t>Formula Used</t>
        </is>
      </c>
      <c r="G574" s="1231" t="inlineStr">
        <is>
          <t>Primary Source</t>
        </is>
      </c>
      <c r="H574" s="1231" t="inlineStr">
        <is>
          <t>Secondary Source</t>
        </is>
      </c>
      <c r="I574" s="1231" t="inlineStr">
        <is>
          <t>Assumption</t>
        </is>
      </c>
      <c r="J574" s="1231" t="inlineStr">
        <is>
          <t>Reasoning</t>
        </is>
      </c>
      <c r="K574" s="1231" t="inlineStr">
        <is>
          <t>Cross-check</t>
        </is>
      </c>
      <c r="L574" s="1231" t="inlineStr">
        <is>
          <t>Confidence Level</t>
        </is>
      </c>
      <c r="M574" s="1231" t="inlineStr">
        <is>
          <t>Linked Sheet</t>
        </is>
      </c>
      <c r="N574" s="1231" t="inlineStr">
        <is>
          <t>Update Frequency</t>
        </is>
      </c>
      <c r="O574" s="1231" t="inlineStr">
        <is>
          <t>Last Available Date</t>
        </is>
      </c>
      <c r="P574" s="1231" t="inlineStr">
        <is>
          <t>Comments</t>
        </is>
      </c>
    </row>
    <row r="575" ht="46" customHeight="1" s="632">
      <c r="A575" s="1232" t="inlineStr">
        <is>
          <t>IC01</t>
        </is>
      </c>
      <c r="B575" s="1233" t="inlineStr">
        <is>
          <t>Cycle score and phase</t>
        </is>
      </c>
      <c r="C575" s="1250">
        <f>'Industry Cycle Model'!I10</f>
        <v/>
      </c>
      <c r="D575" s="1234" t="inlineStr">
        <is>
          <t>score 0-100</t>
        </is>
      </c>
      <c r="E575" s="1233" t="inlineStr">
        <is>
          <t>Weighted SUMPRODUCT of eight indicator scores, each normalised onto a 0-100 band computed live from the model</t>
        </is>
      </c>
      <c r="F575" s="1233" t="inlineStr">
        <is>
          <t>'=SUMPRODUCT($B$19:$B$26,C19:C26); each indicator =MIN(100,MAX(0,(x-floor)/band*100))</t>
        </is>
      </c>
      <c r="G575" s="1233" t="inlineStr">
        <is>
          <t>Computed from the model. Every band is stated inside its own formula so it is auditable</t>
        </is>
      </c>
      <c r="H575" s="1233" t="inlineStr">
        <is>
          <t>Research block rows 95 to 98, the observed cycle chronology from the Master Industry Database</t>
        </is>
      </c>
      <c r="I575" s="1233" t="inlineStr">
        <is>
          <t>The BANDS are the modeller's framework; the INPUTS are all model outputs, and the margin band of -10% to +26% is taken directly from observed history rather than chosen.</t>
        </is>
      </c>
      <c r="J575" s="1233" t="inlineStr">
        <is>
          <t>SIMPLIFIED. The clamp was written as MEDIAN(0,100,x), which is compact but reads as a statistic rather than as a limit and makes a reader stop and work out why a median of three numbers bounds a score. It is now MIN(100,MAX(0,x)) - "not below nought, not above a hundred", in the order you read it. Band edges are written as percentages rather than decimals so they match the units of the cells they are compared against. Anchoring the margin and utilisation bands on the observed range is what stops the scorecard from being arbitrary.</t>
        </is>
      </c>
      <c r="K575" s="1233" t="inlineStr">
        <is>
          <t>Weights in column B sum to 1.00; the score must classify FY2026A as the recovery the research block documents on row 97</t>
        </is>
      </c>
      <c r="L575" s="1234" t="inlineStr">
        <is>
          <t>Medium</t>
        </is>
      </c>
      <c r="M575" s="1233" t="inlineStr">
        <is>
          <t>Macroeconomic Model, Steel Demand Model, Capacity Utilisation, Capacity Forecast, Steel Price Forecast, Margin Analysis, Steel Supply Model</t>
        </is>
      </c>
      <c r="N575" s="1233" t="inlineStr">
        <is>
          <t>Live</t>
        </is>
      </c>
      <c r="O575" s="1234" t="inlineStr">
        <is>
          <t>Live</t>
        </is>
      </c>
      <c r="P575" s="1233" t="inlineStr">
        <is>
          <t>Rows 19 to 26 and the whole executive summary were blank.</t>
        </is>
      </c>
    </row>
    <row r="576" ht="46" customHeight="1" s="632">
      <c r="A576" s="1232" t="inlineStr">
        <is>
          <t>IC02</t>
        </is>
      </c>
      <c r="B576" s="1235" t="inlineStr">
        <is>
          <t>Leading indicators other than GDP</t>
        </is>
      </c>
      <c r="C576" s="1245">
        <f>'Industry Cycle Model'!I42</f>
        <v/>
      </c>
      <c r="D576" s="1236" t="inlineStr">
        <is>
          <t>%</t>
        </is>
      </c>
      <c r="E576" s="1235" t="inlineStr">
        <is>
          <t>Cross-sheet link to the modelled macro sub-series</t>
        </is>
      </c>
      <c r="F576" s="1235" t="inlineStr">
        <is>
          <t>'='Macroeconomic Model'!B14</t>
        </is>
      </c>
      <c r="G576" s="1235" t="inlineStr">
        <is>
          <t>Modelled on 03 Macroeconomic Model as betas to the sourced RBI real GDP path</t>
        </is>
      </c>
      <c r="H576" s="1235" t="inlineStr">
        <is>
          <t>MOSPI and RBI publish all of these as actuals</t>
        </is>
      </c>
      <c r="I576" s="1235" t="inlineStr">
        <is>
          <t>Each row links to the corresponding series on 03 Macroeconomic Model, where it is modelled as a documented beta to real GDP growth or, for WPI, as a spread to CPI.</t>
        </is>
      </c>
      <c r="J576" s="1235" t="inlineStr">
        <is>
          <t>Six rows across eight years were blank here for the same reason they were blank on the macro sheet: no institution publishes an India path for these series to FY2033. Now that the macro sheet models them off the sourced GDP and CPI paths, this table simply reads them. That is the right relationship - the cycle sheet should never hold its own copy of a macro series - and it means a change to a beta on the macro sheet propagates here automatically.</t>
        </is>
      </c>
      <c r="K576" s="1235" t="inlineStr">
        <is>
          <t>Must equal 03 Macroeconomic Model rows 14 to 18 and row 20 exactly</t>
        </is>
      </c>
      <c r="L576" s="1236" t="inlineStr">
        <is>
          <t>Medium - modelled from a sourced driver</t>
        </is>
      </c>
      <c r="M576" s="1235" t="inlineStr">
        <is>
          <t>Macroeconomic Model</t>
        </is>
      </c>
      <c r="N576" s="1235" t="inlineStr">
        <is>
          <t>Monthly, as each series prints</t>
        </is>
      </c>
      <c r="O576" s="1236" t="inlineStr">
        <is>
          <t>FY2026A</t>
        </is>
      </c>
      <c r="P576" s="1235" t="inlineStr">
        <is>
          <t>Populated by modelling rather than left blank; the basis is stated in the Assumption column so it can be replaced with a sourced series when one exists.</t>
        </is>
      </c>
    </row>
    <row r="577" ht="46" customHeight="1" s="632">
      <c r="A577" s="1232" t="inlineStr">
        <is>
          <t>IC03</t>
        </is>
      </c>
      <c r="B577" s="1233" t="inlineStr">
        <is>
          <t>Dividend payout and industry employment</t>
        </is>
      </c>
      <c r="C577" s="1237">
        <f>'Industry Cycle Model'!I65</f>
        <v/>
      </c>
      <c r="D577" s="1234" t="inlineStr">
        <is>
          <t>% and employees</t>
        </is>
      </c>
      <c r="E577" s="1233" t="inlineStr">
        <is>
          <t>Deliberate zero for payout; cross-sheet link for employment</t>
        </is>
      </c>
      <c r="F577" s="1233" t="inlineStr">
        <is>
          <t>'='ESG Model'!B51</t>
        </is>
      </c>
      <c r="G577" s="1233" t="inlineStr">
        <is>
          <t>Payout: modelling convention. Employment: Ministry of Steel headcount, indexed to production.</t>
        </is>
      </c>
      <c r="H577" s="1233" t="inlineStr">
        <is>
          <t>17 Capital Allocation row 91 states the payout convention</t>
        </is>
      </c>
      <c r="I577" s="1233" t="inlineStr">
        <is>
          <t>Dividend payout is zero because this model applies every rupee of unlevered free cash flow to net debt and takes no view on distribution policy. Employment reads the headcount modelled on 20 ESG Model row 51, which is indexed to finished steel production net of a 2% annual productivity gain and anchored on the Ministry of Steel figure of over 6 lakh employed.</t>
        </is>
      </c>
      <c r="J577" s="1233" t="inlineStr">
        <is>
          <t>Two rows across eight years, blank. Both are now answered by work done elsewhere rather than by new assumptions: the payout zero is the same convention already stated on 17 Capital Allocation and in the financing section of 16 Cash Flow Model, and the employment series already exists on the ESG sheet. Linking rather than re-keying means the lagging-indicator block cannot disagree with either.</t>
        </is>
      </c>
      <c r="K577" s="1233" t="inlineStr">
        <is>
          <t>Employment must equal 20 ESG Model row 51 exactly and must grow more slowly than production</t>
        </is>
      </c>
      <c r="L577" s="1234" t="inlineStr">
        <is>
          <t>High for the payout zero, Low for the employment trajectory</t>
        </is>
      </c>
      <c r="M577" s="1233" t="inlineStr">
        <is>
          <t>ESG Model, Capital Allocation</t>
        </is>
      </c>
      <c r="N577" s="1233" t="inlineStr">
        <is>
          <t>Annually</t>
        </is>
      </c>
      <c r="O577" s="1234" t="inlineStr">
        <is>
          <t>FY2026A</t>
        </is>
      </c>
      <c r="P577" s="1233" t="inlineStr">
        <is>
          <t>Populated by modelling rather than left blank; the basis is stated in the Assumption column so it can be replaced with a sourced series when one exists.</t>
        </is>
      </c>
    </row>
    <row r="578" ht="46" customHeight="1" s="632">
      <c r="A578" s="1232" t="inlineStr">
        <is>
          <t>IC04</t>
        </is>
      </c>
      <c r="B578" s="1235" t="inlineStr">
        <is>
          <t>Four-scenario cycle score, FY2033E</t>
        </is>
      </c>
      <c r="C578" s="1249">
        <f>'Industry Cycle Model'!B70</f>
        <v/>
      </c>
      <c r="D578" s="1236" t="inlineStr">
        <is>
          <t>score 0-100</t>
        </is>
      </c>
      <c r="E578" s="1235" t="inlineStr">
        <is>
          <t>Cross-sheet reference to the weighted cycle score computed inside the scenario engine, which scores the same eight indicators on the same bands as the live scorecard above</t>
        </is>
      </c>
      <c r="F578" s="1235" t="inlineStr">
        <is>
          <t>'='Scenario Manager'!$J$&lt;engine cycle score row&gt;</t>
        </is>
      </c>
      <c r="G578" s="1235" t="inlineStr">
        <is>
          <t>Rebuilt live from the scenario engine on 24 Scenario Manager</t>
        </is>
      </c>
      <c r="H578" s="1235" t="inlineStr">
        <is>
          <t>The scorecard above, which uses identical bands and weights on the live model</t>
        </is>
      </c>
      <c r="I578" s="1235" t="inlineStr">
        <is>
          <t>Identical bands and weights to the live scorecard, so the four scenarios and the live model are measured on exactly the same ruler.</t>
        </is>
      </c>
      <c r="J578" s="1235" t="inlineStr">
        <is>
          <t>This is the table that answers the only question an investment committee really asks: where in the cycle does each scenario leave us in the terminal year? The Bull Case reaches Peak, the base case sits in Expansion, and both Bear and Stress land in Recovery or below - which is the correct signal that a terminal-year exit multiple should NOT be a peak multiple in those states.</t>
        </is>
      </c>
      <c r="K578" s="1235" t="inlineStr">
        <is>
          <t>Must use the same weights as row 27 and the same bands as rows 19 to 26; the base-case column must be close to the live FY2033E score, and identical when the Base Case is selected</t>
        </is>
      </c>
      <c r="L578" s="1236" t="inlineStr">
        <is>
          <t>Medium</t>
        </is>
      </c>
      <c r="M578" s="1235" t="inlineStr">
        <is>
          <t>Scenario Manager</t>
        </is>
      </c>
      <c r="N578" s="1235" t="inlineStr">
        <is>
          <t>Live</t>
        </is>
      </c>
      <c r="O578" s="1236" t="inlineStr">
        <is>
          <t>FY2033E</t>
        </is>
      </c>
      <c r="P578" s="1235" t="inlineStr">
        <is>
          <t>SIMPLIFIED. Each of these four cells was a 550-character formula holding eight weighted MEDIAN clamps. The eight indicator scores now sit in their own rows in the scenario engine, so this cell is a single reference, the arithmetic is visible one indicator at a time, and the weights are applied in one place instead of eight.</t>
        </is>
      </c>
    </row>
    <row r="579" ht="46" customHeight="1" s="632">
      <c r="A579" s="1232" t="inlineStr">
        <is>
          <t>IC05</t>
        </is>
      </c>
      <c r="B579" s="1233" t="inlineStr">
        <is>
          <t>Price to book and price to earnings by cycle phase</t>
        </is>
      </c>
      <c r="C579" s="1256">
        <f>'Industry Cycle Model'!C78</f>
        <v/>
      </c>
      <c r="D579" s="1234" t="inlineStr">
        <is>
          <t>x</t>
        </is>
      </c>
      <c r="E579" s="1233" t="inlineStr">
        <is>
          <t>Peer median multiple scaled by the ratio of the phase exit multiple to the base case</t>
        </is>
      </c>
      <c r="F579" s="1233" t="inlineStr">
        <is>
          <t>'=B76/$B$78*'Comparable Valuation'!$E$55</t>
        </is>
      </c>
      <c r="G579" s="1233" t="inlineStr">
        <is>
          <t>Peer medians from 23 Comparable Valuation; exit multiples are driver D19 by scenario</t>
        </is>
      </c>
      <c r="H579" s="1233" t="inlineStr">
        <is>
          <t>Book value on 23 Comparable Valuation is derived by inverting return on equity</t>
        </is>
      </c>
      <c r="I579" s="1233" t="inlineStr">
        <is>
          <t>Each phase multiple is the peer median price-to-book or price-to-earnings from 23 Comparable Valuation, scaled by the ratio of that phase's exit multiple to the base-case exit multiple. So the Peak row carries a 7.0x/6.0x uplift on the observed median and the Deep Downturn row a 4.0x/6.0x discount.</t>
        </is>
      </c>
      <c r="J579" s="1233" t="inlineStr">
        <is>
          <t>Ten blank cells, previously attributed to the absence of share prices. Share prices for the five listed majors DO exist on the sheet, and price to book now resolves because book value is derived by inverting return on equity - so both columns can be filled. Scaling the observed medians by the phase exit multiple keeps all three multiple columns internally consistent: they move together, in the same proportion, which is what a cycle-phase table is meant to show. The Overheating row stays blank because no scenario in this model reaches that score, and inventing a multiple for a state the model never visits would be worse than leaving it empty.</t>
        </is>
      </c>
      <c r="K579" s="1233" t="inlineStr">
        <is>
          <t>The Expansion row must equal the peer median exactly, because Expansion IS the base case</t>
        </is>
      </c>
      <c r="L579" s="1234" t="inlineStr">
        <is>
          <t>Low - inherits both the exit multiple, which is unsourced, and the ROE assumption</t>
        </is>
      </c>
      <c r="M579" s="1233" t="inlineStr">
        <is>
          <t>Comparable Valuation, Model Assumptions</t>
        </is>
      </c>
      <c r="N579" s="1233" t="inlineStr">
        <is>
          <t>Quarterly</t>
        </is>
      </c>
      <c r="O579" s="1234" t="inlineStr">
        <is>
          <t>FY2026A</t>
        </is>
      </c>
      <c r="P579" s="1233" t="inlineStr">
        <is>
          <t>Populated by modelling rather than left blank; the basis is stated in the Assumption column so it can be replaced with a sourced series when one exists.</t>
        </is>
      </c>
    </row>
    <row r="580" ht="46" customHeight="1" s="632">
      <c r="A580" s="1232" t="inlineStr">
        <is>
          <t>IC06</t>
        </is>
      </c>
      <c r="B580" s="1235" t="inlineStr">
        <is>
          <t>Exit multiple by cycle phase</t>
        </is>
      </c>
      <c r="C580" s="1260">
        <f>'Industry Cycle Model'!B78</f>
        <v/>
      </c>
      <c r="D580" s="1236" t="inlineStr">
        <is>
          <t>x EV/EBITDA</t>
        </is>
      </c>
      <c r="E580" s="1235" t="inlineStr">
        <is>
          <t>Cross-sheet reference to the four scenario values of driver D19 on 02 Model Assumptions</t>
        </is>
      </c>
      <c r="F580" s="1235" t="inlineStr">
        <is>
          <t>'='Model Assumptions'!$K$110 (Base 6.0x) .. $K$113 (Stress 4.0x)</t>
        </is>
      </c>
      <c r="G580" s="1235" t="inlineStr">
        <is>
          <t>NOT SOURCED - market multiples were not obtained in this research cycle</t>
        </is>
      </c>
      <c r="H580" s="1235" t="inlineStr">
        <is>
          <t>Standing limitation 6 on 25 Audit Checks</t>
        </is>
      </c>
      <c r="I580" s="1235" t="inlineStr">
        <is>
          <t>The four scenario exit multiples are MAPPED onto the four cycle phases: Stress 4.0x to Deep Downturn, Bear 5.0x to Recovery, Base 6.0x to Expansion, Bull 7.0x to Peak.</t>
        </is>
      </c>
      <c r="J580" s="1235" t="inlineStr">
        <is>
          <t>The mapping is not arbitrary: each scenario already implies a cycle position, so re-using its own exit multiple keeps the valuation internally consistent instead of introducing a fifth set of numbers. It also makes the circularity explicit - the multiple is an assumption, not an observation, and until traded multiples are entered on 23 Comparable Valuation it should be treated as a placeholder for judgement rather than evidence.</t>
        </is>
      </c>
      <c r="K580" s="1235" t="inlineStr">
        <is>
          <t>CONTRADICTION FLAGGED: the DCF on 23 Comparable Valuation cell D135 hard-codes 7.0x while driver D19 base case is 6.0x. That cell sits inside the research block and was NOT altered. It must be repointed to Model Assumptions before transaction use.</t>
        </is>
      </c>
      <c r="L580" s="1236" t="inlineStr">
        <is>
          <t>Low</t>
        </is>
      </c>
      <c r="M580" s="1235" t="inlineStr">
        <is>
          <t>Model Assumptions</t>
        </is>
      </c>
      <c r="N580" s="1235" t="inlineStr">
        <is>
          <t>Quarterly</t>
        </is>
      </c>
      <c r="O580" s="1236" t="inlineStr">
        <is>
          <t>n/a</t>
        </is>
      </c>
      <c r="P580" s="1235" t="inlineStr">
        <is>
          <t>Overheating is deliberately left blank - no scenario reaches it.</t>
        </is>
      </c>
    </row>
    <row r="581" ht="46" customHeight="1" s="632">
      <c r="A581" s="1232" t="inlineStr">
        <is>
          <t>IC07</t>
        </is>
      </c>
      <c r="B581" s="1233" t="inlineStr">
        <is>
          <t>Capacity utilisation</t>
        </is>
      </c>
      <c r="C581" s="1242">
        <f>IF(ISNUMBER('Industry Cycle Model'!J87),'Industry Cycle Model'!J87,'Industry Cycle Model'!C87)</f>
        <v/>
      </c>
      <c r="D581" s="1234" t="inlineStr">
        <is>
          <t>%</t>
        </is>
      </c>
      <c r="E581" s="1233" t="inlineStr">
        <is>
          <t>Cross-sheet reference (linked, not re-entered)</t>
        </is>
      </c>
      <c r="F581" s="1233" t="inlineStr">
        <is>
          <t>'='Capacity Utilisation'!D$67</t>
        </is>
      </c>
      <c r="G581" s="1233" t="inlineStr">
        <is>
          <t>08 Utilisation</t>
        </is>
      </c>
      <c r="H581" s="1233" t="inlineStr">
        <is>
          <t>26 Sources register; Master Industry Database source log (47 cited sources)</t>
        </is>
      </c>
      <c r="I581" s="1233" t="n"/>
      <c r="J581" s="1233" t="n"/>
      <c r="K581" s="1233" t="inlineStr">
        <is>
          <t>Reconciled by 25 Audit Checks</t>
        </is>
      </c>
      <c r="L581" s="1234" t="inlineStr">
        <is>
          <t>High</t>
        </is>
      </c>
      <c r="M581" s="1233" t="inlineStr">
        <is>
          <t>Capacity Utilisation</t>
        </is>
      </c>
      <c r="N581" s="1233" t="inlineStr">
        <is>
          <t>Recalculates live with the model</t>
        </is>
      </c>
      <c r="O581" s="1234" t="inlineStr">
        <is>
          <t>Live</t>
        </is>
      </c>
      <c r="P581" s="1233" t="inlineStr">
        <is>
          <t>Research block row 87. Value column is live and re-states on a scenario change.</t>
        </is>
      </c>
    </row>
    <row r="582" ht="46" customHeight="1" s="632">
      <c r="A582" s="1232" t="inlineStr">
        <is>
          <t>IC08</t>
        </is>
      </c>
      <c r="B582" s="1235" t="inlineStr">
        <is>
          <t>Utilisation gap vs normal (80%)</t>
        </is>
      </c>
      <c r="C582" s="1241">
        <f>IF(ISNUMBER('Industry Cycle Model'!J88),'Industry Cycle Model'!J88,'Industry Cycle Model'!C88)</f>
        <v/>
      </c>
      <c r="D582" s="1236" t="inlineStr">
        <is>
          <t>ppt</t>
        </is>
      </c>
      <c r="E582" s="1235" t="inlineStr">
        <is>
          <t>Cross-sheet reference (linked, not re-entered)</t>
        </is>
      </c>
      <c r="F582" s="1235" t="inlineStr">
        <is>
          <t>'='Capacity Utilisation'!D$69</t>
        </is>
      </c>
      <c r="G582" s="1235" t="inlineStr">
        <is>
          <t>08 Utilisation</t>
        </is>
      </c>
      <c r="H582" s="1235" t="inlineStr">
        <is>
          <t>26 Sources register; Master Industry Database source log (47 cited sources)</t>
        </is>
      </c>
      <c r="I582" s="1235" t="n"/>
      <c r="J582" s="1235" t="n"/>
      <c r="K582" s="1235" t="inlineStr">
        <is>
          <t>Reconciled by 25 Audit Checks</t>
        </is>
      </c>
      <c r="L582" s="1236" t="inlineStr">
        <is>
          <t>High</t>
        </is>
      </c>
      <c r="M582" s="1235" t="inlineStr">
        <is>
          <t>Capacity Utilisation</t>
        </is>
      </c>
      <c r="N582" s="1235" t="inlineStr">
        <is>
          <t>Recalculates live with the model</t>
        </is>
      </c>
      <c r="O582" s="1236" t="inlineStr">
        <is>
          <t>Live</t>
        </is>
      </c>
      <c r="P582" s="1235" t="inlineStr">
        <is>
          <t>Research block row 88. Value column is live and re-states on a scenario change.</t>
        </is>
      </c>
    </row>
    <row r="583" ht="46" customHeight="1" s="632">
      <c r="A583" s="1232" t="inlineStr">
        <is>
          <t>IC09</t>
        </is>
      </c>
      <c r="B583" s="1233" t="inlineStr">
        <is>
          <t>Industry EBITDA margin</t>
        </is>
      </c>
      <c r="C583" s="1242">
        <f>IF(ISNUMBER('Industry Cycle Model'!J89),'Industry Cycle Model'!J89,'Industry Cycle Model'!C89)</f>
        <v/>
      </c>
      <c r="D583" s="1234" t="inlineStr">
        <is>
          <t>%</t>
        </is>
      </c>
      <c r="E583" s="1233" t="inlineStr">
        <is>
          <t>Cross-sheet reference (linked, not re-entered)</t>
        </is>
      </c>
      <c r="F583" s="1233" t="inlineStr">
        <is>
          <t>'='Margin Analysis'!D$91</t>
        </is>
      </c>
      <c r="G583" s="1233" t="inlineStr">
        <is>
          <t>14 Margin</t>
        </is>
      </c>
      <c r="H583" s="1233" t="inlineStr">
        <is>
          <t>26 Sources register; Master Industry Database source log (47 cited sources)</t>
        </is>
      </c>
      <c r="I583" s="1233" t="n"/>
      <c r="J583" s="1233" t="n"/>
      <c r="K583" s="1233" t="inlineStr">
        <is>
          <t>Reconciled by 25 Audit Checks</t>
        </is>
      </c>
      <c r="L583" s="1234" t="inlineStr">
        <is>
          <t>Medium</t>
        </is>
      </c>
      <c r="M583" s="1233" t="inlineStr">
        <is>
          <t>Margin Analysis</t>
        </is>
      </c>
      <c r="N583" s="1233" t="inlineStr">
        <is>
          <t>Recalculates live with the model</t>
        </is>
      </c>
      <c r="O583" s="1234" t="inlineStr">
        <is>
          <t>Live</t>
        </is>
      </c>
      <c r="P583" s="1233" t="inlineStr">
        <is>
          <t>Research block row 89. Value column is live and re-states on a scenario change.</t>
        </is>
      </c>
    </row>
    <row r="584" ht="46" customHeight="1" s="632">
      <c r="A584" s="1232" t="inlineStr">
        <is>
          <t>IC10</t>
        </is>
      </c>
      <c r="B584" s="1235" t="inlineStr">
        <is>
          <t>Mid-cycle margin</t>
        </is>
      </c>
      <c r="C584" s="1241">
        <f>IF(ISNUMBER('Industry Cycle Model'!J90),'Industry Cycle Model'!J90,'Industry Cycle Model'!C90)</f>
        <v/>
      </c>
      <c r="D584" s="1236" t="inlineStr">
        <is>
          <t>%</t>
        </is>
      </c>
      <c r="E584" s="1235" t="inlineStr">
        <is>
          <t>Sourced actual (hard value)</t>
        </is>
      </c>
      <c r="F584" s="1235" t="inlineStr">
        <is>
          <t>(constant) 0.195</t>
        </is>
      </c>
      <c r="G584" s="1235" t="inlineStr">
        <is>
          <t>Derived from Master DB</t>
        </is>
      </c>
      <c r="H584" s="1235" t="inlineStr">
        <is>
          <t>26 Sources register; Master Industry Database source log (47 cited sources)</t>
        </is>
      </c>
      <c r="I584" s="1235" t="inlineStr">
        <is>
          <t>Average of the observed FY2022 peak (26%) and FY2024 trough (13%).</t>
        </is>
      </c>
      <c r="J584" s="1235" t="inlineStr">
        <is>
          <t>Close to the FY2026 actual of 17.9%, which supports the calibration.</t>
        </is>
      </c>
      <c r="K584" s="1235" t="inlineStr">
        <is>
          <t>Reconciled by 25 Audit Checks</t>
        </is>
      </c>
      <c r="L584" s="1236" t="inlineStr">
        <is>
          <t>Medium</t>
        </is>
      </c>
      <c r="M584" s="1235" t="inlineStr">
        <is>
          <t>This sheet</t>
        </is>
      </c>
      <c r="N584" s="1235" t="inlineStr">
        <is>
          <t>Quarterly, on each results season</t>
        </is>
      </c>
      <c r="O584" s="1236" t="inlineStr">
        <is>
          <t>FY2026A</t>
        </is>
      </c>
      <c r="P584" s="1235" t="inlineStr">
        <is>
          <t>Research block row 90. Value column is live and re-states on a scenario change.</t>
        </is>
      </c>
    </row>
    <row r="585" ht="46" customHeight="1" s="632">
      <c r="A585" s="1232" t="inlineStr">
        <is>
          <t>IC11</t>
        </is>
      </c>
      <c r="B585" s="1233" t="inlineStr">
        <is>
          <t>Margin gap vs mid-cycle</t>
        </is>
      </c>
      <c r="C585" s="1242">
        <f>'Industry Cycle Model'!J91</f>
        <v/>
      </c>
      <c r="D585" s="1234" t="inlineStr">
        <is>
          <t>ppt</t>
        </is>
      </c>
      <c r="E585" s="1233" t="inlineStr">
        <is>
          <t>Computed in-cell</t>
        </is>
      </c>
      <c r="F585" s="1233" t="inlineStr">
        <is>
          <t>'=D89-D90</t>
        </is>
      </c>
      <c r="G585" s="1233" t="inlineStr">
        <is>
          <t>Computed</t>
        </is>
      </c>
      <c r="H585" s="1233" t="inlineStr">
        <is>
          <t>26 Sources register; Master Industry Database source log (47 cited sources)</t>
        </is>
      </c>
      <c r="I585" s="1233" t="n"/>
      <c r="J585" s="1233" t="n"/>
      <c r="K585" s="1233" t="inlineStr">
        <is>
          <t>Reconciled by 25 Audit Checks</t>
        </is>
      </c>
      <c r="L585" s="1234" t="inlineStr">
        <is>
          <t>Medium</t>
        </is>
      </c>
      <c r="M585" s="1233" t="inlineStr">
        <is>
          <t>This sheet</t>
        </is>
      </c>
      <c r="N585" s="1233" t="inlineStr">
        <is>
          <t>Recalculates live with the model</t>
        </is>
      </c>
      <c r="O585" s="1234" t="inlineStr">
        <is>
          <t>Live</t>
        </is>
      </c>
      <c r="P585" s="1233" t="inlineStr">
        <is>
          <t>Research block row 91. Value column is live and re-states on a scenario change.</t>
        </is>
      </c>
    </row>
    <row r="586" ht="46" customHeight="1" s="632">
      <c r="A586" s="1232" t="inlineStr">
        <is>
          <t>IC12</t>
        </is>
      </c>
      <c r="B586" s="1235" t="inlineStr">
        <is>
          <t>CYCLE POSITION</t>
        </is>
      </c>
      <c r="C586" s="1241">
        <f>'Industry Cycle Model'!J92</f>
        <v/>
      </c>
      <c r="D586" s="1236" t="inlineStr">
        <is>
          <t>classification</t>
        </is>
      </c>
      <c r="E586" s="1235" t="inlineStr">
        <is>
          <t>Conditional / constrained calculation</t>
        </is>
      </c>
      <c r="F586" s="1235" t="inlineStr">
        <is>
          <t>'=IF(D91&gt;0.04,"PEAK",IF(D91&gt;0.015,"LATE UPCYCLE",IF(D91&lt;-0.05,"TROUGH",IF(D91&lt;-0.02,"DOWNCYCLE","MID-CYCLE"))))</t>
        </is>
      </c>
      <c r="G586" s="1235" t="inlineStr">
        <is>
          <t>Computed</t>
        </is>
      </c>
      <c r="H586" s="1235" t="inlineStr">
        <is>
          <t>26 Sources register; Master Industry Database source log (47 cited sources)</t>
        </is>
      </c>
      <c r="I586" s="1235" t="inlineStr">
        <is>
          <t>Classified on the margin gap: above +4ppt peak, +1.5 to +4ppt late upcycle, -2 to +1.5ppt mid-cycle, -2 to -5ppt downcycle, below -5ppt trough.</t>
        </is>
      </c>
      <c r="J586" s="1235" t="n"/>
      <c r="K586" s="1235" t="inlineStr">
        <is>
          <t>Reconciled by 25 Audit Checks</t>
        </is>
      </c>
      <c r="L586" s="1236" t="inlineStr">
        <is>
          <t>Medium</t>
        </is>
      </c>
      <c r="M586" s="1235" t="inlineStr">
        <is>
          <t>This sheet</t>
        </is>
      </c>
      <c r="N586" s="1235" t="inlineStr">
        <is>
          <t>Recalculates live with the model</t>
        </is>
      </c>
      <c r="O586" s="1236" t="inlineStr">
        <is>
          <t>Live</t>
        </is>
      </c>
      <c r="P586" s="1235" t="inlineStr">
        <is>
          <t>Research block row 92. Value column is live and re-states on a scenario change.</t>
        </is>
      </c>
    </row>
    <row r="587" ht="46" customHeight="1" s="632">
      <c r="A587" s="1232" t="inlineStr">
        <is>
          <t>IC13</t>
        </is>
      </c>
      <c r="B587" s="1233" t="inlineStr">
        <is>
          <t>FY2022 - cycle peak</t>
        </is>
      </c>
      <c r="C587" s="1242">
        <f>'Industry Cycle Model'!C95</f>
        <v/>
      </c>
      <c r="D587" s="1234" t="inlineStr">
        <is>
          <t>%</t>
        </is>
      </c>
      <c r="E587" s="1233" t="inlineStr">
        <is>
          <t>Sourced actual (hard value)</t>
        </is>
      </c>
      <c r="F587" s="1233" t="inlineStr">
        <is>
          <t>(constant) 0.26</t>
        </is>
      </c>
      <c r="G587" s="1233" t="inlineStr">
        <is>
          <t>Master DB</t>
        </is>
      </c>
      <c r="H587" s="1233" t="inlineStr">
        <is>
          <t>26 Sources register; Master Industry Database source log (47 cited sources)</t>
        </is>
      </c>
      <c r="I587" s="1233" t="inlineStr">
        <is>
          <t>Industry margin roughly 24-26%.</t>
        </is>
      </c>
      <c r="J587" s="1233" t="inlineStr">
        <is>
          <t>Coking coal spiked but was passed through, so margins were at RECORD highs - the key evidence that a cost spike is not automatically margin-negative.</t>
        </is>
      </c>
      <c r="K587" s="1233" t="inlineStr">
        <is>
          <t>Reconciled by 25 Audit Checks</t>
        </is>
      </c>
      <c r="L587" s="1234" t="inlineStr">
        <is>
          <t>High</t>
        </is>
      </c>
      <c r="M587" s="1233" t="inlineStr">
        <is>
          <t>This sheet</t>
        </is>
      </c>
      <c r="N587" s="1233" t="inlineStr">
        <is>
          <t>Quarterly, on each results season</t>
        </is>
      </c>
      <c r="O587" s="1234" t="inlineStr">
        <is>
          <t>FY2026A</t>
        </is>
      </c>
      <c r="P587" s="1233" t="inlineStr">
        <is>
          <t>Research block row 95. Value column is live and re-states on a scenario change.</t>
        </is>
      </c>
    </row>
    <row r="588" ht="46" customHeight="1" s="632">
      <c r="A588" s="1232" t="inlineStr">
        <is>
          <t>IC14</t>
        </is>
      </c>
      <c r="B588" s="1235" t="inlineStr">
        <is>
          <t>FY2024 - cycle trough</t>
        </is>
      </c>
      <c r="C588" s="1241">
        <f>'Industry Cycle Model'!C96</f>
        <v/>
      </c>
      <c r="D588" s="1236" t="inlineStr">
        <is>
          <t>%</t>
        </is>
      </c>
      <c r="E588" s="1235" t="inlineStr">
        <is>
          <t>Sourced actual (hard value)</t>
        </is>
      </c>
      <c r="F588" s="1235" t="inlineStr">
        <is>
          <t>(constant) 0.13</t>
        </is>
      </c>
      <c r="G588" s="1235" t="inlineStr">
        <is>
          <t>Master DB</t>
        </is>
      </c>
      <c r="H588" s="1235" t="inlineStr">
        <is>
          <t>26 Sources register; Master Industry Database source log (47 cited sources)</t>
        </is>
      </c>
      <c r="I588" s="1235" t="inlineStr">
        <is>
          <t>Four years peak to trough.</t>
        </is>
      </c>
      <c r="J588" s="1235" t="n"/>
      <c r="K588" s="1235" t="inlineStr">
        <is>
          <t>Reconciled by 25 Audit Checks</t>
        </is>
      </c>
      <c r="L588" s="1236" t="inlineStr">
        <is>
          <t>High</t>
        </is>
      </c>
      <c r="M588" s="1235" t="inlineStr">
        <is>
          <t>This sheet</t>
        </is>
      </c>
      <c r="N588" s="1235" t="inlineStr">
        <is>
          <t>Quarterly, on each results season</t>
        </is>
      </c>
      <c r="O588" s="1236" t="inlineStr">
        <is>
          <t>FY2026A</t>
        </is>
      </c>
      <c r="P588" s="1235" t="inlineStr">
        <is>
          <t>Research block row 96. Value column is live and re-states on a scenario change.</t>
        </is>
      </c>
    </row>
    <row r="589" ht="46" customHeight="1" s="632">
      <c r="A589" s="1232" t="inlineStr">
        <is>
          <t>IC15</t>
        </is>
      </c>
      <c r="B589" s="1233" t="inlineStr">
        <is>
          <t>FY2026 - recovery</t>
        </is>
      </c>
      <c r="C589" s="1242">
        <f>'Industry Cycle Model'!C97</f>
        <v/>
      </c>
      <c r="D589" s="1234" t="inlineStr">
        <is>
          <t>%</t>
        </is>
      </c>
      <c r="E589" s="1233" t="inlineStr">
        <is>
          <t>Sourced actual (hard value)</t>
        </is>
      </c>
      <c r="F589" s="1233" t="inlineStr">
        <is>
          <t>(constant) 0.1789608830493214</t>
        </is>
      </c>
      <c r="G589" s="1233" t="inlineStr">
        <is>
          <t>Master DB</t>
        </is>
      </c>
      <c r="H589" s="1233" t="inlineStr">
        <is>
          <t>26 Sources register; Master Industry Database source log (47 cited sources)</t>
        </is>
      </c>
      <c r="I589" s="1233" t="inlineStr">
        <is>
          <t>Aided by the safeguard duty, which lifted domestic HRC roughly 25% between early Dec-2025 and end-Mar-2026.</t>
        </is>
      </c>
      <c r="J589" s="1233" t="n"/>
      <c r="K589" s="1233" t="inlineStr">
        <is>
          <t>Reconciled by 25 Audit Checks</t>
        </is>
      </c>
      <c r="L589" s="1234" t="inlineStr">
        <is>
          <t>High</t>
        </is>
      </c>
      <c r="M589" s="1233" t="inlineStr">
        <is>
          <t>This sheet</t>
        </is>
      </c>
      <c r="N589" s="1233" t="inlineStr">
        <is>
          <t>Quarterly, on each results season</t>
        </is>
      </c>
      <c r="O589" s="1234" t="inlineStr">
        <is>
          <t>FY2026A</t>
        </is>
      </c>
      <c r="P589" s="1233" t="inlineStr">
        <is>
          <t>Research block row 97. Value column is live and re-states on a scenario change.</t>
        </is>
      </c>
    </row>
    <row r="590" ht="46" customHeight="1" s="632">
      <c r="A590" s="1232" t="inlineStr">
        <is>
          <t>IC16</t>
        </is>
      </c>
      <c r="B590" s="1235" t="inlineStr">
        <is>
          <t>Implied full cycle length</t>
        </is>
      </c>
      <c r="C590" s="1241">
        <f>'Industry Cycle Model'!C98</f>
        <v/>
      </c>
      <c r="D590" s="1236" t="inlineStr">
        <is>
          <t>years</t>
        </is>
      </c>
      <c r="E590" s="1235" t="inlineStr">
        <is>
          <t>Sourced actual (hard value)</t>
        </is>
      </c>
      <c r="F590" s="1235" t="inlineStr">
        <is>
          <t>(constant) 7.5</t>
        </is>
      </c>
      <c r="G590" s="1235" t="inlineStr">
        <is>
          <t>Master DB</t>
        </is>
      </c>
      <c r="H590" s="1235" t="inlineStr">
        <is>
          <t>26 Sources register; Master Industry Database source log (47 cited sources)</t>
        </is>
      </c>
      <c r="I590" s="1235" t="inlineStr">
        <is>
          <t>Roughly 7 to 8 years on a 4-year peak-to-trough leg.</t>
        </is>
      </c>
      <c r="J590" s="1235" t="inlineStr">
        <is>
          <t>This is the quantitative basis for the 7-year horizon: the forecast average is approximately cycle-neutral.</t>
        </is>
      </c>
      <c r="K590" s="1235" t="inlineStr">
        <is>
          <t>Reconciled by 25 Audit Checks</t>
        </is>
      </c>
      <c r="L590" s="1236" t="inlineStr">
        <is>
          <t>High</t>
        </is>
      </c>
      <c r="M590" s="1235" t="inlineStr">
        <is>
          <t>This sheet</t>
        </is>
      </c>
      <c r="N590" s="1235" t="inlineStr">
        <is>
          <t>Quarterly, on each results season</t>
        </is>
      </c>
      <c r="O590" s="1236" t="inlineStr">
        <is>
          <t>FY2026A</t>
        </is>
      </c>
      <c r="P590" s="1235" t="inlineStr">
        <is>
          <t>Research block row 98. Value column is live and re-states on a scenario change.</t>
        </is>
      </c>
    </row>
    <row r="591" ht="46" customHeight="1" s="632">
      <c r="A591" s="1232" t="inlineStr">
        <is>
          <t>IC17</t>
        </is>
      </c>
      <c r="B591" s="1233" t="inlineStr">
        <is>
          <t>Multiples for the Overheating cycle phase</t>
        </is>
      </c>
      <c r="C591" s="1233" t="n"/>
      <c r="D591" s="1234" t="inlineStr">
        <is>
          <t>x</t>
        </is>
      </c>
      <c r="E591" s="1233" t="inlineStr">
        <is>
          <t>NOT POPULATED - red fill (missing data)</t>
        </is>
      </c>
      <c r="F591" s="1233" t="inlineStr">
        <is>
          <t>(blank by design)</t>
        </is>
      </c>
      <c r="G591" s="1233" t="inlineStr">
        <is>
          <t>No reliable source located and no defensible basis for an estimate</t>
        </is>
      </c>
      <c r="H591" s="1233" t="inlineStr">
        <is>
          <t>n/a</t>
        </is>
      </c>
      <c r="I591" s="1233" t="inlineStr">
        <is>
          <t>None asserted. The cell is deliberately blank.</t>
        </is>
      </c>
      <c r="J591" s="1233" t="inlineStr">
        <is>
          <t>No scenario in this model reaches an Overheating cycle score, so no multiple is asserted for that phase.</t>
        </is>
      </c>
      <c r="K591" s="1233" t="inlineStr">
        <is>
          <t>Excluded from every headline output and from the audit checks</t>
        </is>
      </c>
      <c r="L591" s="1234" t="inlineStr">
        <is>
          <t>n/a - unavailable</t>
        </is>
      </c>
      <c r="M591" s="1233" t="inlineStr">
        <is>
          <t>This sheet</t>
        </is>
      </c>
      <c r="N591" s="1233" t="inlineStr">
        <is>
          <t>Populate when a primary source becomes available</t>
        </is>
      </c>
      <c r="O591" s="1234" t="inlineStr">
        <is>
          <t>Not available</t>
        </is>
      </c>
      <c r="P591" s="1233" t="inlineStr">
        <is>
          <t>Red (missing) cells: B80:D80</t>
        </is>
      </c>
    </row>
    <row r="594" ht="18" customHeight="1" s="632">
      <c r="A594" s="1229" t="inlineStr">
        <is>
          <t>Trade Model  -  18 documented items  (TM01 - TM18)</t>
        </is>
      </c>
      <c r="B594" s="1161" t="n"/>
      <c r="C594" s="1161" t="n"/>
      <c r="D594" s="1161" t="n"/>
      <c r="E594" s="1161" t="n"/>
      <c r="F594" s="1161" t="n"/>
      <c r="G594" s="1161" t="n"/>
      <c r="H594" s="1161" t="n"/>
      <c r="I594" s="1161" t="n"/>
      <c r="J594" s="1161" t="n"/>
      <c r="K594" s="1161" t="n"/>
      <c r="L594" s="1161" t="n"/>
      <c r="M594" s="1161" t="n"/>
      <c r="N594" s="1161" t="n"/>
      <c r="O594" s="1161" t="n"/>
      <c r="P594" s="1161" t="n"/>
    </row>
    <row r="595" ht="24" customHeight="1" s="632">
      <c r="A595" s="1230" t="inlineStr">
        <is>
          <t>Every documented number on Trade Model. The Code column matches the Ref column on that sheet.</t>
        </is>
      </c>
    </row>
    <row r="596" ht="30" customHeight="1" s="632">
      <c r="A596" s="1231" t="inlineStr">
        <is>
          <t>Code</t>
        </is>
      </c>
      <c r="B596" s="1231" t="inlineStr">
        <is>
          <t>Model Item</t>
        </is>
      </c>
      <c r="C596" s="1231" t="inlineStr">
        <is>
          <t>Value</t>
        </is>
      </c>
      <c r="D596" s="1231" t="inlineStr">
        <is>
          <t>Unit</t>
        </is>
      </c>
      <c r="E596" s="1231" t="inlineStr">
        <is>
          <t>Calculation Method</t>
        </is>
      </c>
      <c r="F596" s="1231" t="inlineStr">
        <is>
          <t>Formula Used</t>
        </is>
      </c>
      <c r="G596" s="1231" t="inlineStr">
        <is>
          <t>Primary Source</t>
        </is>
      </c>
      <c r="H596" s="1231" t="inlineStr">
        <is>
          <t>Secondary Source</t>
        </is>
      </c>
      <c r="I596" s="1231" t="inlineStr">
        <is>
          <t>Assumption</t>
        </is>
      </c>
      <c r="J596" s="1231" t="inlineStr">
        <is>
          <t>Reasoning</t>
        </is>
      </c>
      <c r="K596" s="1231" t="inlineStr">
        <is>
          <t>Cross-check</t>
        </is>
      </c>
      <c r="L596" s="1231" t="inlineStr">
        <is>
          <t>Confidence Level</t>
        </is>
      </c>
      <c r="M596" s="1231" t="inlineStr">
        <is>
          <t>Linked Sheet</t>
        </is>
      </c>
      <c r="N596" s="1231" t="inlineStr">
        <is>
          <t>Update Frequency</t>
        </is>
      </c>
      <c r="O596" s="1231" t="inlineStr">
        <is>
          <t>Last Available Date</t>
        </is>
      </c>
      <c r="P596" s="1231" t="inlineStr">
        <is>
          <t>Comments</t>
        </is>
      </c>
    </row>
    <row r="597" ht="46" customHeight="1" s="632">
      <c r="A597" s="1232" t="inlineStr">
        <is>
          <t>TM01</t>
        </is>
      </c>
      <c r="B597" s="1233" t="inlineStr">
        <is>
          <t>Historical trade FY2021-FY2026</t>
        </is>
      </c>
      <c r="C597" s="1261">
        <f>'Trade Model'!D24</f>
        <v/>
      </c>
      <c r="D597" s="1234" t="inlineStr">
        <is>
          <t>Mt net</t>
        </is>
      </c>
      <c r="E597" s="1233" t="inlineStr">
        <is>
          <t>Master Industry Database import (RED - to be reconnected as an external link)</t>
        </is>
      </c>
      <c r="F597" s="1233" t="inlineStr">
        <is>
          <t>'='[Master Industry Database.xlsx]Imports &amp; Exports'!$C$26:$D$31</t>
        </is>
      </c>
      <c r="G597" s="1233" t="inlineStr">
        <is>
          <t>Joint Plant Committee, published by the Ministry of Steel</t>
        </is>
      </c>
      <c r="H597" s="1233" t="inlineStr">
        <is>
          <t>DGCIS; Master Industry Database source S02</t>
        </is>
      </c>
      <c r="I597" s="1233" t="inlineStr">
        <is>
          <t>Finished steel only. Semi-finished exports are reported separately and are excluded.</t>
        </is>
      </c>
      <c r="J597" s="1233" t="inlineStr">
        <is>
          <t>THE MOST VOLATILE SERIES IN THE ENTIRE MODEL. India swung from a record net export of +8.8 Mt in FY2022 to a net IMPORT of -4.7 Mt in FY2025, then back to a marginal net export of +0.078 Mt in FY2026 as the safeguard duty took effect. A 13.5 Mt swing in four years on a 160 Mt market is why net trade is a scenario driver (D07) rather than a forecast.</t>
        </is>
      </c>
      <c r="K597" s="1233" t="inlineStr">
        <is>
          <t>FY2026 imports of 6.524 Mt are down 31.7% year on year and exports up 35.9%; both are consistent with the April-2026 safeguard duty of 12%</t>
        </is>
      </c>
      <c r="L597" s="1234" t="inlineStr">
        <is>
          <t>High</t>
        </is>
      </c>
      <c r="M597" s="1233" t="inlineStr">
        <is>
          <t>Master Industry Database</t>
        </is>
      </c>
      <c r="N597" s="1233" t="inlineStr">
        <is>
          <t>Monthly, on each Ministry of Steel report</t>
        </is>
      </c>
      <c r="O597" s="1234" t="inlineStr">
        <is>
          <t>FY2026 (provisional)</t>
        </is>
      </c>
      <c r="P597" s="1233" t="inlineStr">
        <is>
          <t>Six years of history were blank.</t>
        </is>
      </c>
    </row>
    <row r="598" ht="46" customHeight="1" s="632">
      <c r="A598" s="1232" t="inlineStr">
        <is>
          <t>TM02</t>
        </is>
      </c>
      <c r="B598" s="1235" t="inlineStr">
        <is>
          <t>Trade shares by country and region</t>
        </is>
      </c>
      <c r="C598" s="1245">
        <f>'Trade Model'!D30</f>
        <v/>
      </c>
      <c r="D598" s="1236" t="inlineStr">
        <is>
          <t>% of exports</t>
        </is>
      </c>
      <c r="E598" s="1235" t="inlineStr">
        <is>
          <t>Shares imported from the Master Industry Database (RED); volumes computed as total trade multiplied by share; Others is a residual so the shares always sum to 100%</t>
        </is>
      </c>
      <c r="F598" s="1235" t="inlineStr">
        <is>
          <t>'=$C$78*D30 and =1-SUM(D30:D34)</t>
        </is>
      </c>
      <c r="G598" s="1235" t="inlineStr">
        <is>
          <t>Ministry of Steel Monthly Economic Report; Master Industry Database source S01</t>
        </is>
      </c>
      <c r="H598" s="1235" t="inlineStr">
        <is>
          <t>DGCIS trade statistics</t>
        </is>
      </c>
      <c r="I598" s="1235" t="inlineStr">
        <is>
          <t>FY2026 SHARES ARE HELD CONSTANT to FY2033E. No country-level trade forecast is attempted.</t>
        </is>
      </c>
      <c r="J598" s="1235" t="inlineStr">
        <is>
          <t>Holding shares flat is disclosed rather than dressed up as a forecast, and it makes the one genuinely important number visible: EUROPE IS 34.4% OF INDIAN STEEL EXPORTS. That single figure is what makes the EU CBAM calculation on 20 ESG Model material, and it is why the EU share is also carried as a live input there rather than re-keyed.</t>
        </is>
      </c>
      <c r="K598" s="1235" t="inlineStr">
        <is>
          <t>Shares must sum to exactly 100% by construction; the EU share of 34.4% must equal the value used on 20 ESG Model research block row 106</t>
        </is>
      </c>
      <c r="L598" s="1236" t="inlineStr">
        <is>
          <t>High for the shares, Low for holding them flat</t>
        </is>
      </c>
      <c r="M598" s="1235" t="inlineStr">
        <is>
          <t>Steel Price Forecast, ESG Model</t>
        </is>
      </c>
      <c r="N598" s="1235" t="inlineStr">
        <is>
          <t>Monthly for shares</t>
        </is>
      </c>
      <c r="O598" s="1236" t="inlineStr">
        <is>
          <t>FY2026 (provisional)</t>
        </is>
      </c>
      <c r="P598" s="1235" t="inlineStr">
        <is>
          <t>Was entirely blank.</t>
        </is>
      </c>
    </row>
    <row r="599" ht="46" customHeight="1" s="632">
      <c r="A599" s="1232" t="inlineStr">
        <is>
          <t>TM03</t>
        </is>
      </c>
      <c r="B599" s="1233" t="inlineStr">
        <is>
          <t>Safeguard duty schedule</t>
        </is>
      </c>
      <c r="C599" s="1244">
        <f>'Trade Model'!B46</f>
        <v/>
      </c>
      <c r="D599" s="1234" t="inlineStr">
        <is>
          <t>%</t>
        </is>
      </c>
      <c r="E599" s="1233" t="inlineStr">
        <is>
          <t>Cross-sheet reference to the notified policy schedule in the research block</t>
        </is>
      </c>
      <c r="F599" s="1233" t="inlineStr">
        <is>
          <t>'=$D$88</t>
        </is>
      </c>
      <c r="G599" s="1233" t="inlineStr">
        <is>
          <t>Government of India safeguard duty notification; Master Industry Database policy record P03</t>
        </is>
      </c>
      <c r="H599" s="1233" t="inlineStr">
        <is>
          <t>19 Trade Model research block row 88</t>
        </is>
      </c>
      <c r="I599" s="1233" t="inlineStr">
        <is>
          <t>A SCHEDULE, NOT A FORECAST. 12% to 20-Apr-2026, 11.5% from 21-Apr-2026, 11% thereafter, expiring 20-Apr-2028. Zero from FY2029E.</t>
        </is>
      </c>
      <c r="J599" s="1233" t="inlineStr">
        <is>
          <t>THE SINGLE LARGEST IDENTIFIABLE POLICY RISK IN THE MODEL, and the one place where a policy cliff is explicitly carried. The duty is currently defending a domestic premium of roughly Rs 9,000/t over Chinese FOB, about 20%. The model does NOT reduce realisation when it expires in FY2029E, because whether the premium survives depends on whether the duty is renewed - which is a judgement, not a forecast. That is disclosed, and check A23 on 25 Audit Checks flags the year.</t>
        </is>
      </c>
      <c r="K599" s="1233" t="inlineStr">
        <is>
          <t>Must match the notified schedule exactly; the FY2029E step to zero is deliberate and is the year to stress-test</t>
        </is>
      </c>
      <c r="L599" s="1234" t="inlineStr">
        <is>
          <t>High for the schedule, n/a for its renewal</t>
        </is>
      </c>
      <c r="M599" s="1233" t="inlineStr">
        <is>
          <t>This sheet</t>
        </is>
      </c>
      <c r="N599" s="1233" t="inlineStr">
        <is>
          <t>On any Government notification</t>
        </is>
      </c>
      <c r="O599" s="1234" t="inlineStr">
        <is>
          <t>21-Apr-2026</t>
        </is>
      </c>
      <c r="P599" s="1233" t="inlineStr">
        <is>
          <t>Was blank.</t>
        </is>
      </c>
    </row>
    <row r="600" ht="46" customHeight="1" s="632">
      <c r="A600" s="1232" t="inlineStr">
        <is>
          <t>TM04</t>
        </is>
      </c>
      <c r="B600" s="1235" t="inlineStr">
        <is>
          <t>India-China HRC price competitiveness</t>
        </is>
      </c>
      <c r="C600" s="1255">
        <f>'Trade Model'!B54</f>
        <v/>
      </c>
      <c r="D600" s="1236" t="inlineStr">
        <is>
          <t>Rs/t</t>
        </is>
      </c>
      <c r="E600" s="1235" t="inlineStr">
        <is>
          <t>Computed in-cell from the India HRC series on 09 Steel Price Forecast and a held-flat China print</t>
        </is>
      </c>
      <c r="F600" s="1235" t="inlineStr">
        <is>
          <t>'=B52-B53</t>
        </is>
      </c>
      <c r="G600" s="1235" t="inlineStr">
        <is>
          <t>IDBI Capital regional price snapshot, week ended 22-Jun-2026: India Rs 58,200/t, China Rs 48,580/t</t>
        </is>
      </c>
      <c r="H600" s="1235" t="inlineStr">
        <is>
          <t>Master Industry Database KPI K19 records the spread at Rs 9,620/t; import-parity check in Apr-2026</t>
        </is>
      </c>
      <c r="I600" s="1235" t="inlineStr">
        <is>
          <t>THE CHINA PRICE IS HELD FLAT across the horizon. No Chinese price forecast is attempted.</t>
        </is>
      </c>
      <c r="J600" s="1235" t="inlineStr">
        <is>
          <t>Holding China flat while India moves with the model means the spread widens mechanically, and that is the honest way to present the risk rather than hide it: if Indian realisation rises to Rs 69,000/t by FY2033E while China stays where it is, the import-parity gap becomes indefensible without a duty. Read this table as a stress indicator on the realisation driver, not as a forecast of Chinese prices.</t>
        </is>
      </c>
      <c r="K600" s="1235" t="inlineStr">
        <is>
          <t>The FY2026A spread must reproduce the Rs 9,620/t recorded in the database; the classification rows must flip to "Uncompetitive" as the spread widens</t>
        </is>
      </c>
      <c r="L600" s="1236" t="inlineStr">
        <is>
          <t>Medium for FY2026A, Low for the held-flat forecast</t>
        </is>
      </c>
      <c r="M600" s="1235" t="inlineStr">
        <is>
          <t>Steel Price Forecast</t>
        </is>
      </c>
      <c r="N600" s="1235" t="inlineStr">
        <is>
          <t>Weekly</t>
        </is>
      </c>
      <c r="O600" s="1236" t="inlineStr">
        <is>
          <t>22-Jun-2026</t>
        </is>
      </c>
      <c r="P600" s="1235" t="inlineStr">
        <is>
          <t>Was entirely blank.</t>
        </is>
      </c>
    </row>
    <row r="601" ht="46" customHeight="1" s="632">
      <c r="A601" s="1232" t="inlineStr">
        <is>
          <t>TM05</t>
        </is>
      </c>
      <c r="B601" s="1233" t="inlineStr">
        <is>
          <t>Four-scenario trade position, FY2033E</t>
        </is>
      </c>
      <c r="C601" s="1261">
        <f>'Trade Model'!B63</f>
        <v/>
      </c>
      <c r="D601" s="1234" t="inlineStr">
        <is>
          <t>Mt net</t>
        </is>
      </c>
      <c r="E601" s="1233" t="inlineStr">
        <is>
          <t>Cross-sheet reference to the scenario engine on 24 Scenario Manager</t>
        </is>
      </c>
      <c r="F601" s="1233" t="inlineStr">
        <is>
          <t>'='Scenario Manager'!$J$&lt;engine row&gt;</t>
        </is>
      </c>
      <c r="G601" s="1233" t="inlineStr">
        <is>
          <t>Driver D07 net exports and D21 imports, by scenario, on 02 Model Assumptions</t>
        </is>
      </c>
      <c r="H601" s="1233" t="inlineStr">
        <is>
          <t>Observed history: net +8.8 Mt (FY2022) to net -4.7 Mt (FY2025)</t>
        </is>
      </c>
      <c r="I601" s="1233" t="inlineStr">
        <is>
          <t>Imports are the driver plus any shortfall routed from the capacity ceiling; exports are imports plus net exports.</t>
        </is>
      </c>
      <c r="J601" s="1233" t="inlineStr">
        <is>
          <t>The FY2033E range runs from a net export of about +6.5 Mt in the Bear Case to a net IMPORT of about -5.0 Mt in the Stress Case. The Bear Case exports MORE because weak domestic demand pushes tonnes offshore - which is exactly what happened in FY2021 and FY2022. Every scenario value sits inside the observed FY2015-FY2026 range, which is the test that matters.</t>
        </is>
      </c>
      <c r="K601" s="1233" t="inlineStr">
        <is>
          <t>FY2033E net trade must equal exports less imports; check A25 on 25 Audit Checks caps import penetration at 25%</t>
        </is>
      </c>
      <c r="L601" s="1234" t="inlineStr">
        <is>
          <t>Medium</t>
        </is>
      </c>
      <c r="M601" s="1233" t="inlineStr">
        <is>
          <t>Scenario Manager, Model Assumptions</t>
        </is>
      </c>
      <c r="N601" s="1233" t="inlineStr">
        <is>
          <t>Live</t>
        </is>
      </c>
      <c r="O601" s="1234" t="inlineStr">
        <is>
          <t>Live</t>
        </is>
      </c>
      <c r="P601" s="1233" t="inlineStr">
        <is>
          <t>Was entirely blank.</t>
        </is>
      </c>
    </row>
    <row r="602" ht="46" customHeight="1" s="632">
      <c r="A602" s="1232" t="inlineStr">
        <is>
          <t>TM06</t>
        </is>
      </c>
      <c r="B602" s="1235" t="inlineStr">
        <is>
          <t>Finished steel imports - driver</t>
        </is>
      </c>
      <c r="C602" s="1241">
        <f>IF(ISNUMBER('Trade Model'!J74),'Trade Model'!J74,'Trade Model'!C74)</f>
        <v/>
      </c>
      <c r="D602" s="1236" t="inlineStr">
        <is>
          <t>Mt</t>
        </is>
      </c>
      <c r="E602" s="1235" t="inlineStr">
        <is>
          <t>Cross-sheet reference (linked, not re-entered)</t>
        </is>
      </c>
      <c r="F602" s="1235" t="inlineStr">
        <is>
          <t>'='Model Assumptions'!E$28</t>
        </is>
      </c>
      <c r="G602" s="1235" t="inlineStr">
        <is>
          <t>Derived from Master DB</t>
        </is>
      </c>
      <c r="H602" s="1235" t="inlineStr">
        <is>
          <t>26 Sources register; Master Industry Database source log (47 cited sources)</t>
        </is>
      </c>
      <c r="I602" s="1235" t="inlineStr">
        <is>
          <t>FY2026A of 6.524 Mt, down 31.7% from 9.551 Mt as the safeguard duty bit.</t>
        </is>
      </c>
      <c r="J602" s="1235" t="inlineStr">
        <is>
          <t>NOTE THE SCENARIO SIGNS: the BULL case carries HIGHER imports because strong demand pulls material in; the BEAR case carries LOWER imports because weak demand makes imports uncompetitive.</t>
        </is>
      </c>
      <c r="K602" s="1235" t="inlineStr">
        <is>
          <t>Reconciled by 25 Audit Checks</t>
        </is>
      </c>
      <c r="L602" s="1236" t="inlineStr">
        <is>
          <t>Medium</t>
        </is>
      </c>
      <c r="M602" s="1235" t="inlineStr">
        <is>
          <t>Model Assumptions</t>
        </is>
      </c>
      <c r="N602" s="1235" t="inlineStr">
        <is>
          <t>Quarterly, on each results season</t>
        </is>
      </c>
      <c r="O602" s="1236" t="inlineStr">
        <is>
          <t>FY2026A</t>
        </is>
      </c>
      <c r="P602" s="1235" t="inlineStr">
        <is>
          <t>Research block row 74. Value column is live and re-states on a scenario change.</t>
        </is>
      </c>
    </row>
    <row r="603" ht="46" customHeight="1" s="632">
      <c r="A603" s="1232" t="inlineStr">
        <is>
          <t>TM07</t>
        </is>
      </c>
      <c r="B603" s="1233" t="inlineStr">
        <is>
          <t>Shortfall routed from supply ceiling</t>
        </is>
      </c>
      <c r="C603" s="1242">
        <f>IF(ISNUMBER('Trade Model'!J75),'Trade Model'!J75,'Trade Model'!C75)</f>
        <v/>
      </c>
      <c r="D603" s="1234" t="inlineStr">
        <is>
          <t>Mt</t>
        </is>
      </c>
      <c r="E603" s="1233" t="inlineStr">
        <is>
          <t>Cross-sheet reference (linked, not re-entered)</t>
        </is>
      </c>
      <c r="F603" s="1233" t="inlineStr">
        <is>
          <t>'='Steel Supply Model'!D$102</t>
        </is>
      </c>
      <c r="G603" s="1233" t="inlineStr">
        <is>
          <t>05 Supply</t>
        </is>
      </c>
      <c r="H603" s="1233" t="inlineStr">
        <is>
          <t>26 Sources register; Master Industry Database source log (47 cited sources)</t>
        </is>
      </c>
      <c r="I603" s="1233" t="inlineStr">
        <is>
          <t>Non-zero only where the capacity ceiling binds.</t>
        </is>
      </c>
      <c r="J603" s="1233" t="n"/>
      <c r="K603" s="1233" t="inlineStr">
        <is>
          <t>Reconciled by 25 Audit Checks</t>
        </is>
      </c>
      <c r="L603" s="1234" t="inlineStr">
        <is>
          <t>High</t>
        </is>
      </c>
      <c r="M603" s="1233" t="inlineStr">
        <is>
          <t>Steel Supply Model</t>
        </is>
      </c>
      <c r="N603" s="1233" t="inlineStr">
        <is>
          <t>Recalculates live with the model</t>
        </is>
      </c>
      <c r="O603" s="1234" t="inlineStr">
        <is>
          <t>Live</t>
        </is>
      </c>
      <c r="P603" s="1233" t="inlineStr">
        <is>
          <t>Research block row 75. Value column is live and re-states on a scenario change.</t>
        </is>
      </c>
    </row>
    <row r="604" ht="46" customHeight="1" s="632">
      <c r="A604" s="1232" t="inlineStr">
        <is>
          <t>TM08</t>
        </is>
      </c>
      <c r="B604" s="1235" t="inlineStr">
        <is>
          <t>Total finished steel imports</t>
        </is>
      </c>
      <c r="C604" s="1241">
        <f>IF(ISNUMBER('Trade Model'!J76),'Trade Model'!J76,'Trade Model'!C76)</f>
        <v/>
      </c>
      <c r="D604" s="1236" t="inlineStr">
        <is>
          <t>Mt</t>
        </is>
      </c>
      <c r="E604" s="1235" t="inlineStr">
        <is>
          <t>Computed in-cell</t>
        </is>
      </c>
      <c r="F604" s="1235" t="inlineStr">
        <is>
          <t>'=D74+D75</t>
        </is>
      </c>
      <c r="G604" s="1235" t="inlineStr">
        <is>
          <t>Computed</t>
        </is>
      </c>
      <c r="H604" s="1235" t="inlineStr">
        <is>
          <t>26 Sources register; Master Industry Database source log (47 cited sources)</t>
        </is>
      </c>
      <c r="I604" s="1235" t="n"/>
      <c r="J604" s="1235" t="n"/>
      <c r="K604" s="1235" t="inlineStr">
        <is>
          <t>Reconciled by 25 Audit Checks</t>
        </is>
      </c>
      <c r="L604" s="1236" t="inlineStr">
        <is>
          <t>Medium</t>
        </is>
      </c>
      <c r="M604" s="1235" t="inlineStr">
        <is>
          <t>This sheet</t>
        </is>
      </c>
      <c r="N604" s="1235" t="inlineStr">
        <is>
          <t>Recalculates live with the model</t>
        </is>
      </c>
      <c r="O604" s="1236" t="inlineStr">
        <is>
          <t>Live</t>
        </is>
      </c>
      <c r="P604" s="1235" t="inlineStr">
        <is>
          <t>Research block row 76. Value column is live and re-states on a scenario change.</t>
        </is>
      </c>
    </row>
    <row r="605" ht="46" customHeight="1" s="632">
      <c r="A605" s="1232" t="inlineStr">
        <is>
          <t>TM09</t>
        </is>
      </c>
      <c r="B605" s="1233" t="inlineStr">
        <is>
          <t>Net finished steel exports</t>
        </is>
      </c>
      <c r="C605" s="1242">
        <f>IF(ISNUMBER('Trade Model'!J77),'Trade Model'!J77,'Trade Model'!C77)</f>
        <v/>
      </c>
      <c r="D605" s="1234" t="inlineStr">
        <is>
          <t>Mt</t>
        </is>
      </c>
      <c r="E605" s="1233" t="inlineStr">
        <is>
          <t>Cross-sheet reference (linked, not re-entered)</t>
        </is>
      </c>
      <c r="F605" s="1233" t="inlineStr">
        <is>
          <t>'='Steel Supply Model'!D$90</t>
        </is>
      </c>
      <c r="G605" s="1233" t="inlineStr">
        <is>
          <t>05 Supply</t>
        </is>
      </c>
      <c r="H605" s="1233" t="inlineStr">
        <is>
          <t>26 Sources register; Master Industry Database source log (47 cited sources)</t>
        </is>
      </c>
      <c r="I605" s="1233" t="n"/>
      <c r="J605" s="1233" t="n"/>
      <c r="K605" s="1233" t="inlineStr">
        <is>
          <t>Reconciled by 25 Audit Checks</t>
        </is>
      </c>
      <c r="L605" s="1234" t="inlineStr">
        <is>
          <t>Medium</t>
        </is>
      </c>
      <c r="M605" s="1233" t="inlineStr">
        <is>
          <t>Steel Supply Model</t>
        </is>
      </c>
      <c r="N605" s="1233" t="inlineStr">
        <is>
          <t>Recalculates live with the model</t>
        </is>
      </c>
      <c r="O605" s="1234" t="inlineStr">
        <is>
          <t>Live</t>
        </is>
      </c>
      <c r="P605" s="1233" t="inlineStr">
        <is>
          <t>Research block row 77. Value column is live and re-states on a scenario change.</t>
        </is>
      </c>
    </row>
    <row r="606" ht="46" customHeight="1" s="632">
      <c r="A606" s="1232" t="inlineStr">
        <is>
          <t>TM10</t>
        </is>
      </c>
      <c r="B606" s="1235" t="inlineStr">
        <is>
          <t>Finished steel exports</t>
        </is>
      </c>
      <c r="C606" s="1241">
        <f>IF(ISNUMBER('Trade Model'!J78),'Trade Model'!J78,'Trade Model'!C78)</f>
        <v/>
      </c>
      <c r="D606" s="1236" t="inlineStr">
        <is>
          <t>Mt</t>
        </is>
      </c>
      <c r="E606" s="1235" t="inlineStr">
        <is>
          <t>Computed in-cell</t>
        </is>
      </c>
      <c r="F606" s="1235" t="inlineStr">
        <is>
          <t>'=D74+D77</t>
        </is>
      </c>
      <c r="G606" s="1235" t="inlineStr">
        <is>
          <t>Computed</t>
        </is>
      </c>
      <c r="H606" s="1235" t="inlineStr">
        <is>
          <t>26 Sources register; Master Industry Database source log (47 cited sources)</t>
        </is>
      </c>
      <c r="I606" s="1235" t="inlineStr">
        <is>
          <t>Derived as the import driver plus net exports, which guarantees the trade block reconciles to the supply balance on 05.</t>
        </is>
      </c>
      <c r="J606" s="1235" t="n"/>
      <c r="K606" s="1235" t="inlineStr">
        <is>
          <t>Reconciled by 25 Audit Checks</t>
        </is>
      </c>
      <c r="L606" s="1236" t="inlineStr">
        <is>
          <t>Medium</t>
        </is>
      </c>
      <c r="M606" s="1235" t="inlineStr">
        <is>
          <t>This sheet</t>
        </is>
      </c>
      <c r="N606" s="1235" t="inlineStr">
        <is>
          <t>Recalculates live with the model</t>
        </is>
      </c>
      <c r="O606" s="1236" t="inlineStr">
        <is>
          <t>Live</t>
        </is>
      </c>
      <c r="P606" s="1235" t="inlineStr">
        <is>
          <t>Research block row 78. Value column is live and re-states on a scenario change.</t>
        </is>
      </c>
    </row>
    <row r="607" ht="46" customHeight="1" s="632">
      <c r="A607" s="1232" t="inlineStr">
        <is>
          <t>TM11</t>
        </is>
      </c>
      <c r="B607" s="1233" t="inlineStr">
        <is>
          <t>Apparent consumption</t>
        </is>
      </c>
      <c r="C607" s="1242">
        <f>IF(ISNUMBER('Trade Model'!J81),'Trade Model'!J81,'Trade Model'!C81)</f>
        <v/>
      </c>
      <c r="D607" s="1234" t="inlineStr">
        <is>
          <t>Mt</t>
        </is>
      </c>
      <c r="E607" s="1233" t="inlineStr">
        <is>
          <t>Cross-sheet reference (linked, not re-entered)</t>
        </is>
      </c>
      <c r="F607" s="1233" t="inlineStr">
        <is>
          <t>'='Steel Demand Model'!D$116</t>
        </is>
      </c>
      <c r="G607" s="1233" t="inlineStr">
        <is>
          <t>04 Demand</t>
        </is>
      </c>
      <c r="H607" s="1233" t="inlineStr">
        <is>
          <t>26 Sources register; Master Industry Database source log (47 cited sources)</t>
        </is>
      </c>
      <c r="I607" s="1233" t="n"/>
      <c r="J607" s="1233" t="n"/>
      <c r="K607" s="1233" t="inlineStr">
        <is>
          <t>Reconciled by 25 Audit Checks</t>
        </is>
      </c>
      <c r="L607" s="1234" t="inlineStr">
        <is>
          <t>High</t>
        </is>
      </c>
      <c r="M607" s="1233" t="inlineStr">
        <is>
          <t>Steel Demand Model</t>
        </is>
      </c>
      <c r="N607" s="1233" t="inlineStr">
        <is>
          <t>Recalculates live with the model</t>
        </is>
      </c>
      <c r="O607" s="1234" t="inlineStr">
        <is>
          <t>Live</t>
        </is>
      </c>
      <c r="P607" s="1233" t="inlineStr">
        <is>
          <t>Research block row 81. Value column is live and re-states on a scenario change.</t>
        </is>
      </c>
    </row>
    <row r="608" ht="46" customHeight="1" s="632">
      <c r="A608" s="1232" t="inlineStr">
        <is>
          <t>TM12</t>
        </is>
      </c>
      <c r="B608" s="1235" t="inlineStr">
        <is>
          <t>Finished steel production</t>
        </is>
      </c>
      <c r="C608" s="1241">
        <f>IF(ISNUMBER('Trade Model'!J82),'Trade Model'!J82,'Trade Model'!C82)</f>
        <v/>
      </c>
      <c r="D608" s="1236" t="inlineStr">
        <is>
          <t>Mt</t>
        </is>
      </c>
      <c r="E608" s="1235" t="inlineStr">
        <is>
          <t>Cross-sheet reference (linked, not re-entered)</t>
        </is>
      </c>
      <c r="F608" s="1235" t="inlineStr">
        <is>
          <t>'='Steel Supply Model'!D$101</t>
        </is>
      </c>
      <c r="G608" s="1235" t="inlineStr">
        <is>
          <t>05 Supply</t>
        </is>
      </c>
      <c r="H608" s="1235" t="inlineStr">
        <is>
          <t>26 Sources register; Master Industry Database source log (47 cited sources)</t>
        </is>
      </c>
      <c r="I608" s="1235" t="n"/>
      <c r="J608" s="1235" t="n"/>
      <c r="K608" s="1235" t="inlineStr">
        <is>
          <t>Reconciled by 25 Audit Checks</t>
        </is>
      </c>
      <c r="L608" s="1236" t="inlineStr">
        <is>
          <t>High</t>
        </is>
      </c>
      <c r="M608" s="1235" t="inlineStr">
        <is>
          <t>Steel Supply Model</t>
        </is>
      </c>
      <c r="N608" s="1235" t="inlineStr">
        <is>
          <t>Recalculates live with the model</t>
        </is>
      </c>
      <c r="O608" s="1236" t="inlineStr">
        <is>
          <t>Live</t>
        </is>
      </c>
      <c r="P608" s="1235" t="inlineStr">
        <is>
          <t>Research block row 82. Value column is live and re-states on a scenario change.</t>
        </is>
      </c>
    </row>
    <row r="609" ht="46" customHeight="1" s="632">
      <c r="A609" s="1232" t="inlineStr">
        <is>
          <t>TM13</t>
        </is>
      </c>
      <c r="B609" s="1233" t="inlineStr">
        <is>
          <t>Import penetration</t>
        </is>
      </c>
      <c r="C609" s="1242">
        <f>IF(ISNUMBER('Trade Model'!J83),'Trade Model'!J83,'Trade Model'!C83)</f>
        <v/>
      </c>
      <c r="D609" s="1234" t="inlineStr">
        <is>
          <t>% of consumption</t>
        </is>
      </c>
      <c r="E609" s="1233" t="inlineStr">
        <is>
          <t>Computed in-cell</t>
        </is>
      </c>
      <c r="F609" s="1233" t="inlineStr">
        <is>
          <t>'=D76/D81</t>
        </is>
      </c>
      <c r="G609" s="1233" t="inlineStr">
        <is>
          <t>Computed</t>
        </is>
      </c>
      <c r="H609" s="1233" t="inlineStr">
        <is>
          <t>26 Sources register; Master Industry Database source log (47 cited sources)</t>
        </is>
      </c>
      <c r="I609" s="1233" t="inlineStr">
        <is>
          <t>FY2026A of 4.0%, down from 6.3% in FY2025.</t>
        </is>
      </c>
      <c r="J609" s="1233" t="inlineStr">
        <is>
          <t>Below roughly 5% is generally consistent with domestic producers retaining pricing power.</t>
        </is>
      </c>
      <c r="K609" s="1233" t="inlineStr">
        <is>
          <t>Reconciled by 25 Audit Checks</t>
        </is>
      </c>
      <c r="L609" s="1234" t="inlineStr">
        <is>
          <t>Medium</t>
        </is>
      </c>
      <c r="M609" s="1233" t="inlineStr">
        <is>
          <t>This sheet</t>
        </is>
      </c>
      <c r="N609" s="1233" t="inlineStr">
        <is>
          <t>Recalculates live with the model</t>
        </is>
      </c>
      <c r="O609" s="1234" t="inlineStr">
        <is>
          <t>Live</t>
        </is>
      </c>
      <c r="P609" s="1233" t="inlineStr">
        <is>
          <t>Research block row 83. Value column is live and re-states on a scenario change.</t>
        </is>
      </c>
    </row>
    <row r="610" ht="46" customHeight="1" s="632">
      <c r="A610" s="1232" t="inlineStr">
        <is>
          <t>TM14</t>
        </is>
      </c>
      <c r="B610" s="1235" t="inlineStr">
        <is>
          <t>Export intensity</t>
        </is>
      </c>
      <c r="C610" s="1241">
        <f>IF(ISNUMBER('Trade Model'!J84),'Trade Model'!J84,'Trade Model'!C84)</f>
        <v/>
      </c>
      <c r="D610" s="1236" t="inlineStr">
        <is>
          <t>% of production</t>
        </is>
      </c>
      <c r="E610" s="1235" t="inlineStr">
        <is>
          <t>Computed in-cell</t>
        </is>
      </c>
      <c r="F610" s="1235" t="inlineStr">
        <is>
          <t>'=D78/D82</t>
        </is>
      </c>
      <c r="G610" s="1235" t="inlineStr">
        <is>
          <t>Computed</t>
        </is>
      </c>
      <c r="H610" s="1235" t="inlineStr">
        <is>
          <t>26 Sources register; Master Industry Database source log (47 cited sources)</t>
        </is>
      </c>
      <c r="I610" s="1235" t="inlineStr">
        <is>
          <t>FY2026A of 4.1%.</t>
        </is>
      </c>
      <c r="J610" s="1235" t="inlineStr">
        <is>
          <t>India is fundamentally a domestic market, so global steel prices matter through the IMPORT channel rather than the export channel.</t>
        </is>
      </c>
      <c r="K610" s="1235" t="inlineStr">
        <is>
          <t>Reconciled by 25 Audit Checks</t>
        </is>
      </c>
      <c r="L610" s="1236" t="inlineStr">
        <is>
          <t>Medium</t>
        </is>
      </c>
      <c r="M610" s="1235" t="inlineStr">
        <is>
          <t>This sheet</t>
        </is>
      </c>
      <c r="N610" s="1235" t="inlineStr">
        <is>
          <t>Recalculates live with the model</t>
        </is>
      </c>
      <c r="O610" s="1236" t="inlineStr">
        <is>
          <t>Live</t>
        </is>
      </c>
      <c r="P610" s="1235" t="inlineStr">
        <is>
          <t>Research block row 84. Value column is live and re-states on a scenario change.</t>
        </is>
      </c>
    </row>
    <row r="611" ht="46" customHeight="1" s="632">
      <c r="A611" s="1232" t="inlineStr">
        <is>
          <t>TM15</t>
        </is>
      </c>
      <c r="B611" s="1233" t="inlineStr">
        <is>
          <t>Net trade position</t>
        </is>
      </c>
      <c r="C611" s="1242">
        <f>IF(ISNUMBER('Trade Model'!J85),'Trade Model'!J85,'Trade Model'!C85)</f>
        <v/>
      </c>
      <c r="D611" s="1234" t="inlineStr">
        <is>
          <t>Mt</t>
        </is>
      </c>
      <c r="E611" s="1233" t="inlineStr">
        <is>
          <t>Computed in-cell</t>
        </is>
      </c>
      <c r="F611" s="1233" t="inlineStr">
        <is>
          <t>'=D78-D76</t>
        </is>
      </c>
      <c r="G611" s="1233" t="inlineStr">
        <is>
          <t>Computed</t>
        </is>
      </c>
      <c r="H611" s="1233" t="inlineStr">
        <is>
          <t>26 Sources register; Master Industry Database source log (47 cited sources)</t>
        </is>
      </c>
      <c r="I611" s="1233" t="inlineStr">
        <is>
          <t>Positive equals net exporter.</t>
        </is>
      </c>
      <c r="J611" s="1233" t="inlineStr">
        <is>
          <t>Determines whether the domestic price sets at import parity (net importer) or export parity (net exporter) - which drives the entire price deck.</t>
        </is>
      </c>
      <c r="K611" s="1233" t="inlineStr">
        <is>
          <t>Reconciled by 25 Audit Checks</t>
        </is>
      </c>
      <c r="L611" s="1234" t="inlineStr">
        <is>
          <t>Medium</t>
        </is>
      </c>
      <c r="M611" s="1233" t="inlineStr">
        <is>
          <t>This sheet</t>
        </is>
      </c>
      <c r="N611" s="1233" t="inlineStr">
        <is>
          <t>Recalculates live with the model</t>
        </is>
      </c>
      <c r="O611" s="1234" t="inlineStr">
        <is>
          <t>Live</t>
        </is>
      </c>
      <c r="P611" s="1233" t="inlineStr">
        <is>
          <t>Research block row 85. Value column is live and re-states on a scenario change.</t>
        </is>
      </c>
    </row>
    <row r="612" ht="46" customHeight="1" s="632">
      <c r="A612" s="1232" t="inlineStr">
        <is>
          <t>TM16</t>
        </is>
      </c>
      <c r="B612" s="1235" t="inlineStr">
        <is>
          <t>Safeguard duty on flat products</t>
        </is>
      </c>
      <c r="C612" s="1241">
        <f>IF(ISNUMBER('Trade Model'!J88),'Trade Model'!J88,'Trade Model'!C88)</f>
        <v/>
      </c>
      <c r="D612" s="1236" t="inlineStr">
        <is>
          <t>%</t>
        </is>
      </c>
      <c r="E612" s="1235" t="inlineStr">
        <is>
          <t>Sourced actual (hard value)</t>
        </is>
      </c>
      <c r="F612" s="1235" t="inlineStr">
        <is>
          <t>(constant) 0.115</t>
        </is>
      </c>
      <c r="G612" s="1235" t="inlineStr">
        <is>
          <t>Master DB P03</t>
        </is>
      </c>
      <c r="H612" s="1235" t="inlineStr">
        <is>
          <t>26 Sources register; Master Industry Database source log (47 cited sources)</t>
        </is>
      </c>
      <c r="I612" s="1235" t="inlineStr">
        <is>
          <t>Schedule, not a forecast.</t>
        </is>
      </c>
      <c r="J612" s="1235" t="inlineStr">
        <is>
          <t>Expires 20-Apr-2028 subject to a mid-term review. Its expiry is the single largest policy risk to the FY2029 onwards price path.</t>
        </is>
      </c>
      <c r="K612" s="1235" t="inlineStr">
        <is>
          <t>Reconciled by 25 Audit Checks</t>
        </is>
      </c>
      <c r="L612" s="1236" t="inlineStr">
        <is>
          <t>High</t>
        </is>
      </c>
      <c r="M612" s="1235" t="inlineStr">
        <is>
          <t>This sheet</t>
        </is>
      </c>
      <c r="N612" s="1235" t="inlineStr">
        <is>
          <t>Quarterly, on each results season</t>
        </is>
      </c>
      <c r="O612" s="1236" t="inlineStr">
        <is>
          <t>FY2026A</t>
        </is>
      </c>
      <c r="P612" s="1235" t="inlineStr">
        <is>
          <t>Research block row 88. Value column is live and re-states on a scenario change.</t>
        </is>
      </c>
    </row>
    <row r="613" ht="46" customHeight="1" s="632">
      <c r="A613" s="1232" t="inlineStr">
        <is>
          <t>TM17</t>
        </is>
      </c>
      <c r="B613" s="1233" t="inlineStr">
        <is>
          <t>Export shares to North America and Africa; import shares from Vietnam and Indonesia</t>
        </is>
      </c>
      <c r="C613" s="1233" t="n"/>
      <c r="D613" s="1234" t="inlineStr">
        <is>
          <t>% and Mt</t>
        </is>
      </c>
      <c r="E613" s="1233" t="inlineStr">
        <is>
          <t>NOT POPULATED - red fill (missing data)</t>
        </is>
      </c>
      <c r="F613" s="1233" t="inlineStr">
        <is>
          <t>(blank by design)</t>
        </is>
      </c>
      <c r="G613" s="1233" t="inlineStr">
        <is>
          <t>No reliable source located and no defensible basis for an estimate</t>
        </is>
      </c>
      <c r="H613" s="1233" t="inlineStr">
        <is>
          <t>n/a</t>
        </is>
      </c>
      <c r="I613" s="1233" t="inlineStr">
        <is>
          <t>None asserted. The cell is deliberately blank.</t>
        </is>
      </c>
      <c r="J613" s="1233" t="inlineStr">
        <is>
          <t>Regional export and import volumes are not published; only percentage shares by country are available, and only for the top destinations. Shares are carried on 19 Trade Model.</t>
        </is>
      </c>
      <c r="K613" s="1233" t="inlineStr">
        <is>
          <t>Excluded from every headline output and from the audit checks</t>
        </is>
      </c>
      <c r="L613" s="1234" t="inlineStr">
        <is>
          <t>n/a - unavailable</t>
        </is>
      </c>
      <c r="M613" s="1233" t="inlineStr">
        <is>
          <t>This sheet</t>
        </is>
      </c>
      <c r="N613" s="1233" t="inlineStr">
        <is>
          <t>Populate when a primary source becomes available</t>
        </is>
      </c>
      <c r="O613" s="1234" t="inlineStr">
        <is>
          <t>Not available</t>
        </is>
      </c>
      <c r="P613" s="1233" t="inlineStr">
        <is>
          <t>Red (missing) cells: B33:D34 and G33:I34</t>
        </is>
      </c>
    </row>
    <row r="614" ht="46" customHeight="1" s="632">
      <c r="A614" s="1232" t="inlineStr">
        <is>
          <t>TM18</t>
        </is>
      </c>
      <c r="B614" s="1235" t="inlineStr">
        <is>
          <t>Global steel prices, freight costs and anti-dumping duties</t>
        </is>
      </c>
      <c r="C614" s="1235" t="n"/>
      <c r="D614" s="1236" t="n"/>
      <c r="E614" s="1235" t="inlineStr">
        <is>
          <t>NOT POPULATED - red fill (missing data)</t>
        </is>
      </c>
      <c r="F614" s="1235" t="inlineStr">
        <is>
          <t>(blank by design)</t>
        </is>
      </c>
      <c r="G614" s="1235" t="inlineStr">
        <is>
          <t>No reliable source located and no defensible basis for an estimate</t>
        </is>
      </c>
      <c r="H614" s="1235" t="inlineStr">
        <is>
          <t>n/a</t>
        </is>
      </c>
      <c r="I614" s="1235" t="inlineStr">
        <is>
          <t>None asserted. The cell is deliberately blank.</t>
        </is>
      </c>
      <c r="J614" s="1235" t="inlineStr">
        <is>
          <t>No global price or freight path is modelled; anti-dumping duties have no consolidated forward schedule. The notified safeguard duty IS modelled on row 46.</t>
        </is>
      </c>
      <c r="K614" s="1235" t="inlineStr">
        <is>
          <t>Excluded from every headline output and from the audit checks</t>
        </is>
      </c>
      <c r="L614" s="1236" t="inlineStr">
        <is>
          <t>n/a - unavailable</t>
        </is>
      </c>
      <c r="M614" s="1235" t="inlineStr">
        <is>
          <t>This sheet</t>
        </is>
      </c>
      <c r="N614" s="1235" t="inlineStr">
        <is>
          <t>Populate when a primary source becomes available</t>
        </is>
      </c>
      <c r="O614" s="1236" t="inlineStr">
        <is>
          <t>Not available</t>
        </is>
      </c>
      <c r="P614" s="1235" t="inlineStr">
        <is>
          <t>Red (missing) cells: B42:H42, B45:H45, B47:H47</t>
        </is>
      </c>
    </row>
    <row r="617" ht="18" customHeight="1" s="632">
      <c r="A617" s="1229" t="inlineStr">
        <is>
          <t>ESG Model  -  40 documented items  (ES01 - ES40)</t>
        </is>
      </c>
      <c r="B617" s="1161" t="n"/>
      <c r="C617" s="1161" t="n"/>
      <c r="D617" s="1161" t="n"/>
      <c r="E617" s="1161" t="n"/>
      <c r="F617" s="1161" t="n"/>
      <c r="G617" s="1161" t="n"/>
      <c r="H617" s="1161" t="n"/>
      <c r="I617" s="1161" t="n"/>
      <c r="J617" s="1161" t="n"/>
      <c r="K617" s="1161" t="n"/>
      <c r="L617" s="1161" t="n"/>
      <c r="M617" s="1161" t="n"/>
      <c r="N617" s="1161" t="n"/>
      <c r="O617" s="1161" t="n"/>
      <c r="P617" s="1161" t="n"/>
    </row>
    <row r="618" ht="24" customHeight="1" s="632">
      <c r="A618" s="1230" t="inlineStr">
        <is>
          <t>Every documented number on ESG Model. The Code column matches the Ref column on that sheet.</t>
        </is>
      </c>
    </row>
    <row r="619" ht="30" customHeight="1" s="632">
      <c r="A619" s="1231" t="inlineStr">
        <is>
          <t>Code</t>
        </is>
      </c>
      <c r="B619" s="1231" t="inlineStr">
        <is>
          <t>Model Item</t>
        </is>
      </c>
      <c r="C619" s="1231" t="inlineStr">
        <is>
          <t>Value</t>
        </is>
      </c>
      <c r="D619" s="1231" t="inlineStr">
        <is>
          <t>Unit</t>
        </is>
      </c>
      <c r="E619" s="1231" t="inlineStr">
        <is>
          <t>Calculation Method</t>
        </is>
      </c>
      <c r="F619" s="1231" t="inlineStr">
        <is>
          <t>Formula Used</t>
        </is>
      </c>
      <c r="G619" s="1231" t="inlineStr">
        <is>
          <t>Primary Source</t>
        </is>
      </c>
      <c r="H619" s="1231" t="inlineStr">
        <is>
          <t>Secondary Source</t>
        </is>
      </c>
      <c r="I619" s="1231" t="inlineStr">
        <is>
          <t>Assumption</t>
        </is>
      </c>
      <c r="J619" s="1231" t="inlineStr">
        <is>
          <t>Reasoning</t>
        </is>
      </c>
      <c r="K619" s="1231" t="inlineStr">
        <is>
          <t>Cross-check</t>
        </is>
      </c>
      <c r="L619" s="1231" t="inlineStr">
        <is>
          <t>Confidence Level</t>
        </is>
      </c>
      <c r="M619" s="1231" t="inlineStr">
        <is>
          <t>Linked Sheet</t>
        </is>
      </c>
      <c r="N619" s="1231" t="inlineStr">
        <is>
          <t>Update Frequency</t>
        </is>
      </c>
      <c r="O619" s="1231" t="inlineStr">
        <is>
          <t>Last Available Date</t>
        </is>
      </c>
      <c r="P619" s="1231" t="inlineStr">
        <is>
          <t>Comments</t>
        </is>
      </c>
    </row>
    <row r="620" ht="46" customHeight="1" s="632">
      <c r="A620" s="1232" t="inlineStr">
        <is>
          <t>ES01</t>
        </is>
      </c>
      <c r="B620" s="1233" t="inlineStr">
        <is>
          <t>FY2026A carbon cost</t>
        </is>
      </c>
      <c r="C620" s="1257">
        <f>'ESG Model'!B11</f>
        <v/>
      </c>
      <c r="D620" s="1234" t="inlineStr">
        <is>
          <t>Rs cr</t>
        </is>
      </c>
      <c r="E620" s="1233" t="inlineStr">
        <is>
          <t>Deliberate zero - no CBAM liability arose in FY2026A</t>
        </is>
      </c>
      <c r="F620" s="1233" t="inlineStr">
        <is>
          <t>(entered zero)</t>
        </is>
      </c>
      <c r="G620" s="1233" t="inlineStr">
        <is>
          <t>EU CBAM definitive regime start date</t>
        </is>
      </c>
      <c r="H620" s="1233" t="inlineStr">
        <is>
          <t>The CBAM calculation on research block rows 108 to 113 runs from FY2027E</t>
        </is>
      </c>
      <c r="I620" s="1233" t="inlineStr">
        <is>
          <t>The CBAM calculation runs from FY2027E, which is when the EU definitive regime begins charging. FY2026A carries no carbon cost because none was payable.</t>
        </is>
      </c>
      <c r="J620" s="1233" t="inlineStr">
        <is>
          <t>This was a blank flagged as missing data, which was the wrong classification. Nothing is unknown about it: the EU CBAM definitive regime begins charging in FY2027E, so the FY2026A carbon cost is zero as a matter of fact. A deliberate zero belongs in the cell as a blue input, exactly like the carbon credits row, not as a gap.</t>
        </is>
      </c>
      <c r="K620" s="1233" t="inlineStr">
        <is>
          <t>Consistent with the carbon cost forecast table, which starts at FY2027E</t>
        </is>
      </c>
      <c r="L620" s="1234" t="inlineStr">
        <is>
          <t>High - this is a fact about the regime, not an estimate</t>
        </is>
      </c>
      <c r="M620" s="1233" t="inlineStr">
        <is>
          <t>This sheet</t>
        </is>
      </c>
      <c r="N620" s="1233" t="inlineStr">
        <is>
          <t>n/a</t>
        </is>
      </c>
      <c r="O620" s="1234" t="inlineStr">
        <is>
          <t>FY2026A</t>
        </is>
      </c>
      <c r="P620" s="1233" t="inlineStr">
        <is>
          <t>Populated by modelling rather than left blank; the basis is stated in the Assumption column so it can be replaced with a sourced series when one exists.</t>
        </is>
      </c>
    </row>
    <row r="621" ht="46" customHeight="1" s="632">
      <c r="A621" s="1232" t="inlineStr">
        <is>
          <t>ES02</t>
        </is>
      </c>
      <c r="B621" s="1235" t="inlineStr">
        <is>
          <t>ESG executive summary - score, capex, renewable share and rating trend</t>
        </is>
      </c>
      <c r="C621" s="1249">
        <f>'ESG Model'!C72</f>
        <v/>
      </c>
      <c r="D621" s="1236" t="inlineStr">
        <is>
          <t>score, Rs cr, %</t>
        </is>
      </c>
      <c r="E621" s="1235" t="inlineStr">
        <is>
          <t>Cross-sheet links to the scorecard, capex and environmental blocks on this sheet</t>
        </is>
      </c>
      <c r="F621" s="1235" t="inlineStr">
        <is>
          <t>'=$C$72 for the score; =$B$46 for capex; =$B$21 for renewable share</t>
        </is>
      </c>
      <c r="G621" s="1235" t="inlineStr">
        <is>
          <t>Computed from the blocks below on this sheet</t>
        </is>
      </c>
      <c r="H621" s="1235" t="inlineStr">
        <is>
          <t>Green steel taxonomy notified 23-Dec-2024 for the rating trend thresholds</t>
        </is>
      </c>
      <c r="I621" s="1235" t="inlineStr">
        <is>
          <t>Every line here is now a link to the block on this sheet that computes it: the ESG score reads the scorecard on C72, ESG capex reads the capex total on row 46, renewable share reads row 21, and the rating trend is a formula that classifies emission intensity against the notified taxonomy thresholds on rows 96 to 99. FY2026A ESG capex is entered as zero because the capex block runs from FY2027E, matching the carbon cost line directly above it.</t>
        </is>
      </c>
      <c r="J621" s="1235" t="inlineStr">
        <is>
          <t>Four executive-summary rows were blank because the four blocks beneath them were blank. Filling the blocks fixed the summary automatically, which is the point of linking rather than re-keying - the summary cannot now disagree with the detail.</t>
        </is>
      </c>
      <c r="K621" s="1235" t="inlineStr">
        <is>
          <t>Must equal the blocks they read; the score must equal C72 exactly</t>
        </is>
      </c>
      <c r="L621" s="1236" t="inlineStr">
        <is>
          <t>Low - inherits the confidence of the modelled blocks beneath</t>
        </is>
      </c>
      <c r="M621" s="1235" t="inlineStr">
        <is>
          <t>This sheet</t>
        </is>
      </c>
      <c r="N621" s="1235" t="inlineStr">
        <is>
          <t>Annually</t>
        </is>
      </c>
      <c r="O621" s="1236" t="inlineStr">
        <is>
          <t>FY2026A</t>
        </is>
      </c>
      <c r="P621" s="1235" t="inlineStr">
        <is>
          <t>Populated by modelling rather than left blank; the basis is stated in the Assumption column so it can be replaced with a sourced series when one exists.</t>
        </is>
      </c>
    </row>
    <row r="622" ht="46" customHeight="1" s="632">
      <c r="A622" s="1232" t="inlineStr">
        <is>
          <t>ES03</t>
        </is>
      </c>
      <c r="B622" s="1233" t="inlineStr">
        <is>
          <t>Environmental KPI - Renewable Energy Share</t>
        </is>
      </c>
      <c r="C622" s="1244">
        <f>'ESG Model'!I21</f>
        <v/>
      </c>
      <c r="D622" s="1234" t="inlineStr">
        <is>
          <t>per tonne or %</t>
        </is>
      </c>
      <c r="E622" s="1233" t="inlineStr">
        <is>
          <t>FY2026A anchor and FY2033E target entered; intervening years interpolated linearly</t>
        </is>
      </c>
      <c r="F622" s="1233" t="inlineStr">
        <is>
          <t>'=$B$21+($I$21-$B$21)*1/7</t>
        </is>
      </c>
      <c r="G622" s="1233" t="inlineStr">
        <is>
          <t>Modelled estimate - see the Assumption column for the basis of each level</t>
        </is>
      </c>
      <c r="H622" s="1233" t="inlineStr">
        <is>
          <t>Company BRSR filings and sustainability reports publish all of these annually</t>
        </is>
      </c>
      <c r="I622" s="1233" t="inlineStr">
        <is>
          <t>Renewable share of industry electricity modelled from 6% in FY2026A to 25% by FY2033E. Indian producers have contracted substantial captive and open-access renewable capacity - Tata Steel, JSW Steel and Jindal Steel have all announced renewable power purchase agreements - and 25% by FY2033 is below the aggregate of announced intentions but well above the current base. The trajectory is a modelled glide, not a company-by-company build.</t>
        </is>
      </c>
      <c r="J622" s="1233" t="inlineStr">
        <is>
          <t>The whole environmental KPI block below the emissions lines was blank because BRSR filings were not obtained in this research cycle. A blank row here is worse than a modelled one: the ESG scorecard on row 72 weights an environmental pillar at 0.50, and a pillar built on empty rows cannot be scored at all. Each row is now an FY2026A anchor in column B and an FY2033E target in column I, with a straight-line glide between them, so the two numbers worth arguing about are the only two entered and both are visible on the sheet.</t>
        </is>
      </c>
      <c r="K622" s="1233" t="inlineStr">
        <is>
          <t>Feeds the environmental pillar score on row 69 and the ESG scorecard on row 72</t>
        </is>
      </c>
      <c r="L622" s="1234" t="inlineStr">
        <is>
          <t>Low - modelled trajectories, not company disclosures</t>
        </is>
      </c>
      <c r="M622" s="1233" t="inlineStr">
        <is>
          <t>This sheet</t>
        </is>
      </c>
      <c r="N622" s="1233" t="inlineStr">
        <is>
          <t>Annually, on each BRSR filing cycle</t>
        </is>
      </c>
      <c r="O622" s="1234" t="inlineStr">
        <is>
          <t>FY2026A</t>
        </is>
      </c>
      <c r="P622" s="1233" t="inlineStr">
        <is>
          <t>Populated by modelling rather than left blank; the basis is stated in the Assumption column so it can be replaced with a sourced series when one exists.</t>
        </is>
      </c>
    </row>
    <row r="623" ht="46" customHeight="1" s="632">
      <c r="A623" s="1232" t="inlineStr">
        <is>
          <t>ES04</t>
        </is>
      </c>
      <c r="B623" s="1235" t="inlineStr">
        <is>
          <t>Environmental KPI - Energy Consumption</t>
        </is>
      </c>
      <c r="C623" s="1262">
        <f>'ESG Model'!I22</f>
        <v/>
      </c>
      <c r="D623" s="1236" t="inlineStr">
        <is>
          <t>per tonne or %</t>
        </is>
      </c>
      <c r="E623" s="1235" t="inlineStr">
        <is>
          <t>FY2026A anchor and FY2033E target entered; intervening years interpolated linearly</t>
        </is>
      </c>
      <c r="F623" s="1235" t="inlineStr">
        <is>
          <t>'=$B$22+($I$22-$B$22)*1/7</t>
        </is>
      </c>
      <c r="G623" s="1235" t="inlineStr">
        <is>
          <t>Modelled estimate - see the Assumption column for the basis of each level</t>
        </is>
      </c>
      <c r="H623" s="1235" t="inlineStr">
        <is>
          <t>Company BRSR filings and sustainability reports publish all of these annually</t>
        </is>
      </c>
      <c r="I623" s="1235" t="inlineStr">
        <is>
          <t>Specific energy consumption in Gcal per tonne of crude steel, modelled from 6.0 to 5.4. Indian integrated mills sit above the global best practice of roughly 4.5 Gcal/t largely because of the coal-based DRI share; the glide assumes incremental efficiency retrofits, not a route change. Held deliberately conservative because a route change to scrap-EAF or hydrogen would cut this much faster and none is dated or costed by any producer.</t>
        </is>
      </c>
      <c r="J623" s="1235" t="inlineStr">
        <is>
          <t>The whole environmental KPI block below the emissions lines was blank because BRSR filings were not obtained in this research cycle. A blank row here is worse than a modelled one: the ESG scorecard on row 72 weights an environmental pillar at 0.50, and a pillar built on empty rows cannot be scored at all. Each row is now an FY2026A anchor in column B and an FY2033E target in column I, with a straight-line glide between them, so the two numbers worth arguing about are the only two entered and both are visible on the sheet.</t>
        </is>
      </c>
      <c r="K623" s="1235" t="inlineStr">
        <is>
          <t>Feeds the environmental pillar score on row 69 and the ESG scorecard on row 72</t>
        </is>
      </c>
      <c r="L623" s="1236" t="inlineStr">
        <is>
          <t>Low - modelled trajectories, not company disclosures</t>
        </is>
      </c>
      <c r="M623" s="1235" t="inlineStr">
        <is>
          <t>This sheet</t>
        </is>
      </c>
      <c r="N623" s="1235" t="inlineStr">
        <is>
          <t>Annually, on each BRSR filing cycle</t>
        </is>
      </c>
      <c r="O623" s="1236" t="inlineStr">
        <is>
          <t>FY2026A</t>
        </is>
      </c>
      <c r="P623" s="1235" t="inlineStr">
        <is>
          <t>Populated by modelling rather than left blank; the basis is stated in the Assumption column so it can be replaced with a sourced series when one exists.</t>
        </is>
      </c>
    </row>
    <row r="624" ht="46" customHeight="1" s="632">
      <c r="A624" s="1232" t="inlineStr">
        <is>
          <t>ES05</t>
        </is>
      </c>
      <c r="B624" s="1233" t="inlineStr">
        <is>
          <t>Environmental KPI - Water Consumption</t>
        </is>
      </c>
      <c r="C624" s="1238">
        <f>'ESG Model'!I23</f>
        <v/>
      </c>
      <c r="D624" s="1234" t="inlineStr">
        <is>
          <t>per tonne or %</t>
        </is>
      </c>
      <c r="E624" s="1233" t="inlineStr">
        <is>
          <t>FY2026A anchor and FY2033E target entered; intervening years interpolated linearly</t>
        </is>
      </c>
      <c r="F624" s="1233" t="inlineStr">
        <is>
          <t>'=$B$23+($I$23-$B$23)*1/7</t>
        </is>
      </c>
      <c r="G624" s="1233" t="inlineStr">
        <is>
          <t>Modelled estimate - see the Assumption column for the basis of each level</t>
        </is>
      </c>
      <c r="H624" s="1233" t="inlineStr">
        <is>
          <t>Company BRSR filings and sustainability reports publish all of these annually</t>
        </is>
      </c>
      <c r="I624" s="1233" t="inlineStr">
        <is>
          <t>Specific water consumption in cubic metres per tonne of crude steel, modelled from 3.5 to 2.8. Indian integrated plants report figures in the 3-4 range against a global benchmark nearer 2.0. The glide reflects closed-loop cooling retrofits, which are the standard water intervention and are inside the water-projects line of the ESG capex block.</t>
        </is>
      </c>
      <c r="J624" s="1233" t="inlineStr">
        <is>
          <t>The whole environmental KPI block below the emissions lines was blank because BRSR filings were not obtained in this research cycle. A blank row here is worse than a modelled one: the ESG scorecard on row 72 weights an environmental pillar at 0.50, and a pillar built on empty rows cannot be scored at all. Each row is now an FY2026A anchor in column B and an FY2033E target in column I, with a straight-line glide between them, so the two numbers worth arguing about are the only two entered and both are visible on the sheet.</t>
        </is>
      </c>
      <c r="K624" s="1233" t="inlineStr">
        <is>
          <t>Feeds the environmental pillar score on row 69 and the ESG scorecard on row 72</t>
        </is>
      </c>
      <c r="L624" s="1234" t="inlineStr">
        <is>
          <t>Low - modelled trajectories, not company disclosures</t>
        </is>
      </c>
      <c r="M624" s="1233" t="inlineStr">
        <is>
          <t>This sheet</t>
        </is>
      </c>
      <c r="N624" s="1233" t="inlineStr">
        <is>
          <t>Annually, on each BRSR filing cycle</t>
        </is>
      </c>
      <c r="O624" s="1234" t="inlineStr">
        <is>
          <t>FY2026A</t>
        </is>
      </c>
      <c r="P624" s="1233" t="inlineStr">
        <is>
          <t>Populated by modelling rather than left blank; the basis is stated in the Assumption column so it can be replaced with a sourced series when one exists.</t>
        </is>
      </c>
    </row>
    <row r="625" ht="46" customHeight="1" s="632">
      <c r="A625" s="1232" t="inlineStr">
        <is>
          <t>ES06</t>
        </is>
      </c>
      <c r="B625" s="1235" t="inlineStr">
        <is>
          <t>Environmental KPI - Water Recycling</t>
        </is>
      </c>
      <c r="C625" s="1251">
        <f>'ESG Model'!I24</f>
        <v/>
      </c>
      <c r="D625" s="1236" t="inlineStr">
        <is>
          <t>per tonne or %</t>
        </is>
      </c>
      <c r="E625" s="1235" t="inlineStr">
        <is>
          <t>FY2026A anchor and FY2033E target entered; intervening years interpolated linearly</t>
        </is>
      </c>
      <c r="F625" s="1235" t="inlineStr">
        <is>
          <t>'=$B$24+($I$24-$B$24)*1/7</t>
        </is>
      </c>
      <c r="G625" s="1235" t="inlineStr">
        <is>
          <t>Modelled estimate - see the Assumption column for the basis of each level</t>
        </is>
      </c>
      <c r="H625" s="1235" t="inlineStr">
        <is>
          <t>Company BRSR filings and sustainability reports publish all of these annually</t>
        </is>
      </c>
      <c r="I625" s="1235" t="inlineStr">
        <is>
          <t>Share of water recycled, modelled from 35% to 60%. Zero-liquid-discharge is a state pollution control board condition on new capacity in several states, so the recycled share rises mechanically as the FY2030-FY2031 capacity cohort commissions.</t>
        </is>
      </c>
      <c r="J625" s="1235" t="inlineStr">
        <is>
          <t>The whole environmental KPI block below the emissions lines was blank because BRSR filings were not obtained in this research cycle. A blank row here is worse than a modelled one: the ESG scorecard on row 72 weights an environmental pillar at 0.50, and a pillar built on empty rows cannot be scored at all. Each row is now an FY2026A anchor in column B and an FY2033E target in column I, with a straight-line glide between them, so the two numbers worth arguing about are the only two entered and both are visible on the sheet.</t>
        </is>
      </c>
      <c r="K625" s="1235" t="inlineStr">
        <is>
          <t>Feeds the environmental pillar score on row 69 and the ESG scorecard on row 72</t>
        </is>
      </c>
      <c r="L625" s="1236" t="inlineStr">
        <is>
          <t>Low - modelled trajectories, not company disclosures</t>
        </is>
      </c>
      <c r="M625" s="1235" t="inlineStr">
        <is>
          <t>This sheet</t>
        </is>
      </c>
      <c r="N625" s="1235" t="inlineStr">
        <is>
          <t>Annually, on each BRSR filing cycle</t>
        </is>
      </c>
      <c r="O625" s="1236" t="inlineStr">
        <is>
          <t>FY2026A</t>
        </is>
      </c>
      <c r="P625" s="1235" t="inlineStr">
        <is>
          <t>Populated by modelling rather than left blank; the basis is stated in the Assumption column so it can be replaced with a sourced series when one exists.</t>
        </is>
      </c>
    </row>
    <row r="626" ht="46" customHeight="1" s="632">
      <c r="A626" s="1232" t="inlineStr">
        <is>
          <t>ES07</t>
        </is>
      </c>
      <c r="B626" s="1233" t="inlineStr">
        <is>
          <t>Environmental KPI - Waste Recycling</t>
        </is>
      </c>
      <c r="C626" s="1252">
        <f>'ESG Model'!I25</f>
        <v/>
      </c>
      <c r="D626" s="1234" t="inlineStr">
        <is>
          <t>per tonne or %</t>
        </is>
      </c>
      <c r="E626" s="1233" t="inlineStr">
        <is>
          <t>FY2026A anchor and FY2033E target entered; intervening years interpolated linearly</t>
        </is>
      </c>
      <c r="F626" s="1233" t="inlineStr">
        <is>
          <t>'=$B$25+($I$25-$B$25)*1/7</t>
        </is>
      </c>
      <c r="G626" s="1233" t="inlineStr">
        <is>
          <t>Modelled estimate - see the Assumption column for the basis of each level</t>
        </is>
      </c>
      <c r="H626" s="1233" t="inlineStr">
        <is>
          <t>Company BRSR filings and sustainability reports publish all of these annually</t>
        </is>
      </c>
      <c r="I626" s="1233" t="inlineStr">
        <is>
          <t>Solid waste recycled or reused, modelled from 85% to 95%. Steel is already a high-recovery process - worldsteel reports that over 97% of raw material input is converted into product or co-product - so the level starts high and the improvement is small by construction.</t>
        </is>
      </c>
      <c r="J626" s="1233" t="inlineStr">
        <is>
          <t>The whole environmental KPI block below the emissions lines was blank because BRSR filings were not obtained in this research cycle. A blank row here is worse than a modelled one: the ESG scorecard on row 72 weights an environmental pillar at 0.50, and a pillar built on empty rows cannot be scored at all. Each row is now an FY2026A anchor in column B and an FY2033E target in column I, with a straight-line glide between them, so the two numbers worth arguing about are the only two entered and both are visible on the sheet.</t>
        </is>
      </c>
      <c r="K626" s="1233" t="inlineStr">
        <is>
          <t>Feeds the environmental pillar score on row 69 and the ESG scorecard on row 72</t>
        </is>
      </c>
      <c r="L626" s="1234" t="inlineStr">
        <is>
          <t>Low - modelled trajectories, not company disclosures</t>
        </is>
      </c>
      <c r="M626" s="1233" t="inlineStr">
        <is>
          <t>This sheet</t>
        </is>
      </c>
      <c r="N626" s="1233" t="inlineStr">
        <is>
          <t>Annually, on each BRSR filing cycle</t>
        </is>
      </c>
      <c r="O626" s="1234" t="inlineStr">
        <is>
          <t>FY2026A</t>
        </is>
      </c>
      <c r="P626" s="1233" t="inlineStr">
        <is>
          <t>Populated by modelling rather than left blank; the basis is stated in the Assumption column so it can be replaced with a sourced series when one exists.</t>
        </is>
      </c>
    </row>
    <row r="627" ht="46" customHeight="1" s="632">
      <c r="A627" s="1232" t="inlineStr">
        <is>
          <t>ES08</t>
        </is>
      </c>
      <c r="B627" s="1235" t="inlineStr">
        <is>
          <t>Environmental KPI - Slag Utilisation</t>
        </is>
      </c>
      <c r="C627" s="1251">
        <f>'ESG Model'!I26</f>
        <v/>
      </c>
      <c r="D627" s="1236" t="inlineStr">
        <is>
          <t>per tonne or %</t>
        </is>
      </c>
      <c r="E627" s="1235" t="inlineStr">
        <is>
          <t>FY2026A anchor and FY2033E target entered; intervening years interpolated linearly</t>
        </is>
      </c>
      <c r="F627" s="1235" t="inlineStr">
        <is>
          <t>'=$B$26+($I$26-$B$26)*1/7</t>
        </is>
      </c>
      <c r="G627" s="1235" t="inlineStr">
        <is>
          <t>Modelled estimate - see the Assumption column for the basis of each level</t>
        </is>
      </c>
      <c r="H627" s="1235" t="inlineStr">
        <is>
          <t>Company BRSR filings and sustainability reports publish all of these annually</t>
        </is>
      </c>
      <c r="I627" s="1235" t="inlineStr">
        <is>
          <t>Blast furnace and steel slag utilisation, modelled from 75% to 95%. Ground granulated blast furnace slag is an established cement substitute in India and the offtake is commercial rather than regulatory, which is why the terminal level is set close to full utilisation.</t>
        </is>
      </c>
      <c r="J627" s="1235" t="inlineStr">
        <is>
          <t>The whole environmental KPI block below the emissions lines was blank because BRSR filings were not obtained in this research cycle. A blank row here is worse than a modelled one: the ESG scorecard on row 72 weights an environmental pillar at 0.50, and a pillar built on empty rows cannot be scored at all. Each row is now an FY2026A anchor in column B and an FY2033E target in column I, with a straight-line glide between them, so the two numbers worth arguing about are the only two entered and both are visible on the sheet.</t>
        </is>
      </c>
      <c r="K627" s="1235" t="inlineStr">
        <is>
          <t>Feeds the environmental pillar score on row 69 and the ESG scorecard on row 72</t>
        </is>
      </c>
      <c r="L627" s="1236" t="inlineStr">
        <is>
          <t>Low - modelled trajectories, not company disclosures</t>
        </is>
      </c>
      <c r="M627" s="1235" t="inlineStr">
        <is>
          <t>This sheet</t>
        </is>
      </c>
      <c r="N627" s="1235" t="inlineStr">
        <is>
          <t>Annually, on each BRSR filing cycle</t>
        </is>
      </c>
      <c r="O627" s="1236" t="inlineStr">
        <is>
          <t>FY2026A</t>
        </is>
      </c>
      <c r="P627" s="1235" t="inlineStr">
        <is>
          <t>Populated by modelling rather than left blank; the basis is stated in the Assumption column so it can be replaced with a sourced series when one exists.</t>
        </is>
      </c>
    </row>
    <row r="628" ht="46" customHeight="1" s="632">
      <c r="A628" s="1232" t="inlineStr">
        <is>
          <t>ES09</t>
        </is>
      </c>
      <c r="B628" s="1233" t="inlineStr">
        <is>
          <t>Industry CO2 emissions</t>
        </is>
      </c>
      <c r="C628" s="1248">
        <f>'ESG Model'!I19</f>
        <v/>
      </c>
      <c r="D628" s="1234" t="inlineStr">
        <is>
          <t>Mt CO2e</t>
        </is>
      </c>
      <c r="E628" s="1233" t="inlineStr">
        <is>
          <t>Computed in-cell: emission intensity multiplied by finished steel production</t>
        </is>
      </c>
      <c r="F628" s="1233" t="inlineStr">
        <is>
          <t>'=C102*'Steel Supply Model'!C101</t>
        </is>
      </c>
      <c r="G628" s="1233" t="inlineStr">
        <is>
          <t>Emission intensity is a USER INPUT of 2.55 tCO2e/tfs, explicitly NOT SOURCED (research block row 102); production is from the model</t>
        </is>
      </c>
      <c r="H628" s="1233" t="inlineStr">
        <is>
          <t>Green steel taxonomy thresholds notified 23-Dec-2024 (research block rows 96 to 99)</t>
        </is>
      </c>
      <c r="I628" s="1233" t="inlineStr">
        <is>
          <t>Indian average intensity of 2.55 tCO2e/tfs held flat across the horizon - no decarbonisation trajectory is assumed.</t>
        </is>
      </c>
      <c r="J628" s="1233" t="inlineStr">
        <is>
          <t>Holding intensity flat is a deliberately conservative and transparent choice. Indian producers have announced net-zero ambitions but none has published a dated, costed intensity pathway, so assuming improvement would flatter both the CBAM cost and the green-steel classification. On these numbers industry emissions rise from about 410 Mt CO2e to roughly 685 Mt by FY2033E purely because volume grows - which is the honest picture and the reason this is a first-order transition risk.</t>
        </is>
      </c>
      <c r="K628" s="1233" t="inlineStr">
        <is>
          <t>Intensity of 2.55 sits ABOVE the 2.2 tCO2e/tfs threshold for 3-star green steel, so on these inputs no Indian average production qualifies as green</t>
        </is>
      </c>
      <c r="L628" s="1234" t="inlineStr">
        <is>
          <t>Low - the intensity input is not sourced</t>
        </is>
      </c>
      <c r="M628" s="1233" t="inlineStr">
        <is>
          <t>Steel Supply Model</t>
        </is>
      </c>
      <c r="N628" s="1233" t="inlineStr">
        <is>
          <t>Annually, on BRSR filings</t>
        </is>
      </c>
      <c r="O628" s="1234" t="inlineStr">
        <is>
          <t>n/a - user input</t>
        </is>
      </c>
      <c r="P628" s="1233" t="inlineStr">
        <is>
          <t>Rows 19 and 20 were blank. EDIT ROW 102 BEFORE USE.</t>
        </is>
      </c>
    </row>
    <row r="629" ht="46" customHeight="1" s="632">
      <c r="A629" s="1232" t="inlineStr">
        <is>
          <t>ES10</t>
        </is>
      </c>
      <c r="B629" s="1235" t="inlineStr">
        <is>
          <t>CBAM carbon cost</t>
        </is>
      </c>
      <c r="C629" s="1258">
        <f>'ESG Model'!H35</f>
        <v/>
      </c>
      <c r="D629" s="1236" t="inlineStr">
        <is>
          <t>Rs cr</t>
        </is>
      </c>
      <c r="E629" s="1235" t="inlineStr">
        <is>
          <t>Computed in-cell: EU-destined exports multiplied by the emission intensity excess over the EU benchmark, multiplied by the EU carbon price converted to rupees</t>
        </is>
      </c>
      <c r="F629" s="1235" t="inlineStr">
        <is>
          <t>'=D110*D111*D104*D105/10 (research block row 112)</t>
        </is>
      </c>
      <c r="G629" s="1235" t="inlineStr">
        <is>
          <t>EU share of Indian exports 34.4% IS sourced (Master Industry Database). The carbon price, both emission intensities and EUR/INR are USER INPUTS and NOT SOURCED</t>
        </is>
      </c>
      <c r="H629" s="1235" t="inlineStr">
        <is>
          <t>19 Trade Model export destination shares; green steel taxonomy notified 23-Dec-2024</t>
        </is>
      </c>
      <c r="I629" s="1235" t="inlineStr">
        <is>
          <t>CARBON CREDITS ARE SET TO ZERO. India has no operating compliance carbon market that would generate CBAM-eligible credits, and the Carbon Credit Trading Scheme is not yet in force.</t>
        </is>
      </c>
      <c r="J629" s="1235" t="inlineStr">
        <is>
          <t>This is the only transition cost the model quantifies, and it is quantified precisely because the exposure is concentrated and measurable: 34.4% of exports go to the EU, and the intensity gap of 0.70 tCO2e/tfs against the EU benchmark is chargeable. On the user inputs as delivered the cost is roughly Rs 1,400-2,100 crore a year - about 0.5% of industry EBITDA, material but not existential. FOUR OF THE FIVE INPUTS ARE UNSOURCED, so treat the magnitude as an order of estimate.</t>
        </is>
      </c>
      <c r="K629" s="1235" t="inlineStr">
        <is>
          <t>Row 31 multiplied by row 32 divided by ten must equal row 33; row 33 must equal research block row 112</t>
        </is>
      </c>
      <c r="L629" s="1236" t="inlineStr">
        <is>
          <t>Low</t>
        </is>
      </c>
      <c r="M629" s="1235" t="inlineStr">
        <is>
          <t>Trade Model, Steel Supply Model</t>
        </is>
      </c>
      <c r="N629" s="1235" t="inlineStr">
        <is>
          <t>Quarterly, and on any EU ETS price move</t>
        </is>
      </c>
      <c r="O629" s="1236" t="inlineStr">
        <is>
          <t>n/a</t>
        </is>
      </c>
      <c r="P629" s="1235" t="inlineStr">
        <is>
          <t>Rows 31 to 35 were blank. Carbon credits are blue because zero is a live user input.</t>
        </is>
      </c>
    </row>
    <row r="630" ht="46" customHeight="1" s="632">
      <c r="A630" s="1232" t="inlineStr">
        <is>
          <t>ES11</t>
        </is>
      </c>
      <c r="B630" s="1233" t="inlineStr">
        <is>
          <t>ESG and decarbonisation capex</t>
        </is>
      </c>
      <c r="C630" s="1257">
        <f>'ESG Model'!H46</f>
        <v/>
      </c>
      <c r="D630" s="1234" t="inlineStr">
        <is>
          <t>Rs cr</t>
        </is>
      </c>
      <c r="E630" s="1233" t="inlineStr">
        <is>
          <t>Total capex from 16 Cash Flow Model multiplied by the ESG share on row 47, then allocated across six categories using the mix in column J</t>
        </is>
      </c>
      <c r="F630" s="1233" t="inlineStr">
        <is>
          <t>'='Cash Flow Model'!D110*B47 for the total; =$B$46*$J$40 for each category</t>
        </is>
      </c>
      <c r="G630" s="1233" t="inlineStr">
        <is>
          <t>Modelled: share of the capex the model forecasts</t>
        </is>
      </c>
      <c r="H630" s="1233" t="inlineStr">
        <is>
          <t>Ministry of Steel net-zero-by-2070 roadmap; EU CBAM definitive regime; green steel taxonomy notified 23-Dec-2024</t>
        </is>
      </c>
      <c r="I630" s="1233" t="inlineStr">
        <is>
          <t>ESG and decarbonisation capital expenditure modelled as a share of total industry capex rising from 4% in FY2027E to 12% by FY2032E and held there. No Indian producer publishes a dated, costed decarbonisation schedule to FY2033 - which is why this block was previously left blank - so the only defensible construction is to size it against the capex the model already forecasts rather than to invent an absolute rupee schedule. Expressing it as a SHARE has a second advantage: it scales automatically with the scenario, so a Bear Case that builds less capacity also spends less on decarbonisation, which is what actually happens. The share rises because the EU CBAM definitive regime, the notified green steel taxonomy and state pollution-control conditions on new capacity all bite progressively across the horizon.</t>
        </is>
      </c>
      <c r="J630" s="1233" t="inlineStr">
        <is>
          <t>This block was blank, and so were the ESG capex lines in the executive summary, the financial impact table and the scenario table that all read from it - five separate holes from one missing driver. It is now built the way the rest of the model builds capex: a share of a forecast total, not an absolute schedule. Total capex comes from 16 Cash Flow Model row 110, the share is on row 47 of this sheet, and the category mix is in column J. Because it is a share, the Bear Case automatically spends less on decarbonisation than the Bull Case - which is what happens in practice and could not be represented by a hard-coded schedule.</t>
        </is>
      </c>
      <c r="K630" s="1233" t="inlineStr">
        <is>
          <t>Row 46 must equal the sum of rows 40 to 45, and the category shares in column J must sum to 100%</t>
        </is>
      </c>
      <c r="L630" s="1234" t="inlineStr">
        <is>
          <t>Low - no producer publishes a dated, costed decarbonisation schedule</t>
        </is>
      </c>
      <c r="M630" s="1233" t="inlineStr">
        <is>
          <t>Cash Flow Model</t>
        </is>
      </c>
      <c r="N630" s="1233" t="inlineStr">
        <is>
          <t>Annually, or on any producer publishing a costed transition plan</t>
        </is>
      </c>
      <c r="O630" s="1234" t="inlineStr">
        <is>
          <t>FY2026A</t>
        </is>
      </c>
      <c r="P630" s="1233" t="inlineStr">
        <is>
          <t>Populated by modelling rather than left blank; the basis is stated in the Assumption column so it can be replaced with a sourced series when one exists.</t>
        </is>
      </c>
    </row>
    <row r="631" ht="46" customHeight="1" s="632">
      <c r="A631" s="1232" t="inlineStr">
        <is>
          <t>ES12</t>
        </is>
      </c>
      <c r="B631" s="1235" t="inlineStr">
        <is>
          <t>Social metric - Lost Time Injury Frequency Rate</t>
        </is>
      </c>
      <c r="C631" s="1262">
        <f>'ESG Model'!I52</f>
        <v/>
      </c>
      <c r="D631" s="1236" t="inlineStr">
        <is>
          <t>rate or %</t>
        </is>
      </c>
      <c r="E631" s="1235" t="inlineStr">
        <is>
          <t>FY2026A anchor and FY2033E target entered; intervening years interpolated linearly</t>
        </is>
      </c>
      <c r="F631" s="1235" t="inlineStr">
        <is>
          <t>'=$B$52+($I$52-$B$52)*1/7</t>
        </is>
      </c>
      <c r="G631" s="1235" t="inlineStr">
        <is>
          <t>Modelled estimate - see the Assumption column</t>
        </is>
      </c>
      <c r="H631" s="1235" t="inlineStr">
        <is>
          <t>BRSR section A requires all of these disclosures annually</t>
        </is>
      </c>
      <c r="I631" s="1235" t="inlineStr">
        <is>
          <t>LTIFR per million person-hours worked, modelled from 0.40 to 0.20. Indian majors report LTIFR in the 0.2-0.5 range in their BRSR filings and every one of them has a stated downward target. The glide halves the rate over seven years, which is demanding but is roughly what the better performers have already delivered over a comparable period.</t>
        </is>
      </c>
      <c r="J631" s="1235" t="inlineStr">
        <is>
          <t>Modelled as an FY2026A anchor and an FY2033E target with a linear glide. These rows feed the social pillar score on row 70, which in turn is 0.25 of the overall ESG score - so leaving them blank left a quarter of the scorecard unstruck.</t>
        </is>
      </c>
      <c r="K631" s="1235" t="inlineStr">
        <is>
          <t>Feeds the social pillar score on row 70</t>
        </is>
      </c>
      <c r="L631" s="1236" t="inlineStr">
        <is>
          <t>Low - modelled trajectories, not company disclosures</t>
        </is>
      </c>
      <c r="M631" s="1235" t="inlineStr">
        <is>
          <t>This sheet</t>
        </is>
      </c>
      <c r="N631" s="1235" t="inlineStr">
        <is>
          <t>Annually, on each BRSR filing cycle</t>
        </is>
      </c>
      <c r="O631" s="1236" t="inlineStr">
        <is>
          <t>FY2026A</t>
        </is>
      </c>
      <c r="P631" s="1235" t="inlineStr">
        <is>
          <t>Populated by modelling rather than left blank; the basis is stated in the Assumption column so it can be replaced with a sourced series when one exists.</t>
        </is>
      </c>
    </row>
    <row r="632" ht="46" customHeight="1" s="632">
      <c r="A632" s="1232" t="inlineStr">
        <is>
          <t>ES13</t>
        </is>
      </c>
      <c r="B632" s="1233" t="inlineStr">
        <is>
          <t>Social metric - Training Hours</t>
        </is>
      </c>
      <c r="C632" s="1248">
        <f>'ESG Model'!I53</f>
        <v/>
      </c>
      <c r="D632" s="1234" t="inlineStr">
        <is>
          <t>rate or %</t>
        </is>
      </c>
      <c r="E632" s="1233" t="inlineStr">
        <is>
          <t>FY2026A anchor and FY2033E target entered; intervening years interpolated linearly</t>
        </is>
      </c>
      <c r="F632" s="1233" t="inlineStr">
        <is>
          <t>'=$B$53+($I$53-$B$53)*1/7</t>
        </is>
      </c>
      <c r="G632" s="1233" t="inlineStr">
        <is>
          <t>Modelled estimate - see the Assumption column</t>
        </is>
      </c>
      <c r="H632" s="1233" t="inlineStr">
        <is>
          <t>BRSR section A requires all of these disclosures annually</t>
        </is>
      </c>
      <c r="I632" s="1233" t="inlineStr">
        <is>
          <t>Training hours per employee per year, modelled from 25 to 40. BRSR requires this disclosure and reported figures for large Indian manufacturers cluster in the 20-35 range; the increase reflects the reskilling that a route change towards electric arc furnaces and hydrogen would require.</t>
        </is>
      </c>
      <c r="J632" s="1233" t="inlineStr">
        <is>
          <t>Modelled as an FY2026A anchor and an FY2033E target with a linear glide. These rows feed the social pillar score on row 70, which in turn is 0.25 of the overall ESG score - so leaving them blank left a quarter of the scorecard unstruck.</t>
        </is>
      </c>
      <c r="K632" s="1233" t="inlineStr">
        <is>
          <t>Feeds the social pillar score on row 70</t>
        </is>
      </c>
      <c r="L632" s="1234" t="inlineStr">
        <is>
          <t>Low - modelled trajectories, not company disclosures</t>
        </is>
      </c>
      <c r="M632" s="1233" t="inlineStr">
        <is>
          <t>This sheet</t>
        </is>
      </c>
      <c r="N632" s="1233" t="inlineStr">
        <is>
          <t>Annually, on each BRSR filing cycle</t>
        </is>
      </c>
      <c r="O632" s="1234" t="inlineStr">
        <is>
          <t>FY2026A</t>
        </is>
      </c>
      <c r="P632" s="1233" t="inlineStr">
        <is>
          <t>Populated by modelling rather than left blank; the basis is stated in the Assumption column so it can be replaced with a sourced series when one exists.</t>
        </is>
      </c>
    </row>
    <row r="633" ht="46" customHeight="1" s="632">
      <c r="A633" s="1232" t="inlineStr">
        <is>
          <t>ES14</t>
        </is>
      </c>
      <c r="B633" s="1235" t="inlineStr">
        <is>
          <t>Social metric - Diversity (%)</t>
        </is>
      </c>
      <c r="C633" s="1245">
        <f>'ESG Model'!I54</f>
        <v/>
      </c>
      <c r="D633" s="1236" t="inlineStr">
        <is>
          <t>rate or %</t>
        </is>
      </c>
      <c r="E633" s="1235" t="inlineStr">
        <is>
          <t>FY2026A anchor and FY2033E target entered; intervening years interpolated linearly</t>
        </is>
      </c>
      <c r="F633" s="1235" t="inlineStr">
        <is>
          <t>'=$B$54+($I$54-$B$54)*1/7</t>
        </is>
      </c>
      <c r="G633" s="1235" t="inlineStr">
        <is>
          <t>Modelled estimate - see the Assumption column</t>
        </is>
      </c>
      <c r="H633" s="1235" t="inlineStr">
        <is>
          <t>BRSR section A requires all of these disclosures annually</t>
        </is>
      </c>
      <c r="I633" s="1235" t="inlineStr">
        <is>
          <t>Share of women in the workforce, modelled from 12% to 20%. Indian steel producers report female participation in the 10-15% range, materially below Indian manufacturing generally, and all of the majors carry a stated improvement target. 20% by FY2033E is an extrapolation of the recent rate of change, not a company commitment.</t>
        </is>
      </c>
      <c r="J633" s="1235" t="inlineStr">
        <is>
          <t>Modelled as an FY2026A anchor and an FY2033E target with a linear glide. These rows feed the social pillar score on row 70, which in turn is 0.25 of the overall ESG score - so leaving them blank left a quarter of the scorecard unstruck.</t>
        </is>
      </c>
      <c r="K633" s="1235" t="inlineStr">
        <is>
          <t>Feeds the social pillar score on row 70</t>
        </is>
      </c>
      <c r="L633" s="1236" t="inlineStr">
        <is>
          <t>Low - modelled trajectories, not company disclosures</t>
        </is>
      </c>
      <c r="M633" s="1235" t="inlineStr">
        <is>
          <t>This sheet</t>
        </is>
      </c>
      <c r="N633" s="1235" t="inlineStr">
        <is>
          <t>Annually, on each BRSR filing cycle</t>
        </is>
      </c>
      <c r="O633" s="1236" t="inlineStr">
        <is>
          <t>FY2026A</t>
        </is>
      </c>
      <c r="P633" s="1235" t="inlineStr">
        <is>
          <t>Populated by modelling rather than left blank; the basis is stated in the Assumption column so it can be replaced with a sourced series when one exists.</t>
        </is>
      </c>
    </row>
    <row r="634" ht="46" customHeight="1" s="632">
      <c r="A634" s="1232" t="inlineStr">
        <is>
          <t>ES15</t>
        </is>
      </c>
      <c r="B634" s="1233" t="inlineStr">
        <is>
          <t>Social metric - Employees</t>
        </is>
      </c>
      <c r="C634" s="1237">
        <f>'ESG Model'!I51</f>
        <v/>
      </c>
      <c r="D634" s="1234" t="inlineStr">
        <is>
          <t>employees</t>
        </is>
      </c>
      <c r="E634" s="1233" t="inlineStr">
        <is>
          <t>FY2026A headcount indexed to finished steel production, less the annual productivity gain</t>
        </is>
      </c>
      <c r="F634" s="1233" t="inlineStr">
        <is>
          <t>'=$B$51*'Steel Supply Model'!D101/'Steel Supply Model'!$C$101*(1-$J$51)^1</t>
        </is>
      </c>
      <c r="G634" s="1233" t="inlineStr">
        <is>
          <t>Ministry of Steel: the sector employs over 6 lakh people</t>
        </is>
      </c>
      <c r="H634" s="1233" t="inlineStr">
        <is>
          <t>Company BRSR filings disclose headcount individually</t>
        </is>
      </c>
      <c r="I634" s="1233" t="inlineStr">
        <is>
          <t>Industry direct employment of about 6 lakh in FY2026A. The Ministry of Steel states that the steel sector contributes nearly 2% of GDP and employs over 6 lakh people. Headcount is then indexed to finished steel production and discounted by the productivity gain, so it is a model output rather than a second independent assertion. Labour productivity gain of 2.0% a year, applied on top of production growth, so headcount grows more slowly than output. This is the standard pattern in Indian steel: capacity has roughly doubled over fifteen years while direct employment has grown far less, because new capacity is more automated than the assets it is added to.</t>
        </is>
      </c>
      <c r="J634" s="1233" t="inlineStr">
        <is>
          <t>Headcount is modelled rather than entered year by year: it is indexed to finished steel production and then discounted by a productivity gain held in J51. That means it responds to the scenario - more tonnes means more people - and it cannot drift away from the production forecast, which a typed series would.</t>
        </is>
      </c>
      <c r="K634" s="1233" t="inlineStr">
        <is>
          <t>Must reproduce roughly 6 lakh in FY2026A and grow more slowly than production</t>
        </is>
      </c>
      <c r="L634" s="1234" t="inlineStr">
        <is>
          <t>Medium for the FY2026A level, Low for the trajectory</t>
        </is>
      </c>
      <c r="M634" s="1233" t="inlineStr">
        <is>
          <t>Steel Supply Model</t>
        </is>
      </c>
      <c r="N634" s="1233" t="inlineStr">
        <is>
          <t>Annually</t>
        </is>
      </c>
      <c r="O634" s="1234" t="inlineStr">
        <is>
          <t>FY2026A</t>
        </is>
      </c>
      <c r="P634" s="1233" t="inlineStr">
        <is>
          <t>Populated by modelling rather than left blank; the basis is stated in the Assumption column so it can be replaced with a sourced series when one exists.</t>
        </is>
      </c>
    </row>
    <row r="635" ht="46" customHeight="1" s="632">
      <c r="A635" s="1232" t="inlineStr">
        <is>
          <t>ES16</t>
        </is>
      </c>
      <c r="B635" s="1235" t="inlineStr">
        <is>
          <t>Social metric - Community investment</t>
        </is>
      </c>
      <c r="C635" s="1258">
        <f>'ESG Model'!I55</f>
        <v/>
      </c>
      <c r="D635" s="1236" t="inlineStr">
        <is>
          <t>Rs cr</t>
        </is>
      </c>
      <c r="E635" s="1235" t="inlineStr">
        <is>
          <t>Statutory CSR rate in J55 applied to profit after tax, built as EBITDA less depreciation, less tax</t>
        </is>
      </c>
      <c r="F635" s="1235" t="inlineStr">
        <is>
          <t>'=$J$55*('EBITDA Model'!C103-'Cash Flow Model'!C99)*(1-'Cash Flow Model'!C101)</t>
        </is>
      </c>
      <c r="G635" s="1235" t="inlineStr">
        <is>
          <t>Companies Act 2013 section 135 - statutory 2% of average net profit</t>
        </is>
      </c>
      <c r="H635" s="1235" t="inlineStr">
        <is>
          <t>Company annual reports disclose actual CSR spend against the obligation</t>
        </is>
      </c>
      <c r="I635" s="1235" t="inlineStr">
        <is>
          <t>Community investment modelled at 2% of profit after tax, which is the rate mandated by section 135 of the Companies Act 2013 for companies above the specified thresholds. This is the one social metric in the block with a statutory basis rather than an estimated one, which is why it is modelled as a live formula off the profit line instead of being entered as a level.</t>
        </is>
      </c>
      <c r="J635" s="1235" t="inlineStr">
        <is>
          <t>The only social line in the block with a statutory basis. Corporate social responsibility spend is 2% of average net profit under section 135 of the Companies Act, so this is modelled as a live formula off the profit line rather than entered as a level - it moves with earnings, and in a Bear Case it falls, which is exactly the real-world behaviour.</t>
        </is>
      </c>
      <c r="K635" s="1235" t="inlineStr">
        <is>
          <t>Moves with the profit line, so it must fall in the Bear and Stress cases</t>
        </is>
      </c>
      <c r="L635" s="1236" t="inlineStr">
        <is>
          <t>High for the rate, Medium for the profit base it is applied to</t>
        </is>
      </c>
      <c r="M635" s="1235" t="inlineStr">
        <is>
          <t>EBITDA Model, Cash Flow Model</t>
        </is>
      </c>
      <c r="N635" s="1235" t="inlineStr">
        <is>
          <t>Annually</t>
        </is>
      </c>
      <c r="O635" s="1236" t="inlineStr">
        <is>
          <t>FY2026A</t>
        </is>
      </c>
      <c r="P635" s="1235" t="inlineStr">
        <is>
          <t>Populated by modelling rather than left blank; the basis is stated in the Assumption column so it can be replaced with a sourced series when one exists.</t>
        </is>
      </c>
    </row>
    <row r="636" ht="46" customHeight="1" s="632">
      <c r="A636" s="1232" t="inlineStr">
        <is>
          <t>ES17</t>
        </is>
      </c>
      <c r="B636" s="1233" t="inlineStr">
        <is>
          <t>Governance metric - Independent Directors (%)</t>
        </is>
      </c>
      <c r="C636" s="1252">
        <f>'ESG Model'!I60</f>
        <v/>
      </c>
      <c r="D636" s="1234" t="inlineStr">
        <is>
          <t>%</t>
        </is>
      </c>
      <c r="E636" s="1233" t="inlineStr">
        <is>
          <t>FY2026A anchor and FY2033E target entered; intervening years interpolated linearly</t>
        </is>
      </c>
      <c r="F636" s="1233" t="inlineStr">
        <is>
          <t>'=$B$60+($I$60-$B$60)*1/7</t>
        </is>
      </c>
      <c r="G636" s="1233" t="inlineStr">
        <is>
          <t>Modelled estimate - see the Assumption column</t>
        </is>
      </c>
      <c r="H636" s="1233" t="inlineStr">
        <is>
          <t>SEBI Listing Obligations and Disclosure Requirements set the floors on rows 60-61</t>
        </is>
      </c>
      <c r="I636" s="1233" t="inlineStr">
        <is>
          <t>Independent directors as a share of the board, modelled at 50% in FY2026A rising to 55%. SEBI's Listing Obligations and Disclosure Requirements mandate at least half the board be independent where the chair is an executive director, and one third otherwise, so 50% is effectively the regulatory floor for the listed majors. This line is close to sourced: it is a compliance level, not a judgement.</t>
        </is>
      </c>
      <c r="J636" s="1233" t="inlineStr">
        <is>
          <t>Modelled as an FY2026A anchor and an FY2033E target with a linear glide. The independent director and board diversity lines are close to sourced, because they are effectively SEBI compliance floors for the listed majors; the ESG-linked pay and compliance score lines are the weakest in the block and are labelled Low confidence.</t>
        </is>
      </c>
      <c r="K636" s="1233" t="inlineStr">
        <is>
          <t>Feeds the governance pillar score on row 71</t>
        </is>
      </c>
      <c r="L636" s="1234" t="inlineStr">
        <is>
          <t>Medium for rows 60-61 (regulatory floors), Low for rows 62-63</t>
        </is>
      </c>
      <c r="M636" s="1233" t="inlineStr">
        <is>
          <t>This sheet</t>
        </is>
      </c>
      <c r="N636" s="1233" t="inlineStr">
        <is>
          <t>Annually, on each annual report</t>
        </is>
      </c>
      <c r="O636" s="1234" t="inlineStr">
        <is>
          <t>FY2026A</t>
        </is>
      </c>
      <c r="P636" s="1233" t="inlineStr">
        <is>
          <t>Populated by modelling rather than left blank; the basis is stated in the Assumption column so it can be replaced with a sourced series when one exists.</t>
        </is>
      </c>
    </row>
    <row r="637" ht="46" customHeight="1" s="632">
      <c r="A637" s="1232" t="inlineStr">
        <is>
          <t>ES18</t>
        </is>
      </c>
      <c r="B637" s="1235" t="inlineStr">
        <is>
          <t>Governance metric - Board Diversity (%)</t>
        </is>
      </c>
      <c r="C637" s="1251">
        <f>'ESG Model'!I61</f>
        <v/>
      </c>
      <c r="D637" s="1236" t="inlineStr">
        <is>
          <t>%</t>
        </is>
      </c>
      <c r="E637" s="1235" t="inlineStr">
        <is>
          <t>FY2026A anchor and FY2033E target entered; intervening years interpolated linearly</t>
        </is>
      </c>
      <c r="F637" s="1235" t="inlineStr">
        <is>
          <t>'=$B$61+($I$61-$B$61)*1/7</t>
        </is>
      </c>
      <c r="G637" s="1235" t="inlineStr">
        <is>
          <t>Modelled estimate - see the Assumption column</t>
        </is>
      </c>
      <c r="H637" s="1235" t="inlineStr">
        <is>
          <t>SEBI Listing Obligations and Disclosure Requirements set the floors on rows 60-61</t>
        </is>
      </c>
      <c r="I637" s="1235" t="inlineStr">
        <is>
          <t>Women on the board, modelled from 18% to 25%. Listing rules require at least one woman director and at least one independent woman director on the top 1,000 listed companies, which puts a floor near 10% on a ten-person board; the majors sit above it.</t>
        </is>
      </c>
      <c r="J637" s="1235" t="inlineStr">
        <is>
          <t>Modelled as an FY2026A anchor and an FY2033E target with a linear glide. The independent director and board diversity lines are close to sourced, because they are effectively SEBI compliance floors for the listed majors; the ESG-linked pay and compliance score lines are the weakest in the block and are labelled Low confidence.</t>
        </is>
      </c>
      <c r="K637" s="1235" t="inlineStr">
        <is>
          <t>Feeds the governance pillar score on row 71</t>
        </is>
      </c>
      <c r="L637" s="1236" t="inlineStr">
        <is>
          <t>Medium for rows 60-61 (regulatory floors), Low for rows 62-63</t>
        </is>
      </c>
      <c r="M637" s="1235" t="inlineStr">
        <is>
          <t>This sheet</t>
        </is>
      </c>
      <c r="N637" s="1235" t="inlineStr">
        <is>
          <t>Annually, on each annual report</t>
        </is>
      </c>
      <c r="O637" s="1236" t="inlineStr">
        <is>
          <t>FY2026A</t>
        </is>
      </c>
      <c r="P637" s="1235" t="inlineStr">
        <is>
          <t>Populated by modelling rather than left blank; the basis is stated in the Assumption column so it can be replaced with a sourced series when one exists.</t>
        </is>
      </c>
    </row>
    <row r="638" ht="46" customHeight="1" s="632">
      <c r="A638" s="1232" t="inlineStr">
        <is>
          <t>ES19</t>
        </is>
      </c>
      <c r="B638" s="1233" t="inlineStr">
        <is>
          <t>Governance metric - ESG-linked Compensation (%)</t>
        </is>
      </c>
      <c r="C638" s="1252">
        <f>'ESG Model'!I62</f>
        <v/>
      </c>
      <c r="D638" s="1234" t="inlineStr">
        <is>
          <t>%</t>
        </is>
      </c>
      <c r="E638" s="1233" t="inlineStr">
        <is>
          <t>FY2026A anchor and FY2033E target entered; intervening years interpolated linearly</t>
        </is>
      </c>
      <c r="F638" s="1233" t="inlineStr">
        <is>
          <t>'=$B$62+($I$62-$B$62)*1/7</t>
        </is>
      </c>
      <c r="G638" s="1233" t="inlineStr">
        <is>
          <t>Modelled estimate - see the Assumption column</t>
        </is>
      </c>
      <c r="H638" s="1233" t="inlineStr">
        <is>
          <t>SEBI Listing Obligations and Disclosure Requirements set the floors on rows 60-61</t>
        </is>
      </c>
      <c r="I638" s="1233" t="inlineStr">
        <is>
          <t>Share of executive variable pay linked to ESG outcomes, modelled from 20% to 45%. Several Indian majors have begun disclosing sustainability-linked components in managing-director remuneration. This is the weakest-evidenced line in the block and is labelled Low confidence accordingly.</t>
        </is>
      </c>
      <c r="J638" s="1233" t="inlineStr">
        <is>
          <t>Modelled as an FY2026A anchor and an FY2033E target with a linear glide. The independent director and board diversity lines are close to sourced, because they are effectively SEBI compliance floors for the listed majors; the ESG-linked pay and compliance score lines are the weakest in the block and are labelled Low confidence.</t>
        </is>
      </c>
      <c r="K638" s="1233" t="inlineStr">
        <is>
          <t>Feeds the governance pillar score on row 71</t>
        </is>
      </c>
      <c r="L638" s="1234" t="inlineStr">
        <is>
          <t>Medium for rows 60-61 (regulatory floors), Low for rows 62-63</t>
        </is>
      </c>
      <c r="M638" s="1233" t="inlineStr">
        <is>
          <t>This sheet</t>
        </is>
      </c>
      <c r="N638" s="1233" t="inlineStr">
        <is>
          <t>Annually, on each annual report</t>
        </is>
      </c>
      <c r="O638" s="1234" t="inlineStr">
        <is>
          <t>FY2026A</t>
        </is>
      </c>
      <c r="P638" s="1233" t="inlineStr">
        <is>
          <t>Populated by modelling rather than left blank; the basis is stated in the Assumption column so it can be replaced with a sourced series when one exists.</t>
        </is>
      </c>
    </row>
    <row r="639" ht="46" customHeight="1" s="632">
      <c r="A639" s="1232" t="inlineStr">
        <is>
          <t>ES20</t>
        </is>
      </c>
      <c r="B639" s="1235" t="inlineStr">
        <is>
          <t>Governance metric - Compliance Score</t>
        </is>
      </c>
      <c r="C639" s="1247">
        <f>'ESG Model'!I63</f>
        <v/>
      </c>
      <c r="D639" s="1236" t="inlineStr">
        <is>
          <t>%</t>
        </is>
      </c>
      <c r="E639" s="1235" t="inlineStr">
        <is>
          <t>FY2026A anchor and FY2033E target entered; intervening years interpolated linearly</t>
        </is>
      </c>
      <c r="F639" s="1235" t="inlineStr">
        <is>
          <t>'=$B$63+($I$63-$B$63)*1/7</t>
        </is>
      </c>
      <c r="G639" s="1235" t="inlineStr">
        <is>
          <t>Modelled estimate - see the Assumption column</t>
        </is>
      </c>
      <c r="H639" s="1235" t="inlineStr">
        <is>
          <t>SEBI Listing Obligations and Disclosure Requirements set the floors on rows 60-61</t>
        </is>
      </c>
      <c r="I639" s="1235" t="inlineStr">
        <is>
          <t>A composite compliance score out of 100, modelled from 92 to 96. It stands in for the absence of material non-compliance, penalty and show-cause disclosures in BRSR section A. It is a modelling construct, not a published index, and it is the reason the governance pillar score carries a Low confidence label.</t>
        </is>
      </c>
      <c r="J639" s="1235" t="inlineStr">
        <is>
          <t>Modelled as an FY2026A anchor and an FY2033E target with a linear glide. The independent director and board diversity lines are close to sourced, because they are effectively SEBI compliance floors for the listed majors; the ESG-linked pay and compliance score lines are the weakest in the block and are labelled Low confidence.</t>
        </is>
      </c>
      <c r="K639" s="1235" t="inlineStr">
        <is>
          <t>Feeds the governance pillar score on row 71</t>
        </is>
      </c>
      <c r="L639" s="1236" t="inlineStr">
        <is>
          <t>Medium for rows 60-61 (regulatory floors), Low for rows 62-63</t>
        </is>
      </c>
      <c r="M639" s="1235" t="inlineStr">
        <is>
          <t>This sheet</t>
        </is>
      </c>
      <c r="N639" s="1235" t="inlineStr">
        <is>
          <t>Annually, on each annual report</t>
        </is>
      </c>
      <c r="O639" s="1236" t="inlineStr">
        <is>
          <t>FY2026A</t>
        </is>
      </c>
      <c r="P639" s="1235" t="inlineStr">
        <is>
          <t>Populated by modelling rather than left blank; the basis is stated in the Assumption column so it can be replaced with a sourced series when one exists.</t>
        </is>
      </c>
    </row>
    <row r="640" ht="46" customHeight="1" s="632">
      <c r="A640" s="1232" t="inlineStr">
        <is>
          <t>ES21</t>
        </is>
      </c>
      <c r="B640" s="1233" t="inlineStr">
        <is>
          <t>Governance score</t>
        </is>
      </c>
      <c r="C640" s="1250">
        <f>'ESG Model'!I64</f>
        <v/>
      </c>
      <c r="D640" s="1234" t="inlineStr">
        <is>
          <t>score 0-100</t>
        </is>
      </c>
      <c r="E640" s="1233" t="inlineStr">
        <is>
          <t>Four normalised governance lines, 25 points each</t>
        </is>
      </c>
      <c r="F640" s="1233" t="inlineStr">
        <is>
          <t>'=(B60/60%*25+B61/30%*25+B62/50%*25+B63/100*25)</t>
        </is>
      </c>
      <c r="G640" s="1233" t="inlineStr">
        <is>
          <t>Computed from the governance metrics above</t>
        </is>
      </c>
      <c r="H640" s="1233" t="inlineStr">
        <is>
          <t>SEBI LODR sets the regulatory floors the benchmarks are chosen around</t>
        </is>
      </c>
      <c r="I640" s="1233" t="inlineStr">
        <is>
          <t>A composite of the four governance lines above, each normalised against a stated benchmark and contributing 25 points: independent directors against 60%, board diversity against 30%, ESG-linked pay against 50% and the compliance score against 100.</t>
        </is>
      </c>
      <c r="J640" s="1233" t="inlineStr">
        <is>
          <t>Row 64 was blank even though the four rows it should aggregate were also blank - a score with no inputs. It is now an explicit formula whose benchmarks are visible in the formula itself, so a reader can see precisely what "good" was taken to mean.</t>
        </is>
      </c>
      <c r="K640" s="1233" t="inlineStr">
        <is>
          <t>Feeds the governance pillar score on row 71</t>
        </is>
      </c>
      <c r="L640" s="1234" t="inlineStr">
        <is>
          <t>Low - the benchmarks are a framework</t>
        </is>
      </c>
      <c r="M640" s="1233" t="inlineStr">
        <is>
          <t>This sheet</t>
        </is>
      </c>
      <c r="N640" s="1233" t="inlineStr">
        <is>
          <t>Annually</t>
        </is>
      </c>
      <c r="O640" s="1234" t="inlineStr">
        <is>
          <t>FY2026A</t>
        </is>
      </c>
      <c r="P640" s="1233" t="inlineStr">
        <is>
          <t>Populated by modelling rather than left blank; the basis is stated in the Assumption column so it can be replaced with a sourced series when one exists.</t>
        </is>
      </c>
    </row>
    <row r="641" ht="46" customHeight="1" s="632">
      <c r="A641" s="1232" t="inlineStr">
        <is>
          <t>ES22</t>
        </is>
      </c>
      <c r="B641" s="1235" t="inlineStr">
        <is>
          <t>Social and governance pillar scores</t>
        </is>
      </c>
      <c r="C641" s="1249">
        <f>'ESG Model'!C72</f>
        <v/>
      </c>
      <c r="D641" s="1236" t="inlineStr">
        <is>
          <t>score 0-100</t>
        </is>
      </c>
      <c r="E641" s="1235" t="inlineStr">
        <is>
          <t>Normalised composites of the metrics above, clamped to 0-100 with MIN/MAX</t>
        </is>
      </c>
      <c r="F641" s="1235" t="inlineStr">
        <is>
          <t>'=(MIN(100,MAX(0,(0.5-$B$52)/0.4*100))+...)/3</t>
        </is>
      </c>
      <c r="G641" s="1235" t="inlineStr">
        <is>
          <t>Computed from the modelled social and governance metrics on this sheet</t>
        </is>
      </c>
      <c r="H641" s="1235" t="inlineStr">
        <is>
          <t>Green steel taxonomy notified 23-Dec-2024 anchors the environmental pillar</t>
        </is>
      </c>
      <c r="I641" s="1235" t="inlineStr">
        <is>
          <t>The social pillar is an equally weighted composite of three normalised FY2026A metrics: LTIFR scored inversely on a 0.10 to 0.50 band, female participation against a 25% benchmark, and training hours against a 50-hour benchmark. The governance pillar reads the composite governance score on row 64 directly.</t>
        </is>
      </c>
      <c r="J641" s="1235" t="inlineStr">
        <is>
          <t>Both pillars were blank, which meant the overall ESG score on row 72 could not be struck at all even though its weights - 0.50 environmental, 0.25 social, 0.25 governance - sum to 1.00. Row 72 is now a plain SUMPRODUCT with no COUNT guard, because all three pillars resolve. The environmental pillar still scores zero, and that remains the important answer: at 2.55 tCO2e/tfs the Indian average sits above the 2.2 threshold at which steel stops qualifying as green under the taxonomy notified on 23-Dec-2024. A high social and governance score cannot rescue it, because environmental carries half the weight - which is the disclosure an investment committee needs.</t>
        </is>
      </c>
      <c r="K641" s="1235" t="inlineStr">
        <is>
          <t>Weights in B69:B71 sum to 1.00; row 72 is their SUMPRODUCT with the three pillar scores</t>
        </is>
      </c>
      <c r="L641" s="1236" t="inlineStr">
        <is>
          <t>Low - the underlying metrics are modelled and the benchmarks are a framework</t>
        </is>
      </c>
      <c r="M641" s="1235" t="inlineStr">
        <is>
          <t>This sheet</t>
        </is>
      </c>
      <c r="N641" s="1235" t="inlineStr">
        <is>
          <t>Annually</t>
        </is>
      </c>
      <c r="O641" s="1236" t="inlineStr">
        <is>
          <t>FY2026A</t>
        </is>
      </c>
      <c r="P641" s="1235" t="inlineStr">
        <is>
          <t>Populated by modelling rather than left blank; the basis is stated in the Assumption column so it can be replaced with a sourced series when one exists.</t>
        </is>
      </c>
    </row>
    <row r="642" ht="46" customHeight="1" s="632">
      <c r="A642" s="1232" t="inlineStr">
        <is>
          <t>ES23</t>
        </is>
      </c>
      <c r="B642" s="1233" t="inlineStr">
        <is>
          <t>Environmental pillar score</t>
        </is>
      </c>
      <c r="C642" s="1250">
        <f>'ESG Model'!C69</f>
        <v/>
      </c>
      <c r="D642" s="1234" t="inlineStr">
        <is>
          <t>score 0-100</t>
        </is>
      </c>
      <c r="E642" s="1233" t="inlineStr">
        <is>
          <t>Computed in-cell: the position of Indian average emission intensity between the "not green" threshold and the 5-star threshold of the notified taxonomy, clamped to 0-100</t>
        </is>
      </c>
      <c r="F642" s="1233" t="inlineStr">
        <is>
          <t>'=MEDIAN(0,100,($C$99-$C$102)/($C$99-$C$96)*100)</t>
        </is>
      </c>
      <c r="G642" s="1233" t="inlineStr">
        <is>
          <t>Green steel taxonomy thresholds notified 23-Dec-2024 - these ARE sourced (Master Industry Database policy record P15)</t>
        </is>
      </c>
      <c r="H642" s="1233" t="inlineStr">
        <is>
          <t>Research block rows 96 to 99 and row 102</t>
        </is>
      </c>
      <c r="I642" s="1233" t="inlineStr">
        <is>
          <t>Scored against the Government of India taxonomy rather than against an external ESG rating methodology.</t>
        </is>
      </c>
      <c r="J642" s="1233" t="inlineStr">
        <is>
          <t>The score is ZERO, and that is the correct and important answer: at 2.55 tCO2e/tfs the Indian average is above the 2.2 threshold at which steel ceases to qualify as green at all. Using the Government's own notified taxonomy as the yardstick is far more defendable than an agency score, because the thresholds are law. For reference, Tata Steel's 0.75 Mtpa Ludhiana scrap EAF is the kind of asset that clears the 5-star threshold of 1.6.</t>
        </is>
      </c>
      <c r="K642" s="1233" t="inlineStr">
        <is>
          <t>The overall score on row 72 stays blank until the social and governance pillars are entered, which is deliberate - a partial weighted score would be misleading</t>
        </is>
      </c>
      <c r="L642" s="1234" t="inlineStr">
        <is>
          <t>Medium for the method, Low for the intensity input</t>
        </is>
      </c>
      <c r="M642" s="1233" t="inlineStr">
        <is>
          <t>This sheet</t>
        </is>
      </c>
      <c r="N642" s="1233" t="inlineStr">
        <is>
          <t>On any taxonomy amendment</t>
        </is>
      </c>
      <c r="O642" s="1234" t="inlineStr">
        <is>
          <t>23-Dec-2024</t>
        </is>
      </c>
      <c r="P642" s="1233" t="inlineStr">
        <is>
          <t>Was blank.</t>
        </is>
      </c>
    </row>
    <row r="643" ht="46" customHeight="1" s="632">
      <c r="A643" s="1232" t="inlineStr">
        <is>
          <t>ES24</t>
        </is>
      </c>
      <c r="B643" s="1235" t="inlineStr">
        <is>
          <t>ESG financial impact</t>
        </is>
      </c>
      <c r="C643" s="1258">
        <f>'ESG Model'!H81</f>
        <v/>
      </c>
      <c r="D643" s="1236" t="inlineStr">
        <is>
          <t>Rs cr</t>
        </is>
      </c>
      <c r="E643" s="1235" t="inlineStr">
        <is>
          <t>Computed in-cell: the carbon cost flows one-for-one to EBITDA and free cash flow, and is capitalised at the scenario exit multiple to give the valuation impact</t>
        </is>
      </c>
      <c r="F643" s="1235" t="inlineStr">
        <is>
          <t>'=-D112*'Model Assumptions'!E$26</t>
        </is>
      </c>
      <c r="G643" s="1235" t="inlineStr">
        <is>
          <t>CBAM calculation in the research block; exit multiple driver D19</t>
        </is>
      </c>
      <c r="H643" s="1235" t="inlineStr">
        <is>
          <t>23 Comparable Valuation for the enterprise value the impact is measured against</t>
        </is>
      </c>
      <c r="I643" s="1235" t="inlineStr">
        <is>
          <t>The carbon cost is treated as a permanent operating cost, so capitalising it at the exit multiple is the correct valuation treatment. ESG CAPEX IS NOT INCLUDED because it is not known.</t>
        </is>
      </c>
      <c r="J643" s="1235" t="inlineStr">
        <is>
          <t>THE VALUATION IMPACT IS THEREFORE UNDERSTATED, and knowingly so. It captures the carbon cost but not the capital required to avoid it, which is the larger number: a scrap-EAF or hydrogen-ready route change costs materially more per tonne than Rs 55,000. The direction of the omission is disclosed here rather than buried.</t>
        </is>
      </c>
      <c r="K643" s="1235" t="inlineStr">
        <is>
          <t>EBITDA impact must equal the negative of the CBAM cost; valuation impact must equal that multiplied by the exit multiple in force for the selected scenario</t>
        </is>
      </c>
      <c r="L643" s="1236" t="inlineStr">
        <is>
          <t>Low</t>
        </is>
      </c>
      <c r="M643" s="1235" t="inlineStr">
        <is>
          <t>Model Assumptions, Comparable Valuation</t>
        </is>
      </c>
      <c r="N643" s="1235" t="inlineStr">
        <is>
          <t>Quarterly</t>
        </is>
      </c>
      <c r="O643" s="1236" t="inlineStr">
        <is>
          <t>n/a</t>
        </is>
      </c>
      <c r="P643" s="1235" t="inlineStr">
        <is>
          <t>Rows 78 to 81 were blank; ESG capex remains blank by necessity.</t>
        </is>
      </c>
    </row>
    <row r="644" ht="46" customHeight="1" s="632">
      <c r="A644" s="1232" t="inlineStr">
        <is>
          <t>ES25</t>
        </is>
      </c>
      <c r="B644" s="1233" t="inlineStr">
        <is>
          <t>ESG capex by scenario, FY2033E</t>
        </is>
      </c>
      <c r="C644" s="1257">
        <f>'ESG Model'!C86</f>
        <v/>
      </c>
      <c r="D644" s="1234" t="inlineStr">
        <is>
          <t>Rs cr</t>
        </is>
      </c>
      <c r="E644" s="1233" t="inlineStr">
        <is>
          <t>Scenario engine total capex for FY2033E multiplied by the FY2033E ESG capex share (H47)</t>
        </is>
      </c>
      <c r="F644" s="1233" t="inlineStr">
        <is>
          <t>'='Scenario Manager'!$J$&lt;engine capex&gt;*$H$47</t>
        </is>
      </c>
      <c r="G644" s="1233" t="inlineStr">
        <is>
          <t>Modelled: share of the capex the scenario engine forecasts</t>
        </is>
      </c>
      <c r="H644" s="1233" t="inlineStr">
        <is>
          <t>Consistent with the live ESG capex block on rows 40 to 47</t>
        </is>
      </c>
      <c r="I644" s="1233" t="inlineStr">
        <is>
          <t>ESG and decarbonisation capital expenditure modelled as a share of total industry capex rising from 4% in FY2027E to 12% by FY2032E and held there. No Indian producer publishes a dated, costed decarbonisation schedule to FY2033 - which is why this block was previously left blank - so the only defensible construction is to size it against the capex the model already forecasts rather than to invent an absolute rupee schedule. Expressing it as a SHARE has a second advantage: it scales automatically with the scenario, so a Bear Case that builds less capacity also spends less on decarbonisation, which is what actually happens. The share rises because the EU CBAM definitive regime, the notified green steel taxonomy and state pollution-control conditions on new capacity all bite progressively across the horizon.</t>
        </is>
      </c>
      <c r="J644" s="1233" t="inlineStr">
        <is>
          <t>The scenario ESG capex column was blank. It is now the scenario engine total capex for FY2033E multiplied by the same ESG share used on the live sheet, so the four scenarios and the live model are struck on one assumption. This is the payoff from modelling ESG capex as a share rather than as a schedule: the Bear Case, which builds less capacity, also spends less on decarbonisation, and no separate scenario assumption had to be invented to make that happen.</t>
        </is>
      </c>
      <c r="K644" s="1233" t="inlineStr">
        <is>
          <t>The base-case column must equal the live FY2033E ESG capex total in H46</t>
        </is>
      </c>
      <c r="L644" s="1234" t="inlineStr">
        <is>
          <t>Low</t>
        </is>
      </c>
      <c r="M644" s="1233" t="inlineStr">
        <is>
          <t>Scenario Manager</t>
        </is>
      </c>
      <c r="N644" s="1233" t="inlineStr">
        <is>
          <t>Live</t>
        </is>
      </c>
      <c r="O644" s="1234" t="inlineStr">
        <is>
          <t>FY2026A</t>
        </is>
      </c>
      <c r="P644" s="1233" t="inlineStr">
        <is>
          <t>Populated by modelling rather than left blank; the basis is stated in the Assumption column so it can be replaced with a sourced series when one exists.</t>
        </is>
      </c>
    </row>
    <row r="645" ht="46" customHeight="1" s="632">
      <c r="A645" s="1232" t="inlineStr">
        <is>
          <t>ES26</t>
        </is>
      </c>
      <c r="B645" s="1235" t="inlineStr">
        <is>
          <t>Four-scenario CBAM impact, FY2033E</t>
        </is>
      </c>
      <c r="C645" s="1258">
        <f>'ESG Model'!D86</f>
        <v/>
      </c>
      <c r="D645" s="1236" t="inlineStr">
        <is>
          <t>Rs cr</t>
        </is>
      </c>
      <c r="E645" s="1235" t="inlineStr">
        <is>
          <t>Computed in-cell on the scenario engine export volume, at the same unsourced carbon price and intensity inputs</t>
        </is>
      </c>
      <c r="F645" s="1235" t="inlineStr">
        <is>
          <t>'=-'Scenario Manager'!$J$&lt;exports&gt;*$J$106*$J$111*$J$104*$J$105/10</t>
        </is>
      </c>
      <c r="G645" s="1235" t="inlineStr">
        <is>
          <t>Export volumes from the scenario engine; all price and intensity inputs are USER INPUTS</t>
        </is>
      </c>
      <c r="H645" s="1235" t="inlineStr">
        <is>
          <t>19 Trade Model scenario trade position</t>
        </is>
      </c>
      <c r="I645" s="1235" t="inlineStr">
        <is>
          <t>The carbon PRICE is identical in all four scenarios, because it is an unsourced user input and the model does not flex unsourced parameters to manufacture a scenario.</t>
        </is>
      </c>
      <c r="J645" s="1235" t="inlineStr">
        <is>
          <t>The CBAM cost is therefore scenario-sensitive only through EXPORT VOLUME, which is the honest result: the Bear Case pushes more tonnes offshore and so carries the highest carbon cost, at roughly Rs 2,600 crore against Rs 1,400 crore in the base case. A user who wants to stress the carbon price should edit research block row 104, and every figure on this sheet and its valuation impact will move together.</t>
        </is>
      </c>
      <c r="K645" s="1235" t="inlineStr">
        <is>
          <t>Export volumes must match 19 Trade Model row 62; the base-case column must reproduce the live FY2033E CBAM cost</t>
        </is>
      </c>
      <c r="L645" s="1236" t="inlineStr">
        <is>
          <t>Low</t>
        </is>
      </c>
      <c r="M645" s="1235" t="inlineStr">
        <is>
          <t>Scenario Manager, Trade Model</t>
        </is>
      </c>
      <c r="N645" s="1235" t="inlineStr">
        <is>
          <t>Live</t>
        </is>
      </c>
      <c r="O645" s="1236" t="inlineStr">
        <is>
          <t>n/a</t>
        </is>
      </c>
      <c r="P645" s="1235" t="inlineStr">
        <is>
          <t>Was blank. Identical carbon prices across scenarios are deliberate, not a copy error.</t>
        </is>
      </c>
    </row>
    <row r="646" ht="46" customHeight="1" s="632">
      <c r="A646" s="1232" t="inlineStr">
        <is>
          <t>ES27</t>
        </is>
      </c>
      <c r="B646" s="1233" t="inlineStr">
        <is>
          <t>5-star green steel</t>
        </is>
      </c>
      <c r="C646" s="1242">
        <f>'ESG Model'!C96</f>
        <v/>
      </c>
      <c r="D646" s="1234" t="inlineStr">
        <is>
          <t>tCO2e/tfs</t>
        </is>
      </c>
      <c r="E646" s="1233" t="inlineStr">
        <is>
          <t>Sourced actual (hard value)</t>
        </is>
      </c>
      <c r="F646" s="1233" t="inlineStr">
        <is>
          <t>(constant) 1.6</t>
        </is>
      </c>
      <c r="G646" s="1233" t="inlineStr">
        <is>
          <t>Master DB P15</t>
        </is>
      </c>
      <c r="H646" s="1233" t="inlineStr">
        <is>
          <t>26 Sources register; Master Industry Database source log (47 cited sources)</t>
        </is>
      </c>
      <c r="I646" s="1233" t="inlineStr">
        <is>
          <t>Below 1.6 tCO2e/tfs.</t>
        </is>
      </c>
      <c r="J646" s="1233" t="inlineStr">
        <is>
          <t>Tata Steel's 0.75 Mtpa Ludhiana scrap EAF, commissioned Mar-2026, is designed for under 0.3 tCO2e/t and therefore qualifies.</t>
        </is>
      </c>
      <c r="K646" s="1233" t="inlineStr">
        <is>
          <t>Reconciled by 25 Audit Checks</t>
        </is>
      </c>
      <c r="L646" s="1234" t="inlineStr">
        <is>
          <t>High</t>
        </is>
      </c>
      <c r="M646" s="1233" t="inlineStr">
        <is>
          <t>This sheet</t>
        </is>
      </c>
      <c r="N646" s="1233" t="inlineStr">
        <is>
          <t>Quarterly, on each results season</t>
        </is>
      </c>
      <c r="O646" s="1234" t="inlineStr">
        <is>
          <t>FY2026A</t>
        </is>
      </c>
      <c r="P646" s="1233" t="inlineStr">
        <is>
          <t>Research block row 96. Value column is live and re-states on a scenario change.</t>
        </is>
      </c>
    </row>
    <row r="647" ht="46" customHeight="1" s="632">
      <c r="A647" s="1232" t="inlineStr">
        <is>
          <t>ES28</t>
        </is>
      </c>
      <c r="B647" s="1235" t="inlineStr">
        <is>
          <t>4-star green steel</t>
        </is>
      </c>
      <c r="C647" s="1241">
        <f>'ESG Model'!C97</f>
        <v/>
      </c>
      <c r="D647" s="1236" t="inlineStr">
        <is>
          <t>tCO2e/tfs</t>
        </is>
      </c>
      <c r="E647" s="1235" t="inlineStr">
        <is>
          <t>Sourced actual (hard value)</t>
        </is>
      </c>
      <c r="F647" s="1235" t="inlineStr">
        <is>
          <t>(constant) 2</t>
        </is>
      </c>
      <c r="G647" s="1235" t="inlineStr">
        <is>
          <t>Master DB P15</t>
        </is>
      </c>
      <c r="H647" s="1235" t="inlineStr">
        <is>
          <t>26 Sources register; Master Industry Database source log (47 cited sources)</t>
        </is>
      </c>
      <c r="I647" s="1235" t="inlineStr">
        <is>
          <t>1.6 to 2.0 tCO2e/tfs.</t>
        </is>
      </c>
      <c r="J647" s="1235" t="n"/>
      <c r="K647" s="1235" t="inlineStr">
        <is>
          <t>Reconciled by 25 Audit Checks</t>
        </is>
      </c>
      <c r="L647" s="1236" t="inlineStr">
        <is>
          <t>High</t>
        </is>
      </c>
      <c r="M647" s="1235" t="inlineStr">
        <is>
          <t>This sheet</t>
        </is>
      </c>
      <c r="N647" s="1235" t="inlineStr">
        <is>
          <t>Quarterly, on each results season</t>
        </is>
      </c>
      <c r="O647" s="1236" t="inlineStr">
        <is>
          <t>FY2026A</t>
        </is>
      </c>
      <c r="P647" s="1235" t="inlineStr">
        <is>
          <t>Research block row 97. Value column is live and re-states on a scenario change.</t>
        </is>
      </c>
    </row>
    <row r="648" ht="46" customHeight="1" s="632">
      <c r="A648" s="1232" t="inlineStr">
        <is>
          <t>ES29</t>
        </is>
      </c>
      <c r="B648" s="1233" t="inlineStr">
        <is>
          <t>3-star green steel</t>
        </is>
      </c>
      <c r="C648" s="1242">
        <f>'ESG Model'!C98</f>
        <v/>
      </c>
      <c r="D648" s="1234" t="inlineStr">
        <is>
          <t>tCO2e/tfs</t>
        </is>
      </c>
      <c r="E648" s="1233" t="inlineStr">
        <is>
          <t>Sourced actual (hard value)</t>
        </is>
      </c>
      <c r="F648" s="1233" t="inlineStr">
        <is>
          <t>(constant) 2.2</t>
        </is>
      </c>
      <c r="G648" s="1233" t="inlineStr">
        <is>
          <t>Master DB P15</t>
        </is>
      </c>
      <c r="H648" s="1233" t="inlineStr">
        <is>
          <t>26 Sources register; Master Industry Database source log (47 cited sources)</t>
        </is>
      </c>
      <c r="I648" s="1233" t="inlineStr">
        <is>
          <t>2.0 to 2.2 tCO2e/tfs.</t>
        </is>
      </c>
      <c r="J648" s="1233" t="inlineStr">
        <is>
          <t>This is also the headline definition of green steel.</t>
        </is>
      </c>
      <c r="K648" s="1233" t="inlineStr">
        <is>
          <t>Reconciled by 25 Audit Checks</t>
        </is>
      </c>
      <c r="L648" s="1234" t="inlineStr">
        <is>
          <t>High</t>
        </is>
      </c>
      <c r="M648" s="1233" t="inlineStr">
        <is>
          <t>This sheet</t>
        </is>
      </c>
      <c r="N648" s="1233" t="inlineStr">
        <is>
          <t>Quarterly, on each results season</t>
        </is>
      </c>
      <c r="O648" s="1234" t="inlineStr">
        <is>
          <t>FY2026A</t>
        </is>
      </c>
      <c r="P648" s="1233" t="inlineStr">
        <is>
          <t>Research block row 98. Value column is live and re-states on a scenario change.</t>
        </is>
      </c>
    </row>
    <row r="649" ht="46" customHeight="1" s="632">
      <c r="A649" s="1232" t="inlineStr">
        <is>
          <t>ES30</t>
        </is>
      </c>
      <c r="B649" s="1235" t="inlineStr">
        <is>
          <t>Not classified as green steel</t>
        </is>
      </c>
      <c r="C649" s="1241">
        <f>'ESG Model'!C99</f>
        <v/>
      </c>
      <c r="D649" s="1236" t="inlineStr">
        <is>
          <t>tCO2e/tfs</t>
        </is>
      </c>
      <c r="E649" s="1235" t="inlineStr">
        <is>
          <t>Sourced actual (hard value)</t>
        </is>
      </c>
      <c r="F649" s="1235" t="inlineStr">
        <is>
          <t>(constant) 2.2</t>
        </is>
      </c>
      <c r="G649" s="1235" t="inlineStr">
        <is>
          <t>Master DB P15</t>
        </is>
      </c>
      <c r="H649" s="1235" t="inlineStr">
        <is>
          <t>26 Sources register; Master Industry Database source log (47 cited sources)</t>
        </is>
      </c>
      <c r="I649" s="1235" t="inlineStr">
        <is>
          <t>Above 2.2 tCO2e/tfs.</t>
        </is>
      </c>
      <c r="J649" s="1235" t="inlineStr">
        <is>
          <t>Conventional Indian BF-BOF production sits well above this.</t>
        </is>
      </c>
      <c r="K649" s="1235" t="inlineStr">
        <is>
          <t>Reconciled by 25 Audit Checks</t>
        </is>
      </c>
      <c r="L649" s="1236" t="inlineStr">
        <is>
          <t>High</t>
        </is>
      </c>
      <c r="M649" s="1235" t="inlineStr">
        <is>
          <t>This sheet</t>
        </is>
      </c>
      <c r="N649" s="1235" t="inlineStr">
        <is>
          <t>Quarterly, on each results season</t>
        </is>
      </c>
      <c r="O649" s="1236" t="inlineStr">
        <is>
          <t>FY2026A</t>
        </is>
      </c>
      <c r="P649" s="1235" t="inlineStr">
        <is>
          <t>Research block row 99. Value column is live and re-states on a scenario change.</t>
        </is>
      </c>
    </row>
    <row r="650" ht="46" customHeight="1" s="632">
      <c r="A650" s="1232" t="inlineStr">
        <is>
          <t>ES31</t>
        </is>
      </c>
      <c r="B650" s="1233" t="inlineStr">
        <is>
          <t>Indian average emission intensity</t>
        </is>
      </c>
      <c r="C650" s="1242">
        <f>IF(ISNUMBER('ESG Model'!J102),'ESG Model'!J102,'ESG Model'!C102)</f>
        <v/>
      </c>
      <c r="D650" s="1234" t="inlineStr">
        <is>
          <t>tCO2e/tfs</t>
        </is>
      </c>
      <c r="E650" s="1233" t="inlineStr">
        <is>
          <t>Sourced actual (hard value)</t>
        </is>
      </c>
      <c r="F650" s="1233" t="inlineStr">
        <is>
          <t>(constant) 2.55</t>
        </is>
      </c>
      <c r="G650" s="1233" t="inlineStr">
        <is>
          <t>NOT SOURCED</t>
        </is>
      </c>
      <c r="H650" s="1233" t="inlineStr">
        <is>
          <t>26 Sources register; Master Industry Database source log (47 cited sources)</t>
        </is>
      </c>
      <c r="I650" s="1233" t="inlineStr">
        <is>
          <t>USER INPUT.</t>
        </is>
      </c>
      <c r="J650" s="1233" t="inlineStr">
        <is>
          <t>Not sourced in this research cycle. Indian BF-BOF is generally understood to sit well above the 2.2 threshold, and the database records no company-level emission intensity disclosure.</t>
        </is>
      </c>
      <c r="K650" s="1233" t="inlineStr">
        <is>
          <t>Replace with company Business Responsibility and Sustainability Report data.</t>
        </is>
      </c>
      <c r="L650" s="1234" t="inlineStr">
        <is>
          <t>Low</t>
        </is>
      </c>
      <c r="M650" s="1233" t="inlineStr">
        <is>
          <t>This sheet</t>
        </is>
      </c>
      <c r="N650" s="1233" t="inlineStr">
        <is>
          <t>Quarterly review; replace before transaction use</t>
        </is>
      </c>
      <c r="O650" s="1234" t="inlineStr">
        <is>
          <t>n/a</t>
        </is>
      </c>
      <c r="P650" s="1233" t="inlineStr">
        <is>
          <t>Research block row 102. Value column is live and re-states on a scenario change.</t>
        </is>
      </c>
    </row>
    <row r="651" ht="46" customHeight="1" s="632">
      <c r="A651" s="1232" t="inlineStr">
        <is>
          <t>ES32</t>
        </is>
      </c>
      <c r="B651" s="1235" t="inlineStr">
        <is>
          <t>EU benchmark emission intensity</t>
        </is>
      </c>
      <c r="C651" s="1241">
        <f>IF(ISNUMBER('ESG Model'!J103),'ESG Model'!J103,'ESG Model'!C103)</f>
        <v/>
      </c>
      <c r="D651" s="1236" t="inlineStr">
        <is>
          <t>tCO2e/tfs</t>
        </is>
      </c>
      <c r="E651" s="1235" t="inlineStr">
        <is>
          <t>Sourced actual (hard value)</t>
        </is>
      </c>
      <c r="F651" s="1235" t="inlineStr">
        <is>
          <t>(constant) 1.85</t>
        </is>
      </c>
      <c r="G651" s="1235" t="inlineStr">
        <is>
          <t>NOT SOURCED</t>
        </is>
      </c>
      <c r="H651" s="1235" t="inlineStr">
        <is>
          <t>26 Sources register; Master Industry Database source log (47 cited sources)</t>
        </is>
      </c>
      <c r="I651" s="1235" t="inlineStr">
        <is>
          <t>USER INPUT.</t>
        </is>
      </c>
      <c r="J651" s="1235" t="inlineStr">
        <is>
          <t>Not sourced.</t>
        </is>
      </c>
      <c r="K651" s="1235" t="inlineStr">
        <is>
          <t>Reconciled by 25 Audit Checks</t>
        </is>
      </c>
      <c r="L651" s="1236" t="inlineStr">
        <is>
          <t>Low</t>
        </is>
      </c>
      <c r="M651" s="1235" t="inlineStr">
        <is>
          <t>This sheet</t>
        </is>
      </c>
      <c r="N651" s="1235" t="inlineStr">
        <is>
          <t>Quarterly review; replace before transaction use</t>
        </is>
      </c>
      <c r="O651" s="1236" t="inlineStr">
        <is>
          <t>n/a</t>
        </is>
      </c>
      <c r="P651" s="1235" t="inlineStr">
        <is>
          <t>Research block row 103. Value column is live and re-states on a scenario change.</t>
        </is>
      </c>
    </row>
    <row r="652" ht="46" customHeight="1" s="632">
      <c r="A652" s="1232" t="inlineStr">
        <is>
          <t>ES33</t>
        </is>
      </c>
      <c r="B652" s="1233" t="inlineStr">
        <is>
          <t>EU carbon price</t>
        </is>
      </c>
      <c r="C652" s="1242">
        <f>IF(ISNUMBER('ESG Model'!J104),'ESG Model'!J104,'ESG Model'!C104)</f>
        <v/>
      </c>
      <c r="D652" s="1234" t="inlineStr">
        <is>
          <t>EUR/tCO2</t>
        </is>
      </c>
      <c r="E652" s="1233" t="inlineStr">
        <is>
          <t>Sourced actual (hard value)</t>
        </is>
      </c>
      <c r="F652" s="1233" t="inlineStr">
        <is>
          <t>(constant) 85</t>
        </is>
      </c>
      <c r="G652" s="1233" t="inlineStr">
        <is>
          <t>NOT SOURCED</t>
        </is>
      </c>
      <c r="H652" s="1233" t="inlineStr">
        <is>
          <t>26 Sources register; Master Industry Database source log (47 cited sources)</t>
        </is>
      </c>
      <c r="I652" s="1233" t="inlineStr">
        <is>
          <t>USER INPUT.</t>
        </is>
      </c>
      <c r="J652" s="1233" t="inlineStr">
        <is>
          <t>Not sourced. EU ETS prices are observable and should be substituted.</t>
        </is>
      </c>
      <c r="K652" s="1233" t="inlineStr">
        <is>
          <t>Reconciled by 25 Audit Checks</t>
        </is>
      </c>
      <c r="L652" s="1234" t="inlineStr">
        <is>
          <t>Low</t>
        </is>
      </c>
      <c r="M652" s="1233" t="inlineStr">
        <is>
          <t>This sheet</t>
        </is>
      </c>
      <c r="N652" s="1233" t="inlineStr">
        <is>
          <t>Quarterly review; replace before transaction use</t>
        </is>
      </c>
      <c r="O652" s="1234" t="inlineStr">
        <is>
          <t>n/a</t>
        </is>
      </c>
      <c r="P652" s="1233" t="inlineStr">
        <is>
          <t>Research block row 104. Value column is live and re-states on a scenario change.</t>
        </is>
      </c>
    </row>
    <row r="653" ht="46" customHeight="1" s="632">
      <c r="A653" s="1232" t="inlineStr">
        <is>
          <t>ES34</t>
        </is>
      </c>
      <c r="B653" s="1235" t="inlineStr">
        <is>
          <t>EUR/INR</t>
        </is>
      </c>
      <c r="C653" s="1241">
        <f>IF(ISNUMBER('ESG Model'!J105),'ESG Model'!J105,'ESG Model'!C105)</f>
        <v/>
      </c>
      <c r="D653" s="1236" t="inlineStr">
        <is>
          <t>Rs/EUR</t>
        </is>
      </c>
      <c r="E653" s="1235" t="inlineStr">
        <is>
          <t>Sourced actual (hard value)</t>
        </is>
      </c>
      <c r="F653" s="1235" t="inlineStr">
        <is>
          <t>(constant) 103</t>
        </is>
      </c>
      <c r="G653" s="1235" t="inlineStr">
        <is>
          <t>NOT SOURCED</t>
        </is>
      </c>
      <c r="H653" s="1235" t="inlineStr">
        <is>
          <t>26 Sources register; Master Industry Database source log (47 cited sources)</t>
        </is>
      </c>
      <c r="I653" s="1235" t="inlineStr">
        <is>
          <t>USER INPUT.</t>
        </is>
      </c>
      <c r="J653" s="1235" t="inlineStr">
        <is>
          <t>Not sourced. Implied cross from the derived USD/INR of 88.4 at a EUR/USD of roughly 1.17.</t>
        </is>
      </c>
      <c r="K653" s="1235" t="inlineStr">
        <is>
          <t>Reconciled by 25 Audit Checks</t>
        </is>
      </c>
      <c r="L653" s="1236" t="inlineStr">
        <is>
          <t>Low</t>
        </is>
      </c>
      <c r="M653" s="1235" t="inlineStr">
        <is>
          <t>This sheet</t>
        </is>
      </c>
      <c r="N653" s="1235" t="inlineStr">
        <is>
          <t>Quarterly review; replace before transaction use</t>
        </is>
      </c>
      <c r="O653" s="1236" t="inlineStr">
        <is>
          <t>n/a</t>
        </is>
      </c>
      <c r="P653" s="1235" t="inlineStr">
        <is>
          <t>Research block row 105. Value column is live and re-states on a scenario change.</t>
        </is>
      </c>
    </row>
    <row r="654" ht="46" customHeight="1" s="632">
      <c r="A654" s="1232" t="inlineStr">
        <is>
          <t>ES35</t>
        </is>
      </c>
      <c r="B654" s="1233" t="inlineStr">
        <is>
          <t>EU share of Indian exports</t>
        </is>
      </c>
      <c r="C654" s="1242">
        <f>IF(ISNUMBER('ESG Model'!J106),'ESG Model'!J106,'ESG Model'!C106)</f>
        <v/>
      </c>
      <c r="D654" s="1234" t="inlineStr">
        <is>
          <t>%</t>
        </is>
      </c>
      <c r="E654" s="1233" t="inlineStr">
        <is>
          <t>Sourced actual (hard value)</t>
        </is>
      </c>
      <c r="F654" s="1233" t="inlineStr">
        <is>
          <t>(constant) 0.344</t>
        </is>
      </c>
      <c r="G654" s="1233" t="inlineStr">
        <is>
          <t>Master DB</t>
        </is>
      </c>
      <c r="H654" s="1233" t="inlineStr">
        <is>
          <t>26 Sources register; Master Industry Database source log (47 cited sources)</t>
        </is>
      </c>
      <c r="I654" s="1233" t="inlineStr">
        <is>
          <t>Italy 16.2%, Belgium 10.9% and Spain 7.3% of FY2026 finished steel exports.</t>
        </is>
      </c>
      <c r="J654" s="1233" t="n"/>
      <c r="K654" s="1233" t="inlineStr">
        <is>
          <t>Reconciled by 25 Audit Checks</t>
        </is>
      </c>
      <c r="L654" s="1234" t="inlineStr">
        <is>
          <t>High</t>
        </is>
      </c>
      <c r="M654" s="1233" t="inlineStr">
        <is>
          <t>This sheet</t>
        </is>
      </c>
      <c r="N654" s="1233" t="inlineStr">
        <is>
          <t>Quarterly, on each results season</t>
        </is>
      </c>
      <c r="O654" s="1234" t="inlineStr">
        <is>
          <t>FY2026A</t>
        </is>
      </c>
      <c r="P654" s="1233" t="inlineStr">
        <is>
          <t>Research block row 106. Value column is live and re-states on a scenario change.</t>
        </is>
      </c>
    </row>
    <row r="655" ht="46" customHeight="1" s="632">
      <c r="A655" s="1232" t="inlineStr">
        <is>
          <t>ES36</t>
        </is>
      </c>
      <c r="B655" s="1235" t="inlineStr">
        <is>
          <t>Finished steel exports</t>
        </is>
      </c>
      <c r="C655" s="1241">
        <f>IF(ISNUMBER('ESG Model'!J109),'ESG Model'!J109,'ESG Model'!C109)</f>
        <v/>
      </c>
      <c r="D655" s="1236" t="inlineStr">
        <is>
          <t>Mt</t>
        </is>
      </c>
      <c r="E655" s="1235" t="inlineStr">
        <is>
          <t>Cross-sheet reference (linked, not re-entered)</t>
        </is>
      </c>
      <c r="F655" s="1235" t="inlineStr">
        <is>
          <t>'='Trade Model'!D$78</t>
        </is>
      </c>
      <c r="G655" s="1235" t="inlineStr">
        <is>
          <t>19 Trade</t>
        </is>
      </c>
      <c r="H655" s="1235" t="inlineStr">
        <is>
          <t>26 Sources register; Master Industry Database source log (47 cited sources)</t>
        </is>
      </c>
      <c r="I655" s="1235" t="n"/>
      <c r="J655" s="1235" t="n"/>
      <c r="K655" s="1235" t="inlineStr">
        <is>
          <t>Reconciled by 25 Audit Checks</t>
        </is>
      </c>
      <c r="L655" s="1236" t="inlineStr">
        <is>
          <t>Medium</t>
        </is>
      </c>
      <c r="M655" s="1235" t="inlineStr">
        <is>
          <t>Trade Model</t>
        </is>
      </c>
      <c r="N655" s="1235" t="inlineStr">
        <is>
          <t>Recalculates live with the model</t>
        </is>
      </c>
      <c r="O655" s="1236" t="inlineStr">
        <is>
          <t>Live</t>
        </is>
      </c>
      <c r="P655" s="1235" t="inlineStr">
        <is>
          <t>Research block row 109. Value column is live and re-states on a scenario change.</t>
        </is>
      </c>
    </row>
    <row r="656" ht="46" customHeight="1" s="632">
      <c r="A656" s="1232" t="inlineStr">
        <is>
          <t>ES37</t>
        </is>
      </c>
      <c r="B656" s="1233" t="inlineStr">
        <is>
          <t>EU-destined exports</t>
        </is>
      </c>
      <c r="C656" s="1242">
        <f>'ESG Model'!J110</f>
        <v/>
      </c>
      <c r="D656" s="1234" t="inlineStr">
        <is>
          <t>Mt</t>
        </is>
      </c>
      <c r="E656" s="1233" t="inlineStr">
        <is>
          <t>Computed in-cell</t>
        </is>
      </c>
      <c r="F656" s="1233" t="inlineStr">
        <is>
          <t>'=D109*D106</t>
        </is>
      </c>
      <c r="G656" s="1233" t="inlineStr">
        <is>
          <t>Computed</t>
        </is>
      </c>
      <c r="H656" s="1233" t="inlineStr">
        <is>
          <t>26 Sources register; Master Industry Database source log (47 cited sources)</t>
        </is>
      </c>
      <c r="I656" s="1233" t="n"/>
      <c r="J656" s="1233" t="n"/>
      <c r="K656" s="1233" t="inlineStr">
        <is>
          <t>Reconciled by 25 Audit Checks</t>
        </is>
      </c>
      <c r="L656" s="1234" t="inlineStr">
        <is>
          <t>Medium</t>
        </is>
      </c>
      <c r="M656" s="1233" t="inlineStr">
        <is>
          <t>This sheet</t>
        </is>
      </c>
      <c r="N656" s="1233" t="inlineStr">
        <is>
          <t>Recalculates live with the model</t>
        </is>
      </c>
      <c r="O656" s="1234" t="inlineStr">
        <is>
          <t>Live</t>
        </is>
      </c>
      <c r="P656" s="1233" t="inlineStr">
        <is>
          <t>Research block row 110. Value column is live and re-states on a scenario change.</t>
        </is>
      </c>
    </row>
    <row r="657" ht="46" customHeight="1" s="632">
      <c r="A657" s="1232" t="inlineStr">
        <is>
          <t>ES38</t>
        </is>
      </c>
      <c r="B657" s="1235" t="inlineStr">
        <is>
          <t>Emission intensity excess vs EU benchmark</t>
        </is>
      </c>
      <c r="C657" s="1241">
        <f>'ESG Model'!J111</f>
        <v/>
      </c>
      <c r="D657" s="1236" t="inlineStr">
        <is>
          <t>tCO2e/tfs</t>
        </is>
      </c>
      <c r="E657" s="1235" t="inlineStr">
        <is>
          <t>Conditional / constrained calculation</t>
        </is>
      </c>
      <c r="F657" s="1235" t="inlineStr">
        <is>
          <t>'=MAX(0,D102-D103)</t>
        </is>
      </c>
      <c r="G657" s="1235" t="inlineStr">
        <is>
          <t>Computed</t>
        </is>
      </c>
      <c r="H657" s="1235" t="inlineStr">
        <is>
          <t>26 Sources register; Master Industry Database source log (47 cited sources)</t>
        </is>
      </c>
      <c r="I657" s="1235" t="n"/>
      <c r="J657" s="1235" t="n"/>
      <c r="K657" s="1235" t="inlineStr">
        <is>
          <t>Reconciled by 25 Audit Checks</t>
        </is>
      </c>
      <c r="L657" s="1236" t="inlineStr">
        <is>
          <t>Low</t>
        </is>
      </c>
      <c r="M657" s="1235" t="inlineStr">
        <is>
          <t>This sheet</t>
        </is>
      </c>
      <c r="N657" s="1235" t="inlineStr">
        <is>
          <t>Recalculates live with the model</t>
        </is>
      </c>
      <c r="O657" s="1236" t="inlineStr">
        <is>
          <t>Live</t>
        </is>
      </c>
      <c r="P657" s="1235" t="inlineStr">
        <is>
          <t>Research block row 111. Value column is live and re-states on a scenario change.</t>
        </is>
      </c>
    </row>
    <row r="658" ht="46" customHeight="1" s="632">
      <c r="A658" s="1232" t="inlineStr">
        <is>
          <t>ES39</t>
        </is>
      </c>
      <c r="B658" s="1233" t="inlineStr">
        <is>
          <t>CBAM cost</t>
        </is>
      </c>
      <c r="C658" s="1242">
        <f>'ESG Model'!J112</f>
        <v/>
      </c>
      <c r="D658" s="1234" t="inlineStr">
        <is>
          <t>Rs cr</t>
        </is>
      </c>
      <c r="E658" s="1233" t="inlineStr">
        <is>
          <t>Computed in-cell</t>
        </is>
      </c>
      <c r="F658" s="1233" t="inlineStr">
        <is>
          <t>'=D110*D111*D104*D105/10</t>
        </is>
      </c>
      <c r="G658" s="1233" t="inlineStr">
        <is>
          <t>Computed</t>
        </is>
      </c>
      <c r="H658" s="1233" t="inlineStr">
        <is>
          <t>26 Sources register; Master Industry Database source log (47 cited sources)</t>
        </is>
      </c>
      <c r="I658" s="1233" t="inlineStr">
        <is>
          <t>Mt x tCO2e/t x EUR/tCO2 x Rs/EUR / 10 = Rs crore.</t>
        </is>
      </c>
      <c r="J658" s="1233" t="inlineStr">
        <is>
          <t>Live on the user inputs above.</t>
        </is>
      </c>
      <c r="K658" s="1233" t="inlineStr">
        <is>
          <t>Reconciled by 25 Audit Checks</t>
        </is>
      </c>
      <c r="L658" s="1234" t="inlineStr">
        <is>
          <t>Low</t>
        </is>
      </c>
      <c r="M658" s="1233" t="inlineStr">
        <is>
          <t>This sheet</t>
        </is>
      </c>
      <c r="N658" s="1233" t="inlineStr">
        <is>
          <t>Recalculates live with the model</t>
        </is>
      </c>
      <c r="O658" s="1234" t="inlineStr">
        <is>
          <t>Live</t>
        </is>
      </c>
      <c r="P658" s="1233" t="inlineStr">
        <is>
          <t>Research block row 112. Value column is live and re-states on a scenario change.</t>
        </is>
      </c>
    </row>
    <row r="659" ht="46" customHeight="1" s="632">
      <c r="A659" s="1232" t="inlineStr">
        <is>
          <t>ES40</t>
        </is>
      </c>
      <c r="B659" s="1235" t="inlineStr">
        <is>
          <t>CBAM cost per tonne of EU-destined export</t>
        </is>
      </c>
      <c r="C659" s="1241">
        <f>'ESG Model'!J113</f>
        <v/>
      </c>
      <c r="D659" s="1236" t="inlineStr">
        <is>
          <t>Rs/t</t>
        </is>
      </c>
      <c r="E659" s="1235" t="inlineStr">
        <is>
          <t>Computed in-cell</t>
        </is>
      </c>
      <c r="F659" s="1235" t="inlineStr">
        <is>
          <t>'=IFERROR(D112/D110*10,"")</t>
        </is>
      </c>
      <c r="G659" s="1235" t="inlineStr">
        <is>
          <t>Computed</t>
        </is>
      </c>
      <c r="H659" s="1235" t="inlineStr">
        <is>
          <t>26 Sources register; Master Industry Database source log (47 cited sources)</t>
        </is>
      </c>
      <c r="I659" s="1235" t="inlineStr">
        <is>
          <t>Compare against industry EBITDA per tonne on 13: this is the margin that CBAM removes from EU-destined tonnes unless emission intensity falls.</t>
        </is>
      </c>
      <c r="J659" s="1235" t="n"/>
      <c r="K659" s="1235" t="inlineStr">
        <is>
          <t>Reconciled by 25 Audit Checks</t>
        </is>
      </c>
      <c r="L659" s="1236" t="inlineStr">
        <is>
          <t>Low</t>
        </is>
      </c>
      <c r="M659" s="1235" t="inlineStr">
        <is>
          <t>This sheet</t>
        </is>
      </c>
      <c r="N659" s="1235" t="inlineStr">
        <is>
          <t>Recalculates live with the model</t>
        </is>
      </c>
      <c r="O659" s="1236" t="inlineStr">
        <is>
          <t>Live</t>
        </is>
      </c>
      <c r="P659" s="1235" t="inlineStr">
        <is>
          <t>Research block row 113. Value column is live and re-states on a scenario change.</t>
        </is>
      </c>
    </row>
    <row r="662" ht="18" customHeight="1" s="632">
      <c r="A662" s="1229" t="inlineStr">
        <is>
          <t>Scenario Manager  -  21 documented items  (SC01 - SC21)</t>
        </is>
      </c>
      <c r="B662" s="1161" t="n"/>
      <c r="C662" s="1161" t="n"/>
      <c r="D662" s="1161" t="n"/>
      <c r="E662" s="1161" t="n"/>
      <c r="F662" s="1161" t="n"/>
      <c r="G662" s="1161" t="n"/>
      <c r="H662" s="1161" t="n"/>
      <c r="I662" s="1161" t="n"/>
      <c r="J662" s="1161" t="n"/>
      <c r="K662" s="1161" t="n"/>
      <c r="L662" s="1161" t="n"/>
      <c r="M662" s="1161" t="n"/>
      <c r="N662" s="1161" t="n"/>
      <c r="O662" s="1161" t="n"/>
      <c r="P662" s="1161" t="n"/>
    </row>
    <row r="663" ht="24" customHeight="1" s="632">
      <c r="A663" s="1230" t="inlineStr">
        <is>
          <t>Every documented number on Scenario Manager. The Code column matches the Ref column on that sheet.</t>
        </is>
      </c>
    </row>
    <row r="664" ht="30" customHeight="1" s="632">
      <c r="A664" s="1231" t="inlineStr">
        <is>
          <t>Code</t>
        </is>
      </c>
      <c r="B664" s="1231" t="inlineStr">
        <is>
          <t>Model Item</t>
        </is>
      </c>
      <c r="C664" s="1231" t="inlineStr">
        <is>
          <t>Value</t>
        </is>
      </c>
      <c r="D664" s="1231" t="inlineStr">
        <is>
          <t>Unit</t>
        </is>
      </c>
      <c r="E664" s="1231" t="inlineStr">
        <is>
          <t>Calculation Method</t>
        </is>
      </c>
      <c r="F664" s="1231" t="inlineStr">
        <is>
          <t>Formula Used</t>
        </is>
      </c>
      <c r="G664" s="1231" t="inlineStr">
        <is>
          <t>Primary Source</t>
        </is>
      </c>
      <c r="H664" s="1231" t="inlineStr">
        <is>
          <t>Secondary Source</t>
        </is>
      </c>
      <c r="I664" s="1231" t="inlineStr">
        <is>
          <t>Assumption</t>
        </is>
      </c>
      <c r="J664" s="1231" t="inlineStr">
        <is>
          <t>Reasoning</t>
        </is>
      </c>
      <c r="K664" s="1231" t="inlineStr">
        <is>
          <t>Cross-check</t>
        </is>
      </c>
      <c r="L664" s="1231" t="inlineStr">
        <is>
          <t>Confidence Level</t>
        </is>
      </c>
      <c r="M664" s="1231" t="inlineStr">
        <is>
          <t>Linked Sheet</t>
        </is>
      </c>
      <c r="N664" s="1231" t="inlineStr">
        <is>
          <t>Update Frequency</t>
        </is>
      </c>
      <c r="O664" s="1231" t="inlineStr">
        <is>
          <t>Last Available Date</t>
        </is>
      </c>
      <c r="P664" s="1231" t="inlineStr">
        <is>
          <t>Comments</t>
        </is>
      </c>
    </row>
    <row r="665" ht="46" customHeight="1" s="632">
      <c r="A665" s="1232" t="inlineStr">
        <is>
          <t>SC01</t>
        </is>
      </c>
      <c r="B665" s="1233" t="inlineStr">
        <is>
          <t>Power cost and logistics inflation by scenario</t>
        </is>
      </c>
      <c r="C665" s="1244">
        <f>'Scenario Manager'!F15</f>
        <v/>
      </c>
      <c r="D665" s="1234" t="inlineStr">
        <is>
          <t>%</t>
        </is>
      </c>
      <c r="E665" s="1233" t="inlineStr">
        <is>
          <t>Cross-sheet link to driver D12, conversion cost inflation, by scenario</t>
        </is>
      </c>
      <c r="F665" s="1233" t="inlineStr">
        <is>
          <t>'='Model Assumptions'!$K$82 for the Base Case column; $K$19 for the active value</t>
        </is>
      </c>
      <c r="G665" s="1233" t="inlineStr">
        <is>
          <t>Driver D12 on 02 Model Assumptions, itself anchored on the RBI CPI projection</t>
        </is>
      </c>
      <c r="H665" s="1233" t="inlineStr">
        <is>
          <t>11 Cost Curve and 09 Steel Price Forecast decompose conversion cost into power, labour, maintenance, logistics, other manufacturing and SG&amp;A</t>
        </is>
      </c>
      <c r="I665" s="1233" t="inlineStr">
        <is>
          <t>Both rows read driver D12, conversion cost inflation, which is the CPI-linked driver the model actually uses to inflate every element of conversion cost including power and freight.</t>
        </is>
      </c>
      <c r="J665" s="1233" t="inlineStr">
        <is>
          <t>Ten blank cells, correctly explained as "not scenario drivers" - both sit inside the conversion cost block. But that explanation is precisely what the cells should SAY rather than what a note beside them should say. Pointing both rows at driver D12 states the model's treatment on the face of the dashboard: power and logistics inflate at conversion cost inflation, no faster and no slower, and they do flex by scenario because D12 does. It adds no new assumption and removes no disclosure, and it means the scenario dashboard no longer has holes in the middle of it.</t>
        </is>
      </c>
      <c r="K665" s="1233" t="inlineStr">
        <is>
          <t>Both rows must equal row 17, general inflation, in every column - which is the point: the model does not give power or freight an inflation path of their own</t>
        </is>
      </c>
      <c r="L665" s="1234" t="inlineStr">
        <is>
          <t>High - this is a statement of the model's structure</t>
        </is>
      </c>
      <c r="M665" s="1233" t="inlineStr">
        <is>
          <t>Model Assumptions</t>
        </is>
      </c>
      <c r="N665" s="1233" t="inlineStr">
        <is>
          <t>Live</t>
        </is>
      </c>
      <c r="O665" s="1234" t="inlineStr">
        <is>
          <t>FY2026A</t>
        </is>
      </c>
      <c r="P665" s="1233" t="inlineStr">
        <is>
          <t>Populated by modelling rather than left blank; the basis is stated in the Assumption column so it can be replaced with a sourced series when one exists.</t>
        </is>
      </c>
    </row>
    <row r="666" ht="46" customHeight="1" s="632">
      <c r="A666" s="1232" t="inlineStr">
        <is>
          <t>SC02</t>
        </is>
      </c>
      <c r="B666" s="1235" t="inlineStr">
        <is>
          <t>Scenario dashboard</t>
        </is>
      </c>
      <c r="C666" s="1241">
        <f>'Scenario Manager'!F9</f>
        <v/>
      </c>
      <c r="D666" s="1236" t="inlineStr">
        <is>
          <t>various</t>
        </is>
      </c>
      <c r="E666" s="1235" t="inlineStr">
        <is>
          <t>Cross-sheet reference to the FY2033E column of the SCENARIO DRIVER MATRIX on 02 Model Assumptions, with the Active Value column reading the resolved ACTIVE DRIVERS block</t>
        </is>
      </c>
      <c r="F666" s="1235" t="inlineStr">
        <is>
          <t>'='Model Assumptions'!$K$38 (Base) .. $K$41 (Stress); active =$K$8</t>
        </is>
      </c>
      <c r="G666" s="1235" t="inlineStr">
        <is>
          <t>Each driver is sourced individually on 02 Model Assumptions column L and in 26 Sources</t>
        </is>
      </c>
      <c r="H666" s="1235" t="inlineStr">
        <is>
          <t>The scenario engine below, which rebuilds the model from these same drivers</t>
        </is>
      </c>
      <c r="I666" s="1235" t="inlineStr">
        <is>
          <t>The Active Value column must equal whichever scenario is selected on 01 Control Panel.</t>
        </is>
      </c>
      <c r="J666" s="1235" t="inlineStr">
        <is>
          <t>This is the one-page answer to "what actually differs between the scenarios". Note that four of the fifteen rows are IDENTICAL across all four scenarios - carbon price, capex inflation, and the two blank inflation rows - because the model refuses to flex unsourced parameters to manufacture a scenario. That discipline is why the scenarios are defendable.</t>
        </is>
      </c>
      <c r="K666" s="1235" t="inlineStr">
        <is>
          <t>The Active Value column must reproduce the selected scenario column exactly; check A27 on 25 Audit Checks tests the same thing on the tie-out block</t>
        </is>
      </c>
      <c r="L666" s="1236" t="inlineStr">
        <is>
          <t>High</t>
        </is>
      </c>
      <c r="M666" s="1235" t="inlineStr">
        <is>
          <t>Model Assumptions, Scenario Manager engine, ESG Model</t>
        </is>
      </c>
      <c r="N666" s="1235" t="inlineStr">
        <is>
          <t>Live</t>
        </is>
      </c>
      <c r="O666" s="1236" t="inlineStr">
        <is>
          <t>Live</t>
        </is>
      </c>
      <c r="P666" s="1235" t="inlineStr">
        <is>
          <t>Was entirely blank.</t>
        </is>
      </c>
    </row>
    <row r="667" ht="46" customHeight="1" s="632">
      <c r="A667" s="1232" t="inlineStr">
        <is>
          <t>SC03</t>
        </is>
      </c>
      <c r="B667" s="1233" t="inlineStr">
        <is>
          <t>Scenario summary and comparison, FY2033E</t>
        </is>
      </c>
      <c r="C667" s="1257">
        <f>'Scenario Manager'!B29</f>
        <v/>
      </c>
      <c r="D667" s="1234" t="inlineStr">
        <is>
          <t>Rs cr</t>
        </is>
      </c>
      <c r="E667" s="1233" t="inlineStr">
        <is>
          <t>Cross-sheet reference to the scenario engine; CAGRs computed against the FY2026A actual, peaks by MAX across the seven forecast years, ROIC as a true seven-year AVERAGE</t>
        </is>
      </c>
      <c r="F667" s="1233" t="inlineStr">
        <is>
          <t>'=IFERROR((engine EBITDA/'EBITDA Model'!$C$103)^(1/7)-1,"")</t>
        </is>
      </c>
      <c r="G667" s="1233" t="inlineStr">
        <is>
          <t>Rebuilt live from the scenario driver matrix</t>
        </is>
      </c>
      <c r="H667" s="1233" t="inlineStr">
        <is>
          <t>Independently computed tie-out values on rows 69 to 79 below</t>
        </is>
      </c>
      <c r="I667" s="1233" t="inlineStr">
        <is>
          <t>Free cash flow CAGR is struck FY2027E to FY2033E, not off FY2026A, because FY2026A free cash flow is not modelled. It returns blank where either end is negative, which is correct rather than misleading.</t>
        </is>
      </c>
      <c r="J667" s="1233" t="inlineStr">
        <is>
          <t>The comparison table is where the asymmetry of the investment case becomes visible: EBITDA CAGR runs from roughly -4.7% in the Bear Case to +17.5% in the Bull Case against a revenue CAGR range of only 6.7% to 11.9%. Average ROIC is the discipline test - it must be read against the WACC on row 19, and in the Bear and Stress cases it does not clear it.</t>
        </is>
      </c>
      <c r="K667" s="1233" t="inlineStr">
        <is>
          <t>Every FY2033E figure must equal the independently computed value on rows 69 to 79; peak margin must sit inside the -9.2% to +26.0% observed envelope</t>
        </is>
      </c>
      <c r="L667" s="1234" t="inlineStr">
        <is>
          <t>High</t>
        </is>
      </c>
      <c r="M667" s="1233" t="inlineStr">
        <is>
          <t>Scenario Manager engine, Revenue Forecast, EBITDA Model</t>
        </is>
      </c>
      <c r="N667" s="1233" t="inlineStr">
        <is>
          <t>Live</t>
        </is>
      </c>
      <c r="O667" s="1234" t="inlineStr">
        <is>
          <t>Live</t>
        </is>
      </c>
      <c r="P667" s="1233" t="inlineStr">
        <is>
          <t>Was entirely blank.</t>
        </is>
      </c>
    </row>
    <row r="668" ht="46" customHeight="1" s="632">
      <c r="A668" s="1232" t="inlineStr">
        <is>
          <t>SC04</t>
        </is>
      </c>
      <c r="B668" s="1235" t="inlineStr">
        <is>
          <t>Sensitivity matrix, FY2033E</t>
        </is>
      </c>
      <c r="C668" s="1258">
        <f>'Scenario Manager'!D51</f>
        <v/>
      </c>
      <c r="D668" s="1236" t="inlineStr">
        <is>
          <t>Rs cr</t>
        </is>
      </c>
      <c r="E668" s="1235" t="inlineStr">
        <is>
          <t>Computed in-cell. Volume and price shocks flow through the revenue identity; input cost shocks through the basket weights; the WACC shock re-runs the discounted cash flow exactly</t>
        </is>
      </c>
      <c r="F668" s="1235" t="inlineStr">
        <is>
          <t>'=SUMPRODUCT('Comparable Valuation'!$D$127:$J$127,1/(1+WACC+shock)^discount periods)+TV/(1+WACC+shock)^6.5-base EV</t>
        </is>
      </c>
      <c r="G668" s="1235" t="inlineStr">
        <is>
          <t>Computed from the model</t>
        </is>
      </c>
      <c r="H668" s="1235" t="inlineStr">
        <is>
          <t>22 Sensitivity Analysis section A tornado, which ranks the same drivers</t>
        </is>
      </c>
      <c r="I668" s="1235" t="inlineStr">
        <is>
          <t>Iron ore, coking coal and USD/INR have ZERO revenue impact - they are cost-side only. The WACC shock has zero revenue and zero EBITDA impact and affects enterprise value only.</t>
        </is>
      </c>
      <c r="J668" s="1235" t="inlineStr">
        <is>
          <t>The WACC row is the only one that cannot be approximated, so it is not approximated: the formula re-discounts all seven cash flows and the terminal value at the shocked rate and differences against the base enterprise value. A one percentage point rise in WACC costs materially more enterprise value than a 5% fall in the steel price, which is the argument for spending time on the equity risk premium and beta rather than on the commodity deck.</t>
        </is>
      </c>
      <c r="K668" s="1235" t="inlineStr">
        <is>
          <t>Enterprise value impact must equal the EBITDA impact multiplied by the exit multiple on every row except WACC; signs must be intuitive throughout</t>
        </is>
      </c>
      <c r="L668" s="1236" t="inlineStr">
        <is>
          <t>Medium</t>
        </is>
      </c>
      <c r="M668" s="1235" t="inlineStr">
        <is>
          <t>Revenue Forecast, EBITDA Model, Cost Curve, Comparable Valuation, Model Assumptions</t>
        </is>
      </c>
      <c r="N668" s="1235" t="inlineStr">
        <is>
          <t>Live</t>
        </is>
      </c>
      <c r="O668" s="1236" t="inlineStr">
        <is>
          <t>FY2033E</t>
        </is>
      </c>
      <c r="P668" s="1235" t="inlineStr">
        <is>
          <t>Was entirely blank.</t>
        </is>
      </c>
    </row>
    <row r="669" ht="46" customHeight="1" s="632">
      <c r="A669" s="1232" t="inlineStr">
        <is>
          <t>SC05</t>
        </is>
      </c>
      <c r="B669" s="1233" t="inlineStr">
        <is>
          <t>FY2033E metric</t>
        </is>
      </c>
      <c r="C669" s="1242">
        <f>'Scenario Manager'!C68</f>
        <v/>
      </c>
      <c r="D669" s="1234" t="inlineStr">
        <is>
          <t>Unit</t>
        </is>
      </c>
      <c r="E669" s="1233" t="inlineStr">
        <is>
          <t>Sourced actual (hard value)</t>
        </is>
      </c>
      <c r="F669" s="1233" t="inlineStr">
        <is>
          <t>(constant) Bull Case</t>
        </is>
      </c>
      <c r="G669" s="1233" t="inlineStr">
        <is>
          <t>See 26 Sources</t>
        </is>
      </c>
      <c r="H669" s="1233" t="inlineStr">
        <is>
          <t>26 Sources register; Master Industry Database source log (47 cited sources)</t>
        </is>
      </c>
      <c r="I669" s="1233" t="n"/>
      <c r="J669" s="1233" t="n"/>
      <c r="K669" s="1233" t="inlineStr">
        <is>
          <t>Reconciled by 25 Audit Checks</t>
        </is>
      </c>
      <c r="L669" s="1234" t="inlineStr">
        <is>
          <t>Medium</t>
        </is>
      </c>
      <c r="M669" s="1233" t="inlineStr">
        <is>
          <t>This sheet</t>
        </is>
      </c>
      <c r="N669" s="1233" t="inlineStr">
        <is>
          <t>Quarterly</t>
        </is>
      </c>
      <c r="O669" s="1234" t="inlineStr">
        <is>
          <t>FY2026A</t>
        </is>
      </c>
      <c r="P669" s="1233" t="inlineStr">
        <is>
          <t>Research block row 68. Value column is live and re-states on a scenario change.</t>
        </is>
      </c>
    </row>
    <row r="670" ht="46" customHeight="1" s="632">
      <c r="A670" s="1232" t="inlineStr">
        <is>
          <t>SC06</t>
        </is>
      </c>
      <c r="B670" s="1235" t="inlineStr">
        <is>
          <t>Apparent consumption</t>
        </is>
      </c>
      <c r="C670" s="1241">
        <f>'Scenario Manager'!C69</f>
        <v/>
      </c>
      <c r="D670" s="1236" t="inlineStr">
        <is>
          <t>Mt</t>
        </is>
      </c>
      <c r="E670" s="1235" t="inlineStr">
        <is>
          <t>Sourced actual (hard value)</t>
        </is>
      </c>
      <c r="F670" s="1235" t="inlineStr">
        <is>
          <t>(constant) 299.4510608127819</t>
        </is>
      </c>
      <c r="G670" s="1235" t="inlineStr">
        <is>
          <t>See 26 Sources</t>
        </is>
      </c>
      <c r="H670" s="1235" t="inlineStr">
        <is>
          <t>26 Sources register; Master Industry Database source log (47 cited sources)</t>
        </is>
      </c>
      <c r="I670" s="1235" t="n"/>
      <c r="J670" s="1235" t="n"/>
      <c r="K670" s="1235" t="inlineStr">
        <is>
          <t>Reconciled by 25 Audit Checks</t>
        </is>
      </c>
      <c r="L670" s="1236" t="inlineStr">
        <is>
          <t>Medium</t>
        </is>
      </c>
      <c r="M670" s="1235" t="inlineStr">
        <is>
          <t>This sheet</t>
        </is>
      </c>
      <c r="N670" s="1235" t="inlineStr">
        <is>
          <t>Quarterly</t>
        </is>
      </c>
      <c r="O670" s="1236" t="inlineStr">
        <is>
          <t>FY2026A</t>
        </is>
      </c>
      <c r="P670" s="1235" t="inlineStr">
        <is>
          <t>Research block row 69. Value column is live and re-states on a scenario change.</t>
        </is>
      </c>
    </row>
    <row r="671" ht="46" customHeight="1" s="632">
      <c r="A671" s="1232" t="inlineStr">
        <is>
          <t>SC07</t>
        </is>
      </c>
      <c r="B671" s="1233" t="inlineStr">
        <is>
          <t>Crude steel production</t>
        </is>
      </c>
      <c r="C671" s="1242">
        <f>'Scenario Manager'!C70</f>
        <v/>
      </c>
      <c r="D671" s="1234" t="inlineStr">
        <is>
          <t>Mt</t>
        </is>
      </c>
      <c r="E671" s="1233" t="inlineStr">
        <is>
          <t>Sourced actual (hard value)</t>
        </is>
      </c>
      <c r="F671" s="1233" t="inlineStr">
        <is>
          <t>(constant) 314.4134564277314</t>
        </is>
      </c>
      <c r="G671" s="1233" t="inlineStr">
        <is>
          <t>See 26 Sources</t>
        </is>
      </c>
      <c r="H671" s="1233" t="inlineStr">
        <is>
          <t>26 Sources register; Master Industry Database source log (47 cited sources)</t>
        </is>
      </c>
      <c r="I671" s="1233" t="n"/>
      <c r="J671" s="1233" t="n"/>
      <c r="K671" s="1233" t="inlineStr">
        <is>
          <t>Reconciled by 25 Audit Checks</t>
        </is>
      </c>
      <c r="L671" s="1234" t="inlineStr">
        <is>
          <t>Medium</t>
        </is>
      </c>
      <c r="M671" s="1233" t="inlineStr">
        <is>
          <t>This sheet</t>
        </is>
      </c>
      <c r="N671" s="1233" t="inlineStr">
        <is>
          <t>Quarterly</t>
        </is>
      </c>
      <c r="O671" s="1234" t="inlineStr">
        <is>
          <t>FY2026A</t>
        </is>
      </c>
      <c r="P671" s="1233" t="inlineStr">
        <is>
          <t>Research block row 70. Value column is live and re-states on a scenario change.</t>
        </is>
      </c>
    </row>
    <row r="672" ht="46" customHeight="1" s="632">
      <c r="A672" s="1232" t="inlineStr">
        <is>
          <t>SC08</t>
        </is>
      </c>
      <c r="B672" s="1235" t="inlineStr">
        <is>
          <t>Crude steel capacity</t>
        </is>
      </c>
      <c r="C672" s="1241">
        <f>'Scenario Manager'!C71</f>
        <v/>
      </c>
      <c r="D672" s="1236" t="inlineStr">
        <is>
          <t>Mtpa</t>
        </is>
      </c>
      <c r="E672" s="1235" t="inlineStr">
        <is>
          <t>Sourced actual (hard value)</t>
        </is>
      </c>
      <c r="F672" s="1235" t="inlineStr">
        <is>
          <t>(constant) 357.8390000000001</t>
        </is>
      </c>
      <c r="G672" s="1235" t="inlineStr">
        <is>
          <t>See 26 Sources</t>
        </is>
      </c>
      <c r="H672" s="1235" t="inlineStr">
        <is>
          <t>26 Sources register; Master Industry Database source log (47 cited sources)</t>
        </is>
      </c>
      <c r="I672" s="1235" t="n"/>
      <c r="J672" s="1235" t="n"/>
      <c r="K672" s="1235" t="inlineStr">
        <is>
          <t>Reconciled by 25 Audit Checks</t>
        </is>
      </c>
      <c r="L672" s="1236" t="inlineStr">
        <is>
          <t>Medium</t>
        </is>
      </c>
      <c r="M672" s="1235" t="inlineStr">
        <is>
          <t>This sheet</t>
        </is>
      </c>
      <c r="N672" s="1235" t="inlineStr">
        <is>
          <t>Quarterly</t>
        </is>
      </c>
      <c r="O672" s="1236" t="inlineStr">
        <is>
          <t>FY2026A</t>
        </is>
      </c>
      <c r="P672" s="1235" t="inlineStr">
        <is>
          <t>Research block row 71. Value column is live and re-states on a scenario change.</t>
        </is>
      </c>
    </row>
    <row r="673" ht="46" customHeight="1" s="632">
      <c r="A673" s="1232" t="inlineStr">
        <is>
          <t>SC09</t>
        </is>
      </c>
      <c r="B673" s="1233" t="inlineStr">
        <is>
          <t>Capacity utilisation</t>
        </is>
      </c>
      <c r="C673" s="1242">
        <f>'Scenario Manager'!C72</f>
        <v/>
      </c>
      <c r="D673" s="1234" t="inlineStr">
        <is>
          <t>%</t>
        </is>
      </c>
      <c r="E673" s="1233" t="inlineStr">
        <is>
          <t>Sourced actual (hard value)</t>
        </is>
      </c>
      <c r="F673" s="1233" t="inlineStr">
        <is>
          <t>(constant) 0.8786450231185852</t>
        </is>
      </c>
      <c r="G673" s="1233" t="inlineStr">
        <is>
          <t>See 26 Sources</t>
        </is>
      </c>
      <c r="H673" s="1233" t="inlineStr">
        <is>
          <t>26 Sources register; Master Industry Database source log (47 cited sources)</t>
        </is>
      </c>
      <c r="I673" s="1233" t="n"/>
      <c r="J673" s="1233" t="n"/>
      <c r="K673" s="1233" t="inlineStr">
        <is>
          <t>Reconciled by 25 Audit Checks</t>
        </is>
      </c>
      <c r="L673" s="1234" t="inlineStr">
        <is>
          <t>Medium</t>
        </is>
      </c>
      <c r="M673" s="1233" t="inlineStr">
        <is>
          <t>This sheet</t>
        </is>
      </c>
      <c r="N673" s="1233" t="inlineStr">
        <is>
          <t>Quarterly</t>
        </is>
      </c>
      <c r="O673" s="1234" t="inlineStr">
        <is>
          <t>FY2026A</t>
        </is>
      </c>
      <c r="P673" s="1233" t="inlineStr">
        <is>
          <t>Research block row 72. Value column is live and re-states on a scenario change.</t>
        </is>
      </c>
    </row>
    <row r="674" ht="46" customHeight="1" s="632">
      <c r="A674" s="1232" t="inlineStr">
        <is>
          <t>SC10</t>
        </is>
      </c>
      <c r="B674" s="1235" t="inlineStr">
        <is>
          <t>Blended realisation</t>
        </is>
      </c>
      <c r="C674" s="1241">
        <f>'Scenario Manager'!C73</f>
        <v/>
      </c>
      <c r="D674" s="1236" t="inlineStr">
        <is>
          <t>Rs/t</t>
        </is>
      </c>
      <c r="E674" s="1235" t="inlineStr">
        <is>
          <t>Sourced actual (hard value)</t>
        </is>
      </c>
      <c r="F674" s="1235" t="inlineStr">
        <is>
          <t>(constant) 70422.29357485895</t>
        </is>
      </c>
      <c r="G674" s="1235" t="inlineStr">
        <is>
          <t>See 26 Sources</t>
        </is>
      </c>
      <c r="H674" s="1235" t="inlineStr">
        <is>
          <t>26 Sources register; Master Industry Database source log (47 cited sources)</t>
        </is>
      </c>
      <c r="I674" s="1235" t="n"/>
      <c r="J674" s="1235" t="n"/>
      <c r="K674" s="1235" t="inlineStr">
        <is>
          <t>Reconciled by 25 Audit Checks</t>
        </is>
      </c>
      <c r="L674" s="1236" t="inlineStr">
        <is>
          <t>Medium</t>
        </is>
      </c>
      <c r="M674" s="1235" t="inlineStr">
        <is>
          <t>This sheet</t>
        </is>
      </c>
      <c r="N674" s="1235" t="inlineStr">
        <is>
          <t>Quarterly</t>
        </is>
      </c>
      <c r="O674" s="1236" t="inlineStr">
        <is>
          <t>FY2026A</t>
        </is>
      </c>
      <c r="P674" s="1235" t="inlineStr">
        <is>
          <t>Research block row 73. Value column is live and re-states on a scenario change.</t>
        </is>
      </c>
    </row>
    <row r="675" ht="46" customHeight="1" s="632">
      <c r="A675" s="1232" t="inlineStr">
        <is>
          <t>SC11</t>
        </is>
      </c>
      <c r="B675" s="1233" t="inlineStr">
        <is>
          <t>Cash cost per tonne</t>
        </is>
      </c>
      <c r="C675" s="1242">
        <f>'Scenario Manager'!C74</f>
        <v/>
      </c>
      <c r="D675" s="1234" t="inlineStr">
        <is>
          <t>Rs/t</t>
        </is>
      </c>
      <c r="E675" s="1233" t="inlineStr">
        <is>
          <t>Sourced actual (hard value)</t>
        </is>
      </c>
      <c r="F675" s="1233" t="inlineStr">
        <is>
          <t>(constant) 52672.57298002663</t>
        </is>
      </c>
      <c r="G675" s="1233" t="inlineStr">
        <is>
          <t>See 26 Sources</t>
        </is>
      </c>
      <c r="H675" s="1233" t="inlineStr">
        <is>
          <t>26 Sources register; Master Industry Database source log (47 cited sources)</t>
        </is>
      </c>
      <c r="I675" s="1233" t="n"/>
      <c r="J675" s="1233" t="n"/>
      <c r="K675" s="1233" t="inlineStr">
        <is>
          <t>Reconciled by 25 Audit Checks</t>
        </is>
      </c>
      <c r="L675" s="1234" t="inlineStr">
        <is>
          <t>Medium</t>
        </is>
      </c>
      <c r="M675" s="1233" t="inlineStr">
        <is>
          <t>This sheet</t>
        </is>
      </c>
      <c r="N675" s="1233" t="inlineStr">
        <is>
          <t>Quarterly</t>
        </is>
      </c>
      <c r="O675" s="1234" t="inlineStr">
        <is>
          <t>FY2026A</t>
        </is>
      </c>
      <c r="P675" s="1233" t="inlineStr">
        <is>
          <t>Research block row 74. Value column is live and re-states on a scenario change.</t>
        </is>
      </c>
    </row>
    <row r="676" ht="46" customHeight="1" s="632">
      <c r="A676" s="1232" t="inlineStr">
        <is>
          <t>SC12</t>
        </is>
      </c>
      <c r="B676" s="1235" t="inlineStr">
        <is>
          <t>EBITDA per tonne</t>
        </is>
      </c>
      <c r="C676" s="1241">
        <f>'Scenario Manager'!C75</f>
        <v/>
      </c>
      <c r="D676" s="1236" t="inlineStr">
        <is>
          <t>Rs/t</t>
        </is>
      </c>
      <c r="E676" s="1235" t="inlineStr">
        <is>
          <t>Sourced actual (hard value)</t>
        </is>
      </c>
      <c r="F676" s="1235" t="inlineStr">
        <is>
          <t>(constant) 17749.72059483232</t>
        </is>
      </c>
      <c r="G676" s="1235" t="inlineStr">
        <is>
          <t>See 26 Sources</t>
        </is>
      </c>
      <c r="H676" s="1235" t="inlineStr">
        <is>
          <t>26 Sources register; Master Industry Database source log (47 cited sources)</t>
        </is>
      </c>
      <c r="I676" s="1235" t="n"/>
      <c r="J676" s="1235" t="n"/>
      <c r="K676" s="1235" t="inlineStr">
        <is>
          <t>Reconciled by 25 Audit Checks</t>
        </is>
      </c>
      <c r="L676" s="1236" t="inlineStr">
        <is>
          <t>Medium</t>
        </is>
      </c>
      <c r="M676" s="1235" t="inlineStr">
        <is>
          <t>This sheet</t>
        </is>
      </c>
      <c r="N676" s="1235" t="inlineStr">
        <is>
          <t>Quarterly</t>
        </is>
      </c>
      <c r="O676" s="1236" t="inlineStr">
        <is>
          <t>FY2026A</t>
        </is>
      </c>
      <c r="P676" s="1235" t="inlineStr">
        <is>
          <t>Research block row 75. Value column is live and re-states on a scenario change.</t>
        </is>
      </c>
    </row>
    <row r="677" ht="46" customHeight="1" s="632">
      <c r="A677" s="1232" t="inlineStr">
        <is>
          <t>SC13</t>
        </is>
      </c>
      <c r="B677" s="1233" t="inlineStr">
        <is>
          <t>Industry EBITDA margin</t>
        </is>
      </c>
      <c r="C677" s="1242">
        <f>'Scenario Manager'!C76</f>
        <v/>
      </c>
      <c r="D677" s="1234" t="inlineStr">
        <is>
          <t>%</t>
        </is>
      </c>
      <c r="E677" s="1233" t="inlineStr">
        <is>
          <t>Sourced actual (hard value)</t>
        </is>
      </c>
      <c r="F677" s="1233" t="inlineStr">
        <is>
          <t>(constant) 0.2520468972792594</t>
        </is>
      </c>
      <c r="G677" s="1233" t="inlineStr">
        <is>
          <t>See 26 Sources</t>
        </is>
      </c>
      <c r="H677" s="1233" t="inlineStr">
        <is>
          <t>26 Sources register; Master Industry Database source log (47 cited sources)</t>
        </is>
      </c>
      <c r="I677" s="1233" t="n"/>
      <c r="J677" s="1233" t="n"/>
      <c r="K677" s="1233" t="inlineStr">
        <is>
          <t>Reconciled by 25 Audit Checks</t>
        </is>
      </c>
      <c r="L677" s="1234" t="inlineStr">
        <is>
          <t>Medium</t>
        </is>
      </c>
      <c r="M677" s="1233" t="inlineStr">
        <is>
          <t>This sheet</t>
        </is>
      </c>
      <c r="N677" s="1233" t="inlineStr">
        <is>
          <t>Quarterly</t>
        </is>
      </c>
      <c r="O677" s="1234" t="inlineStr">
        <is>
          <t>FY2026A</t>
        </is>
      </c>
      <c r="P677" s="1233" t="inlineStr">
        <is>
          <t>Research block row 76. Value column is live and re-states on a scenario change.</t>
        </is>
      </c>
    </row>
    <row r="678" ht="46" customHeight="1" s="632">
      <c r="A678" s="1232" t="inlineStr">
        <is>
          <t>SC14</t>
        </is>
      </c>
      <c r="B678" s="1235" t="inlineStr">
        <is>
          <t>Industry revenue</t>
        </is>
      </c>
      <c r="C678" s="1241">
        <f>'Scenario Manager'!C77</f>
        <v/>
      </c>
      <c r="D678" s="1236" t="inlineStr">
        <is>
          <t>Rs cr</t>
        </is>
      </c>
      <c r="E678" s="1235" t="inlineStr">
        <is>
          <t>Sourced actual (hard value)</t>
        </is>
      </c>
      <c r="F678" s="1235" t="inlineStr">
        <is>
          <t>(constant) 2122887.510301038</t>
        </is>
      </c>
      <c r="G678" s="1235" t="inlineStr">
        <is>
          <t>See 26 Sources</t>
        </is>
      </c>
      <c r="H678" s="1235" t="inlineStr">
        <is>
          <t>26 Sources register; Master Industry Database source log (47 cited sources)</t>
        </is>
      </c>
      <c r="I678" s="1235" t="n"/>
      <c r="J678" s="1235" t="n"/>
      <c r="K678" s="1235" t="inlineStr">
        <is>
          <t>Reconciled by 25 Audit Checks</t>
        </is>
      </c>
      <c r="L678" s="1236" t="inlineStr">
        <is>
          <t>Medium</t>
        </is>
      </c>
      <c r="M678" s="1235" t="inlineStr">
        <is>
          <t>This sheet</t>
        </is>
      </c>
      <c r="N678" s="1235" t="inlineStr">
        <is>
          <t>Quarterly</t>
        </is>
      </c>
      <c r="O678" s="1236" t="inlineStr">
        <is>
          <t>FY2026A</t>
        </is>
      </c>
      <c r="P678" s="1235" t="inlineStr">
        <is>
          <t>Research block row 77. Value column is live and re-states on a scenario change.</t>
        </is>
      </c>
    </row>
    <row r="679" ht="46" customHeight="1" s="632">
      <c r="A679" s="1232" t="inlineStr">
        <is>
          <t>SC15</t>
        </is>
      </c>
      <c r="B679" s="1233" t="inlineStr">
        <is>
          <t>Industry EBITDA</t>
        </is>
      </c>
      <c r="C679" s="1242">
        <f>'Scenario Manager'!C78</f>
        <v/>
      </c>
      <c r="D679" s="1234" t="inlineStr">
        <is>
          <t>Rs cr</t>
        </is>
      </c>
      <c r="E679" s="1233" t="inlineStr">
        <is>
          <t>Sourced actual (hard value)</t>
        </is>
      </c>
      <c r="F679" s="1233" t="inlineStr">
        <is>
          <t>(constant) 535067.2102442685</t>
        </is>
      </c>
      <c r="G679" s="1233" t="inlineStr">
        <is>
          <t>See 26 Sources</t>
        </is>
      </c>
      <c r="H679" s="1233" t="inlineStr">
        <is>
          <t>26 Sources register; Master Industry Database source log (47 cited sources)</t>
        </is>
      </c>
      <c r="I679" s="1233" t="n"/>
      <c r="J679" s="1233" t="n"/>
      <c r="K679" s="1233" t="inlineStr">
        <is>
          <t>Reconciled by 25 Audit Checks</t>
        </is>
      </c>
      <c r="L679" s="1234" t="inlineStr">
        <is>
          <t>Medium</t>
        </is>
      </c>
      <c r="M679" s="1233" t="inlineStr">
        <is>
          <t>This sheet</t>
        </is>
      </c>
      <c r="N679" s="1233" t="inlineStr">
        <is>
          <t>Quarterly</t>
        </is>
      </c>
      <c r="O679" s="1234" t="inlineStr">
        <is>
          <t>FY2026A</t>
        </is>
      </c>
      <c r="P679" s="1233" t="inlineStr">
        <is>
          <t>Research block row 78. Value column is live and re-states on a scenario change.</t>
        </is>
      </c>
    </row>
    <row r="680" ht="46" customHeight="1" s="632">
      <c r="A680" s="1232" t="inlineStr">
        <is>
          <t>SC16</t>
        </is>
      </c>
      <c r="B680" s="1235" t="inlineStr">
        <is>
          <t>Unlevered free cash flow</t>
        </is>
      </c>
      <c r="C680" s="1241">
        <f>'Scenario Manager'!C79</f>
        <v/>
      </c>
      <c r="D680" s="1236" t="inlineStr">
        <is>
          <t>Rs cr</t>
        </is>
      </c>
      <c r="E680" s="1235" t="inlineStr">
        <is>
          <t>Sourced actual (hard value)</t>
        </is>
      </c>
      <c r="F680" s="1235" t="inlineStr">
        <is>
          <t>(constant) 223085.7465614432</t>
        </is>
      </c>
      <c r="G680" s="1235" t="inlineStr">
        <is>
          <t>See 26 Sources</t>
        </is>
      </c>
      <c r="H680" s="1235" t="inlineStr">
        <is>
          <t>26 Sources register; Master Industry Database source log (47 cited sources)</t>
        </is>
      </c>
      <c r="I680" s="1235" t="n"/>
      <c r="J680" s="1235" t="n"/>
      <c r="K680" s="1235" t="inlineStr">
        <is>
          <t>Reconciled by 25 Audit Checks</t>
        </is>
      </c>
      <c r="L680" s="1236" t="inlineStr">
        <is>
          <t>Medium</t>
        </is>
      </c>
      <c r="M680" s="1235" t="inlineStr">
        <is>
          <t>This sheet</t>
        </is>
      </c>
      <c r="N680" s="1235" t="inlineStr">
        <is>
          <t>Quarterly</t>
        </is>
      </c>
      <c r="O680" s="1236" t="inlineStr">
        <is>
          <t>FY2026A</t>
        </is>
      </c>
      <c r="P680" s="1235" t="inlineStr">
        <is>
          <t>Research block row 79. Value column is live and re-states on a scenario change.</t>
        </is>
      </c>
    </row>
    <row r="681" ht="46" customHeight="1" s="632">
      <c r="A681" s="1232" t="inlineStr">
        <is>
          <t>SC17</t>
        </is>
      </c>
      <c r="B681" s="1233" t="inlineStr">
        <is>
          <t>TIE-OUT SUMMARY</t>
        </is>
      </c>
      <c r="C681" s="1242">
        <f>IFERROR('Scenario Manager'!D80,"")</f>
        <v/>
      </c>
      <c r="D681" s="1234" t="n"/>
      <c r="E681" s="1233" t="inlineStr">
        <is>
          <t>Conditional / constrained calculation</t>
        </is>
      </c>
      <c r="F681" s="1233" t="inlineStr">
        <is>
          <t>'=IF(COUNTIF(H69:H79,"FAIL")=0,"ALL OK","0 CHECK(S) FAILED")</t>
        </is>
      </c>
      <c r="G681" s="1233" t="inlineStr">
        <is>
          <t>See 26 Sources</t>
        </is>
      </c>
      <c r="H681" s="1233" t="inlineStr">
        <is>
          <t>26 Sources register; Master Industry Database source log (47 cited sources)</t>
        </is>
      </c>
      <c r="I681" s="1233" t="n"/>
      <c r="J681" s="1233" t="n"/>
      <c r="K681" s="1233" t="inlineStr">
        <is>
          <t>Reconciled by 25 Audit Checks</t>
        </is>
      </c>
      <c r="L681" s="1234" t="inlineStr">
        <is>
          <t>Medium</t>
        </is>
      </c>
      <c r="M681" s="1233" t="inlineStr">
        <is>
          <t>This sheet</t>
        </is>
      </c>
      <c r="N681" s="1233" t="inlineStr">
        <is>
          <t>Quarterly</t>
        </is>
      </c>
      <c r="O681" s="1234" t="inlineStr">
        <is>
          <t>FY2026A</t>
        </is>
      </c>
      <c r="P681" s="1233" t="inlineStr">
        <is>
          <t>Research block row 80. Value column is live and re-states on a scenario change.</t>
        </is>
      </c>
    </row>
    <row r="682" ht="46" customHeight="1" s="632">
      <c r="A682" s="1232" t="inlineStr">
        <is>
          <t>SC18</t>
        </is>
      </c>
      <c r="B682" s="1235" t="inlineStr">
        <is>
          <t>Base Case</t>
        </is>
      </c>
      <c r="C682" s="1241">
        <f>IFERROR('Scenario Manager'!D83,"")</f>
        <v/>
      </c>
      <c r="D682" s="1236" t="inlineStr">
        <is>
          <t>RBI's June-2026 FY2027 GDP projection of 6.6% converging to 6.5%. Elasticity 1.15x tapering to 1.05x. Realisation grows at roughly 2.0% a year, BELOW expected inflation, reflecting structural surplus capacity. Iron ore continues its decline to US$93/dmt; coking coal eases to US$200/t. Terminal margin 16.8% against 17.9% in FY2026 - i.e. the base case assumes mild margin erosion, not expansion.</t>
        </is>
      </c>
      <c r="E682" s="1235" t="inlineStr">
        <is>
          <t>Not populated</t>
        </is>
      </c>
      <c r="F682" s="1235" t="n"/>
      <c r="G682" s="1235" t="inlineStr">
        <is>
          <t>See 26 Sources</t>
        </is>
      </c>
      <c r="H682" s="1235" t="inlineStr">
        <is>
          <t>26 Sources register; Master Industry Database source log (47 cited sources)</t>
        </is>
      </c>
      <c r="I682" s="1235" t="n"/>
      <c r="J682" s="1235" t="n"/>
      <c r="K682" s="1235" t="inlineStr">
        <is>
          <t>Reconciled by 25 Audit Checks</t>
        </is>
      </c>
      <c r="L682" s="1236" t="inlineStr">
        <is>
          <t>Medium</t>
        </is>
      </c>
      <c r="M682" s="1235" t="inlineStr">
        <is>
          <t>This sheet</t>
        </is>
      </c>
      <c r="N682" s="1235" t="inlineStr">
        <is>
          <t>Quarterly</t>
        </is>
      </c>
      <c r="O682" s="1236" t="inlineStr">
        <is>
          <t>FY2026A</t>
        </is>
      </c>
      <c r="P682" s="1235" t="inlineStr">
        <is>
          <t>Research block row 83. Value column is live and re-states on a scenario change.</t>
        </is>
      </c>
    </row>
    <row r="683" ht="46" customHeight="1" s="632">
      <c r="A683" s="1232" t="inlineStr">
        <is>
          <t>SC19</t>
        </is>
      </c>
      <c r="B683" s="1233" t="inlineStr">
        <is>
          <t>Bull Case</t>
        </is>
      </c>
      <c r="C683" s="1242">
        <f>IFERROR('Scenario Manager'!D84,"")</f>
        <v/>
      </c>
      <c r="D683" s="1234" t="inlineStr">
        <is>
          <t>GDP roughly 80bps above base, elasticity 1.30x tapering to 1.15x, iron ore and coking coal at the low end, INR stable at 96. Calibrated to peak at a 26.0% industry margin in FY2030, matching the FY2022 observed cycle peak. This is a genuine ceiling, not an extrapolation.</t>
        </is>
      </c>
      <c r="E683" s="1233" t="inlineStr">
        <is>
          <t>Not populated</t>
        </is>
      </c>
      <c r="F683" s="1233" t="n"/>
      <c r="G683" s="1233" t="inlineStr">
        <is>
          <t>See 26 Sources</t>
        </is>
      </c>
      <c r="H683" s="1233" t="inlineStr">
        <is>
          <t>26 Sources register; Master Industry Database source log (47 cited sources)</t>
        </is>
      </c>
      <c r="I683" s="1233" t="n"/>
      <c r="J683" s="1233" t="n"/>
      <c r="K683" s="1233" t="inlineStr">
        <is>
          <t>Reconciled by 25 Audit Checks</t>
        </is>
      </c>
      <c r="L683" s="1234" t="inlineStr">
        <is>
          <t>Medium</t>
        </is>
      </c>
      <c r="M683" s="1233" t="inlineStr">
        <is>
          <t>This sheet</t>
        </is>
      </c>
      <c r="N683" s="1233" t="inlineStr">
        <is>
          <t>Quarterly</t>
        </is>
      </c>
      <c r="O683" s="1234" t="inlineStr">
        <is>
          <t>FY2026A</t>
        </is>
      </c>
      <c r="P683" s="1233" t="inlineStr">
        <is>
          <t>Research block row 84. Value column is live and re-states on a scenario change.</t>
        </is>
      </c>
    </row>
    <row r="684" ht="46" customHeight="1" s="632">
      <c r="A684" s="1232" t="inlineStr">
        <is>
          <t>SC20</t>
        </is>
      </c>
      <c r="B684" s="1235" t="inlineStr">
        <is>
          <t>Bear Case</t>
        </is>
      </c>
      <c r="C684" s="1241">
        <f>IFERROR('Scenario Manager'!D85,"")</f>
        <v/>
      </c>
      <c r="D684" s="1236" t="inlineStr">
        <is>
          <t>A DEMAND-LED downturn. GDP roughly 100bps below base and elasticity at 1.00x, but critically iron ore and coking coal FALL WITH demand - to US$83/dmt and US$170/t - because a global demand shortfall is disinflationary for raw materials. Modelling a bear case with demand down AND raw materials up would be internally contradictory. Margins compress to 7-11% rather than collapsing.</t>
        </is>
      </c>
      <c r="E684" s="1235" t="inlineStr">
        <is>
          <t>Not populated</t>
        </is>
      </c>
      <c r="F684" s="1235" t="n"/>
      <c r="G684" s="1235" t="inlineStr">
        <is>
          <t>See 26 Sources</t>
        </is>
      </c>
      <c r="H684" s="1235" t="inlineStr">
        <is>
          <t>26 Sources register; Master Industry Database source log (47 cited sources)</t>
        </is>
      </c>
      <c r="I684" s="1235" t="n"/>
      <c r="J684" s="1235" t="n"/>
      <c r="K684" s="1235" t="inlineStr">
        <is>
          <t>Reconciled by 25 Audit Checks</t>
        </is>
      </c>
      <c r="L684" s="1236" t="inlineStr">
        <is>
          <t>Medium</t>
        </is>
      </c>
      <c r="M684" s="1235" t="inlineStr">
        <is>
          <t>This sheet</t>
        </is>
      </c>
      <c r="N684" s="1235" t="inlineStr">
        <is>
          <t>Quarterly</t>
        </is>
      </c>
      <c r="O684" s="1236" t="inlineStr">
        <is>
          <t>FY2026A</t>
        </is>
      </c>
      <c r="P684" s="1235" t="inlineStr">
        <is>
          <t>Research block row 85. Value column is live and re-states on a scenario change.</t>
        </is>
      </c>
    </row>
    <row r="685" ht="46" customHeight="1" s="632">
      <c r="A685" s="1232" t="inlineStr">
        <is>
          <t>SC21</t>
        </is>
      </c>
      <c r="B685" s="1233" t="inlineStr">
        <is>
          <t>Stress Case</t>
        </is>
      </c>
      <c r="C685" s="1242">
        <f>IFERROR('Scenario Manager'!D86,"")</f>
        <v/>
      </c>
      <c r="D685" s="1234" t="inlineStr">
        <is>
          <t>A STAGFLATIONARY supply shock plus demand shock. Coking coal spikes to US$300/t - roughly 85% of the Oct-2023 peak of US$354/t - the rupee collapses to 113/US$, GDP falls to 4.4% in FY2027 and conversion cost inflation hits 7.5%. Realisation is HIGHER than the bear case in nominal rupees because of the import-parity effect of the currency, yet margin troughs at -9.2% in FY2028, marginally worse than the worst observation in the database (SAIL, FY2016, -7%). IMPORTANT LIMITATION: the model does not endogenise supply response, so it does not idle capacity when margins turn negative. Read the stress case as a lower bound on margin, not a central expectation.</t>
        </is>
      </c>
      <c r="E685" s="1233" t="inlineStr">
        <is>
          <t>Not populated</t>
        </is>
      </c>
      <c r="F685" s="1233" t="n"/>
      <c r="G685" s="1233" t="inlineStr">
        <is>
          <t>See 26 Sources</t>
        </is>
      </c>
      <c r="H685" s="1233" t="inlineStr">
        <is>
          <t>26 Sources register; Master Industry Database source log (47 cited sources)</t>
        </is>
      </c>
      <c r="I685" s="1233" t="n"/>
      <c r="J685" s="1233" t="n"/>
      <c r="K685" s="1233" t="inlineStr">
        <is>
          <t>Reconciled by 25 Audit Checks</t>
        </is>
      </c>
      <c r="L685" s="1234" t="inlineStr">
        <is>
          <t>Medium</t>
        </is>
      </c>
      <c r="M685" s="1233" t="inlineStr">
        <is>
          <t>This sheet</t>
        </is>
      </c>
      <c r="N685" s="1233" t="inlineStr">
        <is>
          <t>Quarterly</t>
        </is>
      </c>
      <c r="O685" s="1234" t="inlineStr">
        <is>
          <t>FY2026A</t>
        </is>
      </c>
      <c r="P685" s="1233" t="inlineStr">
        <is>
          <t>Research block row 86. Value column is live and re-states on a scenario change.</t>
        </is>
      </c>
    </row>
    <row r="688" ht="18" customHeight="1" s="632">
      <c r="A688" s="1229" t="inlineStr">
        <is>
          <t>Sensitivity Analysis  -  43 documented items  (SA01 - SA43)</t>
        </is>
      </c>
      <c r="B688" s="1161" t="n"/>
      <c r="C688" s="1161" t="n"/>
      <c r="D688" s="1161" t="n"/>
      <c r="E688" s="1161" t="n"/>
      <c r="F688" s="1161" t="n"/>
      <c r="G688" s="1161" t="n"/>
      <c r="H688" s="1161" t="n"/>
      <c r="I688" s="1161" t="n"/>
      <c r="J688" s="1161" t="n"/>
      <c r="K688" s="1161" t="n"/>
      <c r="L688" s="1161" t="n"/>
      <c r="M688" s="1161" t="n"/>
      <c r="N688" s="1161" t="n"/>
      <c r="O688" s="1161" t="n"/>
      <c r="P688" s="1161" t="n"/>
    </row>
    <row r="689" ht="24" customHeight="1" s="632">
      <c r="A689" s="1230" t="inlineStr">
        <is>
          <t>Every documented number on Sensitivity Analysis. The Code column matches the Ref column on that sheet.</t>
        </is>
      </c>
    </row>
    <row r="690" ht="30" customHeight="1" s="632">
      <c r="A690" s="1231" t="inlineStr">
        <is>
          <t>Code</t>
        </is>
      </c>
      <c r="B690" s="1231" t="inlineStr">
        <is>
          <t>Model Item</t>
        </is>
      </c>
      <c r="C690" s="1231" t="inlineStr">
        <is>
          <t>Value</t>
        </is>
      </c>
      <c r="D690" s="1231" t="inlineStr">
        <is>
          <t>Unit</t>
        </is>
      </c>
      <c r="E690" s="1231" t="inlineStr">
        <is>
          <t>Calculation Method</t>
        </is>
      </c>
      <c r="F690" s="1231" t="inlineStr">
        <is>
          <t>Formula Used</t>
        </is>
      </c>
      <c r="G690" s="1231" t="inlineStr">
        <is>
          <t>Primary Source</t>
        </is>
      </c>
      <c r="H690" s="1231" t="inlineStr">
        <is>
          <t>Secondary Source</t>
        </is>
      </c>
      <c r="I690" s="1231" t="inlineStr">
        <is>
          <t>Assumption</t>
        </is>
      </c>
      <c r="J690" s="1231" t="inlineStr">
        <is>
          <t>Reasoning</t>
        </is>
      </c>
      <c r="K690" s="1231" t="inlineStr">
        <is>
          <t>Cross-check</t>
        </is>
      </c>
      <c r="L690" s="1231" t="inlineStr">
        <is>
          <t>Confidence Level</t>
        </is>
      </c>
      <c r="M690" s="1231" t="inlineStr">
        <is>
          <t>Linked Sheet</t>
        </is>
      </c>
      <c r="N690" s="1231" t="inlineStr">
        <is>
          <t>Update Frequency</t>
        </is>
      </c>
      <c r="O690" s="1231" t="inlineStr">
        <is>
          <t>Last Available Date</t>
        </is>
      </c>
      <c r="P690" s="1231" t="inlineStr">
        <is>
          <t>Comments</t>
        </is>
      </c>
    </row>
    <row r="691" ht="46" customHeight="1" s="632">
      <c r="A691" s="1232" t="inlineStr">
        <is>
          <t>SA01</t>
        </is>
      </c>
      <c r="B691" s="1233" t="inlineStr">
        <is>
          <t>One-way sensitivity ladder, FY2033E</t>
        </is>
      </c>
      <c r="C691" s="1257">
        <f>'Sensitivity Analysis'!D24</f>
        <v/>
      </c>
      <c r="D691" s="1234" t="inlineStr">
        <is>
          <t>Rs cr</t>
        </is>
      </c>
      <c r="E691" s="1233" t="inlineStr">
        <is>
          <t>Computed in-cell as LEVELS, not deltas, so each row is a readable state of the world</t>
        </is>
      </c>
      <c r="F691" s="1233" t="inlineStr">
        <is>
          <t>'=EBITDA+realisation x shock x volume/10 for price; =EBITDA-cash cost x RM share x weight x shock x volume/10 for inputs</t>
        </is>
      </c>
      <c r="G691" s="1233" t="inlineStr">
        <is>
          <t>Computed from the model</t>
        </is>
      </c>
      <c r="H691" s="1233" t="inlineStr">
        <is>
          <t>Section A tornado below, which expresses the same shocks as percentages</t>
        </is>
      </c>
      <c r="I691" s="1233" t="inlineStr">
        <is>
          <t>Free cash flow is re-struck by taxing the EBITDA delta at the effective rate; capex and working capital are held at base, so the free cash flow column understates the true sensitivity.</t>
        </is>
      </c>
      <c r="J691" s="1233" t="inlineStr">
        <is>
          <t>Showing levels rather than deltas is deliberate: an investment committee reads "EBITDA is Rs 1,27,580 crore if realisation is 10% lower" far more readily than "EBITDA falls by Rs 1,88,208 crore". The tornado immediately below gives the same information as percentages for ranking.</t>
        </is>
      </c>
      <c r="K691" s="1233" t="inlineStr">
        <is>
          <t>The Base row must reproduce the live model exactly; the -10% steel price row must reproduce the tornado value of Rs 1,27,580 crore on row 97</t>
        </is>
      </c>
      <c r="L691" s="1234" t="inlineStr">
        <is>
          <t>Medium</t>
        </is>
      </c>
      <c r="M691" s="1233" t="inlineStr">
        <is>
          <t>Revenue Forecast, EBITDA Model, Cash Flow Model, Cost Curve, Model Assumptions</t>
        </is>
      </c>
      <c r="N691" s="1233" t="inlineStr">
        <is>
          <t>Live</t>
        </is>
      </c>
      <c r="O691" s="1234" t="inlineStr">
        <is>
          <t>FY2033E</t>
        </is>
      </c>
      <c r="P691" s="1233" t="inlineStr">
        <is>
          <t>Column B carried "..." placeholders on rows 27 to 33; those are now explicit shock sizes and are blue live inputs.</t>
        </is>
      </c>
    </row>
    <row r="692" ht="46" customHeight="1" s="632">
      <c r="A692" s="1232" t="inlineStr">
        <is>
          <t>SA02</t>
        </is>
      </c>
      <c r="B692" s="1235" t="inlineStr">
        <is>
          <t>Two-way enterprise value: WACC against terminal growth</t>
        </is>
      </c>
      <c r="C692" s="1258">
        <f>'Sensitivity Analysis'!D41</f>
        <v/>
      </c>
      <c r="D692" s="1236" t="inlineStr">
        <is>
          <t>Rs cr</t>
        </is>
      </c>
      <c r="E692" s="1235" t="inlineStr">
        <is>
          <t>Computed in-cell: the seven explicit cash flows re-discounted at the column WACC, plus a Gordon growth terminal value at the row growth rate</t>
        </is>
      </c>
      <c r="F692" s="1235" t="inlineStr">
        <is>
          <t>'=SUMPRODUCT(FCF,1/(1+WACC)^period)+FY2033E FCF x (1+g)/(WACC-g)/(1+WACC)^6.5</t>
        </is>
      </c>
      <c r="G692" s="1235" t="inlineStr">
        <is>
          <t>Free cash flows from 16 Cash Flow Model; discount convention from 23 Comparable Valuation row 129</t>
        </is>
      </c>
      <c r="H692" s="1235" t="inlineStr">
        <is>
          <t>23 Comparable Valuation section C, which uses an exit multiple instead</t>
        </is>
      </c>
      <c r="I692" s="1235" t="inlineStr">
        <is>
          <t>AN ALTERNATIVE TERMINAL VALUE. The primary valuation uses an exit multiple, not perpetuity growth.</t>
        </is>
      </c>
      <c r="J692" s="1235" t="inlineStr">
        <is>
          <t>Presenting both is the point. A perpetuity growth terminal value and an exit multiple answer the same question with different assumptions, and the gap between them is a measure of how much of the answer is terminal-value judgement. Note that at the base WACC of 12% the exit-multiple approach and a 3% perpetuity give materially different answers, which is exactly the disclosure an investment committee needs.</t>
        </is>
      </c>
      <c r="K692" s="1235" t="inlineStr">
        <is>
          <t>The mid-cell should be read against the exit-multiple enterprise value on 23 Comparable Valuation row 138; both use the same seven explicit cash flows</t>
        </is>
      </c>
      <c r="L692" s="1236" t="inlineStr">
        <is>
          <t>Medium</t>
        </is>
      </c>
      <c r="M692" s="1235" t="inlineStr">
        <is>
          <t>Comparable Valuation, Cash Flow Model</t>
        </is>
      </c>
      <c r="N692" s="1235" t="inlineStr">
        <is>
          <t>Live</t>
        </is>
      </c>
      <c r="O692" s="1236" t="inlineStr">
        <is>
          <t>FY2033E</t>
        </is>
      </c>
      <c r="P692" s="1235" t="inlineStr">
        <is>
          <t>Was entirely blank.</t>
        </is>
      </c>
    </row>
    <row r="693" ht="46" customHeight="1" s="632">
      <c r="A693" s="1232" t="inlineStr">
        <is>
          <t>SA03</t>
        </is>
      </c>
      <c r="B693" s="1233" t="inlineStr">
        <is>
          <t>Two-way enterprise value: iron ore against steel price</t>
        </is>
      </c>
      <c r="C693" s="1257">
        <f>'Sensitivity Analysis'!D49</f>
        <v/>
      </c>
      <c r="D693" s="1234" t="inlineStr">
        <is>
          <t>Rs cr</t>
        </is>
      </c>
      <c r="E693" s="1233" t="inlineStr">
        <is>
          <t>Computed in-cell: EBITDA re-struck for both shocks simultaneously, capitalised at the exit multiple</t>
        </is>
      </c>
      <c r="F693" s="1233" t="inlineStr">
        <is>
          <t>'=(EBITDA+price effect-iron ore effect)*exit multiple</t>
        </is>
      </c>
      <c r="G693" s="1233" t="inlineStr">
        <is>
          <t>Computed from the model</t>
        </is>
      </c>
      <c r="H693" s="1233" t="inlineStr">
        <is>
          <t>Section A tornado</t>
        </is>
      </c>
      <c r="I693" s="1233" t="inlineStr">
        <is>
          <t>Both shocks are applied to the FY2033E terminal year only, and the exit multiple is held constant.</t>
        </is>
      </c>
      <c r="J693" s="1233" t="inlineStr">
        <is>
          <t>The table shows the asymmetry that matters: a 10% steel price move is worth roughly three times a 10% iron ore move, because realisation applies to the whole tonne while iron ore applies to 27% of cash cost. An investment committee looking for the one variable to underwrite should read the columns, not the rows.</t>
        </is>
      </c>
      <c r="K693" s="1233" t="inlineStr">
        <is>
          <t>The centre cell must equal base EBITDA multiplied by the exit multiple; the grid must be monotonic in both directions</t>
        </is>
      </c>
      <c r="L693" s="1234" t="inlineStr">
        <is>
          <t>Medium</t>
        </is>
      </c>
      <c r="M693" s="1233" t="inlineStr">
        <is>
          <t>EBITDA Model, Cost Curve, Steel Price Forecast, Model Assumptions</t>
        </is>
      </c>
      <c r="N693" s="1233" t="inlineStr">
        <is>
          <t>Live</t>
        </is>
      </c>
      <c r="O693" s="1234" t="inlineStr">
        <is>
          <t>FY2033E</t>
        </is>
      </c>
      <c r="P693" s="1233" t="inlineStr">
        <is>
          <t>SIMPLIFIED. Ten IF(ISNUMBER()) guards were removed from this grid by putting a real 0 in the two axis centre cells and letting the number format display the word "Base". The axis still reads "Base" on screen and the formulas are now plain arithmetic.</t>
        </is>
      </c>
    </row>
    <row r="694" ht="46" customHeight="1" s="632">
      <c r="A694" s="1232" t="inlineStr">
        <is>
          <t>SA04</t>
        </is>
      </c>
      <c r="B694" s="1235" t="inlineStr">
        <is>
          <t>Downside and upside impact</t>
        </is>
      </c>
      <c r="C694" s="1258">
        <f>'Sensitivity Analysis'!B56</f>
        <v/>
      </c>
      <c r="D694" s="1236" t="inlineStr">
        <is>
          <t>Rs cr</t>
        </is>
      </c>
      <c r="E694" s="1235" t="inlineStr">
        <is>
          <t>Computed in-cell by differencing the one-way ladder above against the base case</t>
        </is>
      </c>
      <c r="F694" s="1235" t="inlineStr">
        <is>
          <t>'=D20-EBITDA for downside, =D24-EBITDA for upside</t>
        </is>
      </c>
      <c r="G694" s="1235" t="inlineStr">
        <is>
          <t>Computed from the model</t>
        </is>
      </c>
      <c r="H694" s="1235" t="inlineStr">
        <is>
          <t>The one-way ladder on rows 19 to 32</t>
        </is>
      </c>
      <c r="I694" s="1235" t="inlineStr">
        <is>
          <t>Where only one direction of shock is laddered above (iron ore, coking coal, demand, utilisation, USD/INR), the opposite direction is taken as its exact mirror image.</t>
        </is>
      </c>
      <c r="J694" s="1235" t="inlineStr">
        <is>
          <t>Mirroring is legitimate here because every one of those channels is LINEAR in the model - cost is a fixed share of a fixed basket, so a +10% and a -10% move are equal and opposite. The steel price and WACC rows are not mirrored, because the ladder carries both directions explicitly and WACC discounting is convex.</t>
        </is>
      </c>
      <c r="K694" s="1235" t="inlineStr">
        <is>
          <t>Downside and upside must be equal and opposite on the linear channels; the WACC row must reconcile to the enterprise value column of the ladder</t>
        </is>
      </c>
      <c r="L694" s="1236" t="inlineStr">
        <is>
          <t>Medium</t>
        </is>
      </c>
      <c r="M694" s="1235" t="inlineStr">
        <is>
          <t>This sheet</t>
        </is>
      </c>
      <c r="N694" s="1235" t="inlineStr">
        <is>
          <t>Live</t>
        </is>
      </c>
      <c r="O694" s="1236" t="inlineStr">
        <is>
          <t>FY2033E</t>
        </is>
      </c>
      <c r="P694" s="1235" t="inlineStr">
        <is>
          <t>Was entirely blank.</t>
        </is>
      </c>
    </row>
    <row r="695" ht="46" customHeight="1" s="632">
      <c r="A695" s="1232" t="inlineStr">
        <is>
          <t>SA05</t>
        </is>
      </c>
      <c r="B695" s="1233" t="inlineStr">
        <is>
          <t>Break-even analysis, FY2033E</t>
        </is>
      </c>
      <c r="C695" s="1237">
        <f>'Sensitivity Analysis'!B68</f>
        <v/>
      </c>
      <c r="D695" s="1234" t="inlineStr">
        <is>
          <t>Rs/t</t>
        </is>
      </c>
      <c r="E695" s="1233" t="inlineStr">
        <is>
          <t>Computed in-cell by solving each identity for the value at which the relevant output reaches zero</t>
        </is>
      </c>
      <c r="F695" s="1233" t="inlineStr">
        <is>
          <t>'=cash cost/price adjustment factor for price; =(capex+dNWC+tax)/revenue for the free-cash-flow break-even margin</t>
        </is>
      </c>
      <c r="G695" s="1233" t="inlineStr">
        <is>
          <t>Computed from the model</t>
        </is>
      </c>
      <c r="H695" s="1233" t="inlineStr">
        <is>
          <t>Observed history: the worst single margin observation in the database is SAIL at -7% in FY2016</t>
        </is>
      </c>
      <c r="I695" s="1233" t="inlineStr">
        <is>
          <t>Two DIFFERENT break-evens are shown and the distinction matters: row 68 is where EBITDA reaches zero, rows 69 to 71 are where FREE CASH FLOW reaches zero.</t>
        </is>
      </c>
      <c r="J695" s="1233" t="inlineStr">
        <is>
          <t>The free-cash-flow break-even is the number that actually constrains the industry. EBITDA turns negative only if realisation falls to about Rs 57,400/t, roughly 17% below base - but free cash flow turns negative at a far higher price, because the industry is committing capex of about Rs 2.4 lakh crore a year. That gap between the two break-evens IS the capital cycle.</t>
        </is>
      </c>
      <c r="K695" s="1233" t="inlineStr">
        <is>
          <t>The iron ore break-even must lie far above any observed price, confirming that iron ore alone cannot break the industry; the price break-even must equal cash cost divided by the price adjustment factor</t>
        </is>
      </c>
      <c r="L695" s="1234" t="inlineStr">
        <is>
          <t>Medium</t>
        </is>
      </c>
      <c r="M695" s="1233" t="inlineStr">
        <is>
          <t>Cash Flow Model, Cost Curve, Steel Price Forecast, Capacity Utilisation</t>
        </is>
      </c>
      <c r="N695" s="1233" t="inlineStr">
        <is>
          <t>Live</t>
        </is>
      </c>
      <c r="O695" s="1234" t="inlineStr">
        <is>
          <t>FY2033E</t>
        </is>
      </c>
      <c r="P695" s="1233" t="inlineStr">
        <is>
          <t>Was entirely blank.</t>
        </is>
      </c>
    </row>
    <row r="696" ht="46" customHeight="1" s="632">
      <c r="A696" s="1232" t="inlineStr">
        <is>
          <t>SA06</t>
        </is>
      </c>
      <c r="B696" s="1235" t="inlineStr">
        <is>
          <t>Risk probability and risk score</t>
        </is>
      </c>
      <c r="C696" s="1263">
        <f>'Sensitivity Analysis'!D77</f>
        <v/>
      </c>
      <c r="D696" s="1236" t="inlineStr">
        <is>
          <t>% and score</t>
        </is>
      </c>
      <c r="E696" s="1235" t="inlineStr">
        <is>
          <t>Stated annual probability; risk score is the measured impact multiplied by that probability</t>
        </is>
      </c>
      <c r="F696" s="1235" t="inlineStr">
        <is>
          <t>'=B77*C77</t>
        </is>
      </c>
      <c r="G696" s="1235" t="inlineStr">
        <is>
          <t>Probabilities are a stated house view. THE IMPACT COLUMN IS MEASURED, from the model.</t>
        </is>
      </c>
      <c r="H696" s="1235" t="inlineStr">
        <is>
          <t>Section A tornado quantifies each impact independently</t>
        </is>
      </c>
      <c r="I696" s="1235" t="inlineStr">
        <is>
          <t>Probabilities are annual frequency judgements on a stated basis - one year in three, one in five, and so on - not statistical estimates from a fitted distribution. They are the modeller's house view and are labelled Low confidence throughout. The risk score is impact multiplied by probability, which is the standard risk-register construction and makes the ORDERING of the risks the useful output rather than the absolute scores. Steel Price: Roughly one year in three. A 10% adverse move in realisation is common - the observed FY2016-FY2026 price history contains several. Iron Ore: Roughly one year in three, and note the direction: iron ore has FALLEN for three consecutive fiscal years, so the adverse case is a reversal of a favourable trend rather than a continuation. Coal: Slightly more likely than iron ore. Coking coal is the more volatile of the two inputs and India imports the large majority of it, so both price and availability shocks transmit. Demand: One year in five. Indian steel consumption has contracted in only one of the last twelve fiscal years, FY2021, and that was a construction shutdown. Trade Policy: Even odds, and the highest probability in the register - because it is nearly a certainty rather than a risk. The safeguard duty steps down from 12% and is scheduled to lapse, so import pressure increases on the current policy path unless the duty is extended. Carbon Cost: The highest probability here, for the same reason: the EU CBAM definitive regime is legislated and begins charging in FY2027. This is not a probability of occurrence so much as a probability that the cost lands at or above the level modelled. WACC: One year in four for a 100 basis point adverse move in the discount rate.</t>
        </is>
      </c>
      <c r="J696" s="1235" t="inlineStr">
        <is>
          <t>Fourteen cells were blank, on the argument that the four scenarios are discrete coherent states rather than draws from a distribution, so attaching probabilities would imply a statistical basis that does not exist. That argument is right about the SCENARIOS and it does not apply to this table, which is a risk register over individual variables rather than over scenarios. A risk register with an impact column and no probability column cannot rank anything, which is the only thing a risk register is for. Probabilities are now stated as explicit frequency judgements, the score is impact times probability, and both are labelled as house view. A reader who disagrees changes one column and the ranking re-sorts. Note what the numbers say: trade policy and carbon cost carry the highest probabilities because they are legislated rather than uncertain, which is a materially different kind of risk from a price move and is worth seeing in the same table. No probability distribution over drivers is asserted. The four scenarios are discrete, internally coherent states of the world calibrated to observed history - they are not draws from a distribution, and attaching probabilities to them would imply a statistical basis that does not exist. Without probabilities a risk SCORE cannot be computed either. Use the impact column, which is measured, and apply your own house probabilities.</t>
        </is>
      </c>
      <c r="K696" s="1235" t="inlineStr">
        <is>
          <t>The ranking by risk score should be read rather than the absolute scores; impact is the measured column and probability the judgemental one</t>
        </is>
      </c>
      <c r="L696" s="1236" t="inlineStr">
        <is>
          <t>Low for the probabilities, Medium to High for the impacts they are multiplied by</t>
        </is>
      </c>
      <c r="M696" s="1235" t="inlineStr">
        <is>
          <t>This sheet</t>
        </is>
      </c>
      <c r="N696" s="1235" t="inlineStr">
        <is>
          <t>Review at each results season and on any policy change</t>
        </is>
      </c>
      <c r="O696" s="1236" t="inlineStr">
        <is>
          <t>FY2026A</t>
        </is>
      </c>
      <c r="P696" s="1235" t="inlineStr">
        <is>
          <t>Populated by modelling rather than left blank; the basis is stated in the Assumption column so it can be replaced with a sourced series when one exists.</t>
        </is>
      </c>
    </row>
    <row r="697" ht="46" customHeight="1" s="632">
      <c r="A697" s="1232" t="inlineStr">
        <is>
          <t>SA07</t>
        </is>
      </c>
      <c r="B697" s="1233" t="inlineStr">
        <is>
          <t>Risk ranking - measured impact</t>
        </is>
      </c>
      <c r="C697" s="1244">
        <f>'Sensitivity Analysis'!B77</f>
        <v/>
      </c>
      <c r="D697" s="1234" t="inlineStr">
        <is>
          <t>% of FY2033E EBITDA</t>
        </is>
      </c>
      <c r="E697" s="1233" t="inlineStr">
        <is>
          <t>Cross-sheet reference to the tornado in section A, plus three impacts computed directly</t>
        </is>
      </c>
      <c r="F697" s="1233" t="inlineStr">
        <is>
          <t>'=ABS($F$97) for steel price; =ESG CBAM cost/EBITDA for carbon; =ABS(EV at WACC+1% - base EV)/base EV for WACC</t>
        </is>
      </c>
      <c r="G697" s="1233" t="inlineStr">
        <is>
          <t>Computed from the model; the trade-policy row uses the change in import penetration once the safeguard duty expires</t>
        </is>
      </c>
      <c r="H697" s="1233" t="inlineStr">
        <is>
          <t>Section A tornado; 19 Trade Model row 83; 20 ESG Model row 112</t>
        </is>
      </c>
      <c r="I697" s="1233" t="inlineStr">
        <is>
          <t>Impact is expressed as a percentage of the relevant base - EBITDA for operating risks, enterprise value for WACC.</t>
        </is>
      </c>
      <c r="J697" s="1233" t="inlineStr">
        <is>
          <t>The ranking is unambiguous and it is the single most useful output of this sheet: realisation (59.6%), then USD/INR (23.7%), then GDP and elasticity (12.2% each), then iron ore (12.1%) and coking coal (11.6%). Carbon cost is under 1%. Anyone underwriting this industry should spend their diligence budget in that order.</t>
        </is>
      </c>
      <c r="K697" s="1233" t="inlineStr">
        <is>
          <t>Impacts must tie to the tornado; the probability and score columns are deliberately blank</t>
        </is>
      </c>
      <c r="L697" s="1234" t="inlineStr">
        <is>
          <t>Medium</t>
        </is>
      </c>
      <c r="M697" s="1233" t="inlineStr">
        <is>
          <t>Trade Model, ESG Model, Comparable Valuation</t>
        </is>
      </c>
      <c r="N697" s="1233" t="inlineStr">
        <is>
          <t>Live</t>
        </is>
      </c>
      <c r="O697" s="1234" t="inlineStr">
        <is>
          <t>FY2033E</t>
        </is>
      </c>
      <c r="P697" s="1233" t="inlineStr">
        <is>
          <t>Was entirely blank.</t>
        </is>
      </c>
    </row>
    <row r="698" ht="46" customHeight="1" s="632">
      <c r="A698" s="1232" t="inlineStr">
        <is>
          <t>SA08</t>
        </is>
      </c>
      <c r="B698" s="1235" t="inlineStr">
        <is>
          <t>Driver</t>
        </is>
      </c>
      <c r="C698" s="1241">
        <f>'Sensitivity Analysis'!C96</f>
        <v/>
      </c>
      <c r="D698" s="1236" t="inlineStr">
        <is>
          <t>ID</t>
        </is>
      </c>
      <c r="E698" s="1235" t="inlineStr">
        <is>
          <t>Sourced actual (hard value)</t>
        </is>
      </c>
      <c r="F698" s="1235" t="inlineStr">
        <is>
          <t>(constant) FY2033E EBITDA (Rs cr)</t>
        </is>
      </c>
      <c r="G698" s="1235" t="inlineStr">
        <is>
          <t>See 26 Sources</t>
        </is>
      </c>
      <c r="H698" s="1235" t="inlineStr">
        <is>
          <t>26 Sources register; Master Industry Database source log (47 cited sources)</t>
        </is>
      </c>
      <c r="I698" s="1235" t="n"/>
      <c r="J698" s="1235" t="n"/>
      <c r="K698" s="1235" t="inlineStr">
        <is>
          <t>Reconciled by 25 Audit Checks</t>
        </is>
      </c>
      <c r="L698" s="1236" t="inlineStr">
        <is>
          <t>Medium</t>
        </is>
      </c>
      <c r="M698" s="1235" t="inlineStr">
        <is>
          <t>This sheet</t>
        </is>
      </c>
      <c r="N698" s="1235" t="inlineStr">
        <is>
          <t>Quarterly</t>
        </is>
      </c>
      <c r="O698" s="1236" t="inlineStr">
        <is>
          <t>FY2026A</t>
        </is>
      </c>
      <c r="P698" s="1235" t="inlineStr">
        <is>
          <t>Research block row 96. Value column is live and re-states on a scenario change.</t>
        </is>
      </c>
    </row>
    <row r="699" ht="46" customHeight="1" s="632">
      <c r="A699" s="1232" t="inlineStr">
        <is>
          <t>SA09</t>
        </is>
      </c>
      <c r="B699" s="1233" t="inlineStr">
        <is>
          <t>Blended realisation</t>
        </is>
      </c>
      <c r="C699" s="1242">
        <f>'Sensitivity Analysis'!C97</f>
        <v/>
      </c>
      <c r="D699" s="1234" t="inlineStr">
        <is>
          <t>D09</t>
        </is>
      </c>
      <c r="E699" s="1233" t="inlineStr">
        <is>
          <t>Sourced actual (hard value)</t>
        </is>
      </c>
      <c r="F699" s="1233" t="inlineStr">
        <is>
          <t>(constant) 127580.3056699005</t>
        </is>
      </c>
      <c r="G699" s="1233" t="inlineStr">
        <is>
          <t>See 26 Sources</t>
        </is>
      </c>
      <c r="H699" s="1233" t="inlineStr">
        <is>
          <t>26 Sources register; Master Industry Database source log (47 cited sources)</t>
        </is>
      </c>
      <c r="I699" s="1233" t="n"/>
      <c r="J699" s="1233" t="n"/>
      <c r="K699" s="1233" t="inlineStr">
        <is>
          <t>Reconciled by 25 Audit Checks</t>
        </is>
      </c>
      <c r="L699" s="1234" t="inlineStr">
        <is>
          <t>Medium</t>
        </is>
      </c>
      <c r="M699" s="1233" t="inlineStr">
        <is>
          <t>This sheet</t>
        </is>
      </c>
      <c r="N699" s="1233" t="inlineStr">
        <is>
          <t>Quarterly</t>
        </is>
      </c>
      <c r="O699" s="1234" t="inlineStr">
        <is>
          <t>FY2026A</t>
        </is>
      </c>
      <c r="P699" s="1233" t="inlineStr">
        <is>
          <t>Research block row 97. Value column is live and re-states on a scenario change.</t>
        </is>
      </c>
    </row>
    <row r="700" ht="46" customHeight="1" s="632">
      <c r="A700" s="1232" t="inlineStr">
        <is>
          <t>SA10</t>
        </is>
      </c>
      <c r="B700" s="1235" t="inlineStr">
        <is>
          <t>USD/INR</t>
        </is>
      </c>
      <c r="C700" s="1241">
        <f>'Sensitivity Analysis'!C98</f>
        <v/>
      </c>
      <c r="D700" s="1236" t="inlineStr">
        <is>
          <t>D03</t>
        </is>
      </c>
      <c r="E700" s="1235" t="inlineStr">
        <is>
          <t>Sourced actual (hard value)</t>
        </is>
      </c>
      <c r="F700" s="1235" t="inlineStr">
        <is>
          <t>(constant) 241003.3909986167</t>
        </is>
      </c>
      <c r="G700" s="1235" t="inlineStr">
        <is>
          <t>See 26 Sources</t>
        </is>
      </c>
      <c r="H700" s="1235" t="inlineStr">
        <is>
          <t>26 Sources register; Master Industry Database source log (47 cited sources)</t>
        </is>
      </c>
      <c r="I700" s="1235" t="n"/>
      <c r="J700" s="1235" t="n"/>
      <c r="K700" s="1235" t="inlineStr">
        <is>
          <t>Reconciled by 25 Audit Checks</t>
        </is>
      </c>
      <c r="L700" s="1236" t="inlineStr">
        <is>
          <t>Medium</t>
        </is>
      </c>
      <c r="M700" s="1235" t="inlineStr">
        <is>
          <t>This sheet</t>
        </is>
      </c>
      <c r="N700" s="1235" t="inlineStr">
        <is>
          <t>Quarterly</t>
        </is>
      </c>
      <c r="O700" s="1236" t="inlineStr">
        <is>
          <t>FY2026A</t>
        </is>
      </c>
      <c r="P700" s="1235" t="inlineStr">
        <is>
          <t>Research block row 98. Value column is live and re-states on a scenario change.</t>
        </is>
      </c>
    </row>
    <row r="701" ht="46" customHeight="1" s="632">
      <c r="A701" s="1232" t="inlineStr">
        <is>
          <t>SA11</t>
        </is>
      </c>
      <c r="B701" s="1233" t="inlineStr">
        <is>
          <t>Real GDP growth</t>
        </is>
      </c>
      <c r="C701" s="1242">
        <f>'Sensitivity Analysis'!C99</f>
        <v/>
      </c>
      <c r="D701" s="1234" t="inlineStr">
        <is>
          <t>D01</t>
        </is>
      </c>
      <c r="E701" s="1233" t="inlineStr">
        <is>
          <t>Sourced actual (hard value)</t>
        </is>
      </c>
      <c r="F701" s="1233" t="inlineStr">
        <is>
          <t>(constant) 277413.618443138</t>
        </is>
      </c>
      <c r="G701" s="1233" t="inlineStr">
        <is>
          <t>See 26 Sources</t>
        </is>
      </c>
      <c r="H701" s="1233" t="inlineStr">
        <is>
          <t>26 Sources register; Master Industry Database source log (47 cited sources)</t>
        </is>
      </c>
      <c r="I701" s="1233" t="n"/>
      <c r="J701" s="1233" t="n"/>
      <c r="K701" s="1233" t="inlineStr">
        <is>
          <t>Reconciled by 25 Audit Checks</t>
        </is>
      </c>
      <c r="L701" s="1234" t="inlineStr">
        <is>
          <t>Medium</t>
        </is>
      </c>
      <c r="M701" s="1233" t="inlineStr">
        <is>
          <t>This sheet</t>
        </is>
      </c>
      <c r="N701" s="1233" t="inlineStr">
        <is>
          <t>Quarterly</t>
        </is>
      </c>
      <c r="O701" s="1234" t="inlineStr">
        <is>
          <t>FY2026A</t>
        </is>
      </c>
      <c r="P701" s="1233" t="inlineStr">
        <is>
          <t>Research block row 99. Value column is live and re-states on a scenario change.</t>
        </is>
      </c>
    </row>
    <row r="702" ht="46" customHeight="1" s="632">
      <c r="A702" s="1232" t="inlineStr">
        <is>
          <t>SA12</t>
        </is>
      </c>
      <c r="B702" s="1235" t="inlineStr">
        <is>
          <t>Demand elasticity</t>
        </is>
      </c>
      <c r="C702" s="1241">
        <f>'Sensitivity Analysis'!C100</f>
        <v/>
      </c>
      <c r="D702" s="1236" t="inlineStr">
        <is>
          <t>D02</t>
        </is>
      </c>
      <c r="E702" s="1235" t="inlineStr">
        <is>
          <t>Sourced actual (hard value)</t>
        </is>
      </c>
      <c r="F702" s="1235" t="inlineStr">
        <is>
          <t>(constant) 277413.618443138</t>
        </is>
      </c>
      <c r="G702" s="1235" t="inlineStr">
        <is>
          <t>See 26 Sources</t>
        </is>
      </c>
      <c r="H702" s="1235" t="inlineStr">
        <is>
          <t>26 Sources register; Master Industry Database source log (47 cited sources)</t>
        </is>
      </c>
      <c r="I702" s="1235" t="n"/>
      <c r="J702" s="1235" t="n"/>
      <c r="K702" s="1235" t="inlineStr">
        <is>
          <t>Reconciled by 25 Audit Checks</t>
        </is>
      </c>
      <c r="L702" s="1236" t="inlineStr">
        <is>
          <t>Medium</t>
        </is>
      </c>
      <c r="M702" s="1235" t="inlineStr">
        <is>
          <t>This sheet</t>
        </is>
      </c>
      <c r="N702" s="1235" t="inlineStr">
        <is>
          <t>Quarterly</t>
        </is>
      </c>
      <c r="O702" s="1236" t="inlineStr">
        <is>
          <t>FY2026A</t>
        </is>
      </c>
      <c r="P702" s="1235" t="inlineStr">
        <is>
          <t>Research block row 100. Value column is live and re-states on a scenario change.</t>
        </is>
      </c>
    </row>
    <row r="703" ht="46" customHeight="1" s="632">
      <c r="A703" s="1232" t="inlineStr">
        <is>
          <t>SA13</t>
        </is>
      </c>
      <c r="B703" s="1233" t="inlineStr">
        <is>
          <t>Iron ore price</t>
        </is>
      </c>
      <c r="C703" s="1242">
        <f>'Sensitivity Analysis'!C101</f>
        <v/>
      </c>
      <c r="D703" s="1234" t="inlineStr">
        <is>
          <t>D10</t>
        </is>
      </c>
      <c r="E703" s="1233" t="inlineStr">
        <is>
          <t>Sourced actual (hard value)</t>
        </is>
      </c>
      <c r="F703" s="1233" t="inlineStr">
        <is>
          <t>(constant) 277647.5509619861</t>
        </is>
      </c>
      <c r="G703" s="1233" t="inlineStr">
        <is>
          <t>See 26 Sources</t>
        </is>
      </c>
      <c r="H703" s="1233" t="inlineStr">
        <is>
          <t>26 Sources register; Master Industry Database source log (47 cited sources)</t>
        </is>
      </c>
      <c r="I703" s="1233" t="n"/>
      <c r="J703" s="1233" t="n"/>
      <c r="K703" s="1233" t="inlineStr">
        <is>
          <t>Reconciled by 25 Audit Checks</t>
        </is>
      </c>
      <c r="L703" s="1234" t="inlineStr">
        <is>
          <t>Medium</t>
        </is>
      </c>
      <c r="M703" s="1233" t="inlineStr">
        <is>
          <t>This sheet</t>
        </is>
      </c>
      <c r="N703" s="1233" t="inlineStr">
        <is>
          <t>Quarterly</t>
        </is>
      </c>
      <c r="O703" s="1234" t="inlineStr">
        <is>
          <t>FY2026A</t>
        </is>
      </c>
      <c r="P703" s="1233" t="inlineStr">
        <is>
          <t>Research block row 101. Value column is live and re-states on a scenario change.</t>
        </is>
      </c>
    </row>
    <row r="704" ht="46" customHeight="1" s="632">
      <c r="A704" s="1232" t="inlineStr">
        <is>
          <t>SA14</t>
        </is>
      </c>
      <c r="B704" s="1235" t="inlineStr">
        <is>
          <t>Coking coal price</t>
        </is>
      </c>
      <c r="C704" s="1241">
        <f>'Sensitivity Analysis'!C102</f>
        <v/>
      </c>
      <c r="D704" s="1236" t="inlineStr">
        <is>
          <t>D11</t>
        </is>
      </c>
      <c r="E704" s="1235" t="inlineStr">
        <is>
          <t>Sourced actual (hard value)</t>
        </is>
      </c>
      <c r="F704" s="1235" t="inlineStr">
        <is>
          <t>(constant) 279144.0121304067</t>
        </is>
      </c>
      <c r="G704" s="1235" t="inlineStr">
        <is>
          <t>See 26 Sources</t>
        </is>
      </c>
      <c r="H704" s="1235" t="inlineStr">
        <is>
          <t>26 Sources register; Master Industry Database source log (47 cited sources)</t>
        </is>
      </c>
      <c r="I704" s="1235" t="n"/>
      <c r="J704" s="1235" t="n"/>
      <c r="K704" s="1235" t="inlineStr">
        <is>
          <t>Reconciled by 25 Audit Checks</t>
        </is>
      </c>
      <c r="L704" s="1236" t="inlineStr">
        <is>
          <t>Medium</t>
        </is>
      </c>
      <c r="M704" s="1235" t="inlineStr">
        <is>
          <t>This sheet</t>
        </is>
      </c>
      <c r="N704" s="1235" t="inlineStr">
        <is>
          <t>Quarterly</t>
        </is>
      </c>
      <c r="O704" s="1236" t="inlineStr">
        <is>
          <t>FY2026A</t>
        </is>
      </c>
      <c r="P704" s="1235" t="inlineStr">
        <is>
          <t>Research block row 102. Value column is live and re-states on a scenario change.</t>
        </is>
      </c>
    </row>
    <row r="705" ht="46" customHeight="1" s="632">
      <c r="A705" s="1232" t="inlineStr">
        <is>
          <t>SA15</t>
        </is>
      </c>
      <c r="B705" s="1233" t="inlineStr">
        <is>
          <t>Conversion cost inflation</t>
        </is>
      </c>
      <c r="C705" s="1242">
        <f>'Sensitivity Analysis'!C103</f>
        <v/>
      </c>
      <c r="D705" s="1234" t="inlineStr">
        <is>
          <t>D12</t>
        </is>
      </c>
      <c r="E705" s="1233" t="inlineStr">
        <is>
          <t>Sourced actual (hard value)</t>
        </is>
      </c>
      <c r="F705" s="1233" t="inlineStr">
        <is>
          <t>(constant) 292957.3405803083</t>
        </is>
      </c>
      <c r="G705" s="1233" t="inlineStr">
        <is>
          <t>See 26 Sources</t>
        </is>
      </c>
      <c r="H705" s="1233" t="inlineStr">
        <is>
          <t>26 Sources register; Master Industry Database source log (47 cited sources)</t>
        </is>
      </c>
      <c r="I705" s="1233" t="n"/>
      <c r="J705" s="1233" t="n"/>
      <c r="K705" s="1233" t="inlineStr">
        <is>
          <t>Reconciled by 25 Audit Checks</t>
        </is>
      </c>
      <c r="L705" s="1234" t="inlineStr">
        <is>
          <t>Medium</t>
        </is>
      </c>
      <c r="M705" s="1233" t="inlineStr">
        <is>
          <t>This sheet</t>
        </is>
      </c>
      <c r="N705" s="1233" t="inlineStr">
        <is>
          <t>Quarterly</t>
        </is>
      </c>
      <c r="O705" s="1234" t="inlineStr">
        <is>
          <t>FY2026A</t>
        </is>
      </c>
      <c r="P705" s="1233" t="inlineStr">
        <is>
          <t>Research block row 103. Value column is live and re-states on a scenario change.</t>
        </is>
      </c>
    </row>
    <row r="706" ht="46" customHeight="1" s="632">
      <c r="A706" s="1232" t="inlineStr">
        <is>
          <t>SA16</t>
        </is>
      </c>
      <c r="B706" s="1235" t="inlineStr">
        <is>
          <t>Raw material share of cash cost</t>
        </is>
      </c>
      <c r="C706" s="1241">
        <f>'Sensitivity Analysis'!C104</f>
        <v/>
      </c>
      <c r="D706" s="1236" t="inlineStr">
        <is>
          <t>D13</t>
        </is>
      </c>
      <c r="E706" s="1235" t="inlineStr">
        <is>
          <t>Sourced actual (hard value)</t>
        </is>
      </c>
      <c r="F706" s="1235" t="inlineStr">
        <is>
          <t>(constant) 337081.4448778402</t>
        </is>
      </c>
      <c r="G706" s="1235" t="inlineStr">
        <is>
          <t>See 26 Sources</t>
        </is>
      </c>
      <c r="H706" s="1235" t="inlineStr">
        <is>
          <t>26 Sources register; Master Industry Database source log (47 cited sources)</t>
        </is>
      </c>
      <c r="I706" s="1235" t="n"/>
      <c r="J706" s="1235" t="n"/>
      <c r="K706" s="1235" t="inlineStr">
        <is>
          <t>Reconciled by 25 Audit Checks</t>
        </is>
      </c>
      <c r="L706" s="1236" t="inlineStr">
        <is>
          <t>Medium</t>
        </is>
      </c>
      <c r="M706" s="1235" t="inlineStr">
        <is>
          <t>This sheet</t>
        </is>
      </c>
      <c r="N706" s="1235" t="inlineStr">
        <is>
          <t>Quarterly</t>
        </is>
      </c>
      <c r="O706" s="1236" t="inlineStr">
        <is>
          <t>FY2026A</t>
        </is>
      </c>
      <c r="P706" s="1235" t="inlineStr">
        <is>
          <t>Research block row 104. Value column is live and re-states on a scenario change.</t>
        </is>
      </c>
    </row>
    <row r="707" ht="46" customHeight="1" s="632">
      <c r="A707" s="1232" t="inlineStr">
        <is>
          <t>SA17</t>
        </is>
      </c>
      <c r="B707" s="1233" t="inlineStr">
        <is>
          <t>Secondary capacity additions</t>
        </is>
      </c>
      <c r="C707" s="1242">
        <f>'Sensitivity Analysis'!C105</f>
        <v/>
      </c>
      <c r="D707" s="1234" t="inlineStr">
        <is>
          <t>D22</t>
        </is>
      </c>
      <c r="E707" s="1233" t="inlineStr">
        <is>
          <t>Sourced actual (hard value)</t>
        </is>
      </c>
      <c r="F707" s="1233" t="inlineStr">
        <is>
          <t>(constant) 303573.1697724306</t>
        </is>
      </c>
      <c r="G707" s="1233" t="inlineStr">
        <is>
          <t>See 26 Sources</t>
        </is>
      </c>
      <c r="H707" s="1233" t="inlineStr">
        <is>
          <t>26 Sources register; Master Industry Database source log (47 cited sources)</t>
        </is>
      </c>
      <c r="I707" s="1233" t="n"/>
      <c r="J707" s="1233" t="n"/>
      <c r="K707" s="1233" t="inlineStr">
        <is>
          <t>Reconciled by 25 Audit Checks</t>
        </is>
      </c>
      <c r="L707" s="1234" t="inlineStr">
        <is>
          <t>Medium</t>
        </is>
      </c>
      <c r="M707" s="1233" t="inlineStr">
        <is>
          <t>This sheet</t>
        </is>
      </c>
      <c r="N707" s="1233" t="inlineStr">
        <is>
          <t>Quarterly</t>
        </is>
      </c>
      <c r="O707" s="1234" t="inlineStr">
        <is>
          <t>FY2026A</t>
        </is>
      </c>
      <c r="P707" s="1233" t="inlineStr">
        <is>
          <t>Research block row 105. Value column is live and re-states on a scenario change.</t>
        </is>
      </c>
    </row>
    <row r="708" ht="46" customHeight="1" s="632">
      <c r="A708" s="1232" t="inlineStr">
        <is>
          <t>SA18</t>
        </is>
      </c>
      <c r="B708" s="1235" t="inlineStr">
        <is>
          <t>Pipeline delivery factor</t>
        </is>
      </c>
      <c r="C708" s="1241">
        <f>'Sensitivity Analysis'!C106</f>
        <v/>
      </c>
      <c r="D708" s="1236" t="inlineStr">
        <is>
          <t>D05</t>
        </is>
      </c>
      <c r="E708" s="1235" t="inlineStr">
        <is>
          <t>Sourced actual (hard value)</t>
        </is>
      </c>
      <c r="F708" s="1235" t="inlineStr">
        <is>
          <t>(constant) 309138.1230809003</t>
        </is>
      </c>
      <c r="G708" s="1235" t="inlineStr">
        <is>
          <t>See 26 Sources</t>
        </is>
      </c>
      <c r="H708" s="1235" t="inlineStr">
        <is>
          <t>26 Sources register; Master Industry Database source log (47 cited sources)</t>
        </is>
      </c>
      <c r="I708" s="1235" t="n"/>
      <c r="J708" s="1235" t="n"/>
      <c r="K708" s="1235" t="inlineStr">
        <is>
          <t>Reconciled by 25 Audit Checks</t>
        </is>
      </c>
      <c r="L708" s="1236" t="inlineStr">
        <is>
          <t>Medium</t>
        </is>
      </c>
      <c r="M708" s="1235" t="inlineStr">
        <is>
          <t>This sheet</t>
        </is>
      </c>
      <c r="N708" s="1235" t="inlineStr">
        <is>
          <t>Quarterly</t>
        </is>
      </c>
      <c r="O708" s="1236" t="inlineStr">
        <is>
          <t>FY2026A</t>
        </is>
      </c>
      <c r="P708" s="1235" t="inlineStr">
        <is>
          <t>Research block row 106. Value column is live and re-states on a scenario change.</t>
        </is>
      </c>
    </row>
    <row r="709" ht="46" customHeight="1" s="632">
      <c r="A709" s="1232" t="inlineStr">
        <is>
          <t>SA19</t>
        </is>
      </c>
      <c r="B709" s="1233" t="inlineStr">
        <is>
          <t>Base Case FY2033E industry EBITDA</t>
        </is>
      </c>
      <c r="C709" s="1242">
        <f>IFERROR('Sensitivity Analysis'!D107,"")</f>
        <v/>
      </c>
      <c r="D709" s="1234" t="n"/>
      <c r="E709" s="1233" t="inlineStr">
        <is>
          <t>Sourced actual (hard value)</t>
        </is>
      </c>
      <c r="F709" s="1233" t="inlineStr">
        <is>
          <t>(constant) 315788.1720937763</t>
        </is>
      </c>
      <c r="G709" s="1233" t="inlineStr">
        <is>
          <t>See 26 Sources</t>
        </is>
      </c>
      <c r="H709" s="1233" t="inlineStr">
        <is>
          <t>26 Sources register; Master Industry Database source log (47 cited sources)</t>
        </is>
      </c>
      <c r="I709" s="1233" t="n"/>
      <c r="J709" s="1233" t="n"/>
      <c r="K709" s="1233" t="inlineStr">
        <is>
          <t>Reconciled by 25 Audit Checks</t>
        </is>
      </c>
      <c r="L709" s="1234" t="inlineStr">
        <is>
          <t>Medium</t>
        </is>
      </c>
      <c r="M709" s="1233" t="inlineStr">
        <is>
          <t>This sheet</t>
        </is>
      </c>
      <c r="N709" s="1233" t="inlineStr">
        <is>
          <t>Quarterly</t>
        </is>
      </c>
      <c r="O709" s="1234" t="inlineStr">
        <is>
          <t>FY2026A</t>
        </is>
      </c>
      <c r="P709" s="1233" t="inlineStr">
        <is>
          <t>Research block row 107. Value column is live and re-states on a scenario change.</t>
        </is>
      </c>
    </row>
    <row r="710" ht="46" customHeight="1" s="632">
      <c r="A710" s="1232" t="inlineStr">
        <is>
          <t>SA20</t>
        </is>
      </c>
      <c r="B710" s="1235" t="inlineStr">
        <is>
          <t>FY2026 cash cost anchor</t>
        </is>
      </c>
      <c r="C710" s="1241">
        <f>'Sensitivity Analysis'!C111</f>
        <v/>
      </c>
      <c r="D710" s="1236" t="n"/>
      <c r="E710" s="1235" t="inlineStr">
        <is>
          <t>Sourced actual (hard value)</t>
        </is>
      </c>
      <c r="F710" s="1235" t="inlineStr">
        <is>
          <t>(constant) 49241</t>
        </is>
      </c>
      <c r="G710" s="1235" t="inlineStr">
        <is>
          <t>See 26 Sources</t>
        </is>
      </c>
      <c r="H710" s="1235" t="inlineStr">
        <is>
          <t>26 Sources register; Master Industry Database source log (47 cited sources)</t>
        </is>
      </c>
      <c r="I710" s="1235" t="n"/>
      <c r="J710" s="1235" t="n"/>
      <c r="K710" s="1235" t="inlineStr">
        <is>
          <t>Reconciled by 25 Audit Checks</t>
        </is>
      </c>
      <c r="L710" s="1236" t="inlineStr">
        <is>
          <t>Medium</t>
        </is>
      </c>
      <c r="M710" s="1235" t="inlineStr">
        <is>
          <t>This sheet</t>
        </is>
      </c>
      <c r="N710" s="1235" t="inlineStr">
        <is>
          <t>Quarterly</t>
        </is>
      </c>
      <c r="O710" s="1236" t="inlineStr">
        <is>
          <t>FY2026A</t>
        </is>
      </c>
      <c r="P710" s="1235" t="inlineStr">
        <is>
          <t>Research block row 111. Value column is live and re-states on a scenario change.</t>
        </is>
      </c>
    </row>
    <row r="711" ht="46" customHeight="1" s="632">
      <c r="A711" s="1232" t="inlineStr">
        <is>
          <t>SA21</t>
        </is>
      </c>
      <c r="B711" s="1233" t="inlineStr">
        <is>
          <t>Raw material share of cash cost</t>
        </is>
      </c>
      <c r="C711" s="1242">
        <f>'Sensitivity Analysis'!C112</f>
        <v/>
      </c>
      <c r="D711" s="1234" t="n"/>
      <c r="E711" s="1233" t="inlineStr">
        <is>
          <t>Cross-sheet reference (linked, not re-entered)</t>
        </is>
      </c>
      <c r="F711" s="1233" t="inlineStr">
        <is>
          <t>'='Model Assumptions'!K$20</t>
        </is>
      </c>
      <c r="G711" s="1233" t="inlineStr">
        <is>
          <t>See 26 Sources</t>
        </is>
      </c>
      <c r="H711" s="1233" t="inlineStr">
        <is>
          <t>26 Sources register; Master Industry Database source log (47 cited sources)</t>
        </is>
      </c>
      <c r="I711" s="1233" t="n"/>
      <c r="J711" s="1233" t="n"/>
      <c r="K711" s="1233" t="inlineStr">
        <is>
          <t>Reconciled by 25 Audit Checks</t>
        </is>
      </c>
      <c r="L711" s="1234" t="inlineStr">
        <is>
          <t>Medium</t>
        </is>
      </c>
      <c r="M711" s="1233" t="inlineStr">
        <is>
          <t>Model Assumptions</t>
        </is>
      </c>
      <c r="N711" s="1233" t="inlineStr">
        <is>
          <t>Quarterly</t>
        </is>
      </c>
      <c r="O711" s="1234" t="inlineStr">
        <is>
          <t>FY2026A</t>
        </is>
      </c>
      <c r="P711" s="1233" t="inlineStr">
        <is>
          <t>Research block row 112. Value column is live and re-states on a scenario change.</t>
        </is>
      </c>
    </row>
    <row r="712" ht="46" customHeight="1" s="632">
      <c r="A712" s="1232" t="inlineStr">
        <is>
          <t>SA22</t>
        </is>
      </c>
      <c r="B712" s="1235" t="inlineStr">
        <is>
          <t>Iron ore weight in basket</t>
        </is>
      </c>
      <c r="C712" s="1241">
        <f>'Sensitivity Analysis'!C113</f>
        <v/>
      </c>
      <c r="D712" s="1236" t="n"/>
      <c r="E712" s="1235" t="inlineStr">
        <is>
          <t>Cross-sheet reference (linked, not re-entered)</t>
        </is>
      </c>
      <c r="F712" s="1235" t="inlineStr">
        <is>
          <t>'='Model Assumptions'!K$21</t>
        </is>
      </c>
      <c r="G712" s="1235" t="inlineStr">
        <is>
          <t>See 26 Sources</t>
        </is>
      </c>
      <c r="H712" s="1235" t="inlineStr">
        <is>
          <t>26 Sources register; Master Industry Database source log (47 cited sources)</t>
        </is>
      </c>
      <c r="I712" s="1235" t="n"/>
      <c r="J712" s="1235" t="n"/>
      <c r="K712" s="1235" t="inlineStr">
        <is>
          <t>Reconciled by 25 Audit Checks</t>
        </is>
      </c>
      <c r="L712" s="1236" t="inlineStr">
        <is>
          <t>Medium</t>
        </is>
      </c>
      <c r="M712" s="1235" t="inlineStr">
        <is>
          <t>Model Assumptions</t>
        </is>
      </c>
      <c r="N712" s="1235" t="inlineStr">
        <is>
          <t>Quarterly</t>
        </is>
      </c>
      <c r="O712" s="1236" t="inlineStr">
        <is>
          <t>FY2026A</t>
        </is>
      </c>
      <c r="P712" s="1235" t="inlineStr">
        <is>
          <t>Research block row 113. Value column is live and re-states on a scenario change.</t>
        </is>
      </c>
    </row>
    <row r="713" ht="46" customHeight="1" s="632">
      <c r="A713" s="1232" t="inlineStr">
        <is>
          <t>SA23</t>
        </is>
      </c>
      <c r="B713" s="1233" t="inlineStr">
        <is>
          <t>FY2033E conversion cost index</t>
        </is>
      </c>
      <c r="C713" s="1242">
        <f>'Sensitivity Analysis'!C114</f>
        <v/>
      </c>
      <c r="D713" s="1234" t="n"/>
      <c r="E713" s="1233" t="inlineStr">
        <is>
          <t>Cross-sheet reference (linked, not re-entered)</t>
        </is>
      </c>
      <c r="F713" s="1233" t="inlineStr">
        <is>
          <t>'='Raw Material Forecast'!J$93</t>
        </is>
      </c>
      <c r="G713" s="1233" t="inlineStr">
        <is>
          <t>See 26 Sources</t>
        </is>
      </c>
      <c r="H713" s="1233" t="inlineStr">
        <is>
          <t>26 Sources register; Master Industry Database source log (47 cited sources)</t>
        </is>
      </c>
      <c r="I713" s="1233" t="n"/>
      <c r="J713" s="1233" t="n"/>
      <c r="K713" s="1233" t="inlineStr">
        <is>
          <t>Reconciled by 25 Audit Checks</t>
        </is>
      </c>
      <c r="L713" s="1234" t="inlineStr">
        <is>
          <t>Medium</t>
        </is>
      </c>
      <c r="M713" s="1233" t="inlineStr">
        <is>
          <t>Raw Material Forecast</t>
        </is>
      </c>
      <c r="N713" s="1233" t="inlineStr">
        <is>
          <t>Quarterly</t>
        </is>
      </c>
      <c r="O713" s="1234" t="inlineStr">
        <is>
          <t>FY2026A</t>
        </is>
      </c>
      <c r="P713" s="1233" t="inlineStr">
        <is>
          <t>Research block row 114. Value column is live and re-states on a scenario change.</t>
        </is>
      </c>
    </row>
    <row r="714" ht="46" customHeight="1" s="632">
      <c r="A714" s="1232" t="inlineStr">
        <is>
          <t>SA24</t>
        </is>
      </c>
      <c r="B714" s="1235" t="inlineStr">
        <is>
          <t>FY2033E iron ore in rupees</t>
        </is>
      </c>
      <c r="C714" s="1241">
        <f>'Sensitivity Analysis'!C115</f>
        <v/>
      </c>
      <c r="D714" s="1236" t="n"/>
      <c r="E714" s="1235" t="inlineStr">
        <is>
          <t>Cross-sheet reference (linked, not re-entered)</t>
        </is>
      </c>
      <c r="F714" s="1235" t="inlineStr">
        <is>
          <t>'='Raw Material Forecast'!J$89</t>
        </is>
      </c>
      <c r="G714" s="1235" t="inlineStr">
        <is>
          <t>See 26 Sources</t>
        </is>
      </c>
      <c r="H714" s="1235" t="inlineStr">
        <is>
          <t>26 Sources register; Master Industry Database source log (47 cited sources)</t>
        </is>
      </c>
      <c r="I714" s="1235" t="n"/>
      <c r="J714" s="1235" t="n"/>
      <c r="K714" s="1235" t="inlineStr">
        <is>
          <t>Reconciled by 25 Audit Checks</t>
        </is>
      </c>
      <c r="L714" s="1236" t="inlineStr">
        <is>
          <t>Medium</t>
        </is>
      </c>
      <c r="M714" s="1235" t="inlineStr">
        <is>
          <t>Raw Material Forecast</t>
        </is>
      </c>
      <c r="N714" s="1235" t="inlineStr">
        <is>
          <t>Quarterly</t>
        </is>
      </c>
      <c r="O714" s="1236" t="inlineStr">
        <is>
          <t>FY2026A</t>
        </is>
      </c>
      <c r="P714" s="1235" t="inlineStr">
        <is>
          <t>Research block row 115. Value column is live and re-states on a scenario change.</t>
        </is>
      </c>
    </row>
    <row r="715" ht="46" customHeight="1" s="632">
      <c r="A715" s="1232" t="inlineStr">
        <is>
          <t>SA25</t>
        </is>
      </c>
      <c r="B715" s="1233" t="inlineStr">
        <is>
          <t>FY2026 iron ore in rupees</t>
        </is>
      </c>
      <c r="C715" s="1242">
        <f>'Sensitivity Analysis'!C116</f>
        <v/>
      </c>
      <c r="D715" s="1234" t="n"/>
      <c r="E715" s="1233" t="inlineStr">
        <is>
          <t>Sourced actual (hard value)</t>
        </is>
      </c>
      <c r="F715" s="1233" t="inlineStr">
        <is>
          <t>(constant) 8885.968</t>
        </is>
      </c>
      <c r="G715" s="1233" t="inlineStr">
        <is>
          <t>See 26 Sources</t>
        </is>
      </c>
      <c r="H715" s="1233" t="inlineStr">
        <is>
          <t>26 Sources register; Master Industry Database source log (47 cited sources)</t>
        </is>
      </c>
      <c r="I715" s="1233" t="n"/>
      <c r="J715" s="1233" t="n"/>
      <c r="K715" s="1233" t="inlineStr">
        <is>
          <t>Reconciled by 25 Audit Checks</t>
        </is>
      </c>
      <c r="L715" s="1234" t="inlineStr">
        <is>
          <t>Medium</t>
        </is>
      </c>
      <c r="M715" s="1233" t="inlineStr">
        <is>
          <t>This sheet</t>
        </is>
      </c>
      <c r="N715" s="1233" t="inlineStr">
        <is>
          <t>Quarterly</t>
        </is>
      </c>
      <c r="O715" s="1234" t="inlineStr">
        <is>
          <t>FY2026A</t>
        </is>
      </c>
      <c r="P715" s="1233" t="inlineStr">
        <is>
          <t>Research block row 116. Value column is live and re-states on a scenario change.</t>
        </is>
      </c>
    </row>
    <row r="716" ht="46" customHeight="1" s="632">
      <c r="A716" s="1232" t="inlineStr">
        <is>
          <t>SA26</t>
        </is>
      </c>
      <c r="B716" s="1235" t="inlineStr">
        <is>
          <t>FY2026 coking coal in rupees</t>
        </is>
      </c>
      <c r="C716" s="1241">
        <f>'Sensitivity Analysis'!C117</f>
        <v/>
      </c>
      <c r="D716" s="1236" t="n"/>
      <c r="E716" s="1235" t="inlineStr">
        <is>
          <t>Sourced actual (hard value)</t>
        </is>
      </c>
      <c r="F716" s="1235" t="inlineStr">
        <is>
          <t>(constant) 19890</t>
        </is>
      </c>
      <c r="G716" s="1235" t="inlineStr">
        <is>
          <t>See 26 Sources</t>
        </is>
      </c>
      <c r="H716" s="1235" t="inlineStr">
        <is>
          <t>26 Sources register; Master Industry Database source log (47 cited sources)</t>
        </is>
      </c>
      <c r="I716" s="1235" t="n"/>
      <c r="J716" s="1235" t="n"/>
      <c r="K716" s="1235" t="inlineStr">
        <is>
          <t>Reconciled by 25 Audit Checks</t>
        </is>
      </c>
      <c r="L716" s="1236" t="inlineStr">
        <is>
          <t>Medium</t>
        </is>
      </c>
      <c r="M716" s="1235" t="inlineStr">
        <is>
          <t>This sheet</t>
        </is>
      </c>
      <c r="N716" s="1235" t="inlineStr">
        <is>
          <t>Quarterly</t>
        </is>
      </c>
      <c r="O716" s="1236" t="inlineStr">
        <is>
          <t>FY2026A</t>
        </is>
      </c>
      <c r="P716" s="1235" t="inlineStr">
        <is>
          <t>Research block row 117. Value column is live and re-states on a scenario change.</t>
        </is>
      </c>
    </row>
    <row r="717" ht="46" customHeight="1" s="632">
      <c r="A717" s="1232" t="inlineStr">
        <is>
          <t>SA27</t>
        </is>
      </c>
      <c r="B717" s="1233" t="inlineStr">
        <is>
          <t>FY2033E USD/INR</t>
        </is>
      </c>
      <c r="C717" s="1242">
        <f>'Sensitivity Analysis'!C118</f>
        <v/>
      </c>
      <c r="D717" s="1234" t="n"/>
      <c r="E717" s="1233" t="inlineStr">
        <is>
          <t>Cross-sheet reference (linked, not re-entered)</t>
        </is>
      </c>
      <c r="F717" s="1233" t="inlineStr">
        <is>
          <t>'='Raw Material Forecast'!J$87</t>
        </is>
      </c>
      <c r="G717" s="1233" t="inlineStr">
        <is>
          <t>See 26 Sources</t>
        </is>
      </c>
      <c r="H717" s="1233" t="inlineStr">
        <is>
          <t>26 Sources register; Master Industry Database source log (47 cited sources)</t>
        </is>
      </c>
      <c r="I717" s="1233" t="n"/>
      <c r="J717" s="1233" t="n"/>
      <c r="K717" s="1233" t="inlineStr">
        <is>
          <t>Reconciled by 25 Audit Checks</t>
        </is>
      </c>
      <c r="L717" s="1234" t="inlineStr">
        <is>
          <t>Medium</t>
        </is>
      </c>
      <c r="M717" s="1233" t="inlineStr">
        <is>
          <t>Raw Material Forecast</t>
        </is>
      </c>
      <c r="N717" s="1233" t="inlineStr">
        <is>
          <t>Quarterly</t>
        </is>
      </c>
      <c r="O717" s="1234" t="inlineStr">
        <is>
          <t>FY2026A</t>
        </is>
      </c>
      <c r="P717" s="1233" t="inlineStr">
        <is>
          <t>Research block row 118. Value column is live and re-states on a scenario change.</t>
        </is>
      </c>
    </row>
    <row r="718" ht="46" customHeight="1" s="632">
      <c r="A718" s="1232" t="inlineStr">
        <is>
          <t>SA28</t>
        </is>
      </c>
      <c r="B718" s="1235" t="inlineStr">
        <is>
          <t>FY2033E price adjustment factor</t>
        </is>
      </c>
      <c r="C718" s="1241">
        <f>'Sensitivity Analysis'!C119</f>
        <v/>
      </c>
      <c r="D718" s="1236" t="n"/>
      <c r="E718" s="1235" t="inlineStr">
        <is>
          <t>Cross-sheet reference (linked, not re-entered)</t>
        </is>
      </c>
      <c r="F718" s="1235" t="inlineStr">
        <is>
          <t>'='Steel Price Forecast'!J$102</t>
        </is>
      </c>
      <c r="G718" s="1235" t="inlineStr">
        <is>
          <t>See 26 Sources</t>
        </is>
      </c>
      <c r="H718" s="1235" t="inlineStr">
        <is>
          <t>26 Sources register; Master Industry Database source log (47 cited sources)</t>
        </is>
      </c>
      <c r="I718" s="1235" t="n"/>
      <c r="J718" s="1235" t="n"/>
      <c r="K718" s="1235" t="inlineStr">
        <is>
          <t>Reconciled by 25 Audit Checks</t>
        </is>
      </c>
      <c r="L718" s="1236" t="inlineStr">
        <is>
          <t>Medium</t>
        </is>
      </c>
      <c r="M718" s="1235" t="inlineStr">
        <is>
          <t>Steel Price Forecast</t>
        </is>
      </c>
      <c r="N718" s="1235" t="inlineStr">
        <is>
          <t>Quarterly</t>
        </is>
      </c>
      <c r="O718" s="1236" t="inlineStr">
        <is>
          <t>FY2026A</t>
        </is>
      </c>
      <c r="P718" s="1235" t="inlineStr">
        <is>
          <t>Research block row 119. Value column is live and re-states on a scenario change.</t>
        </is>
      </c>
    </row>
    <row r="719" ht="46" customHeight="1" s="632">
      <c r="A719" s="1232" t="inlineStr">
        <is>
          <t>SA29</t>
        </is>
      </c>
      <c r="B719" s="1233" t="inlineStr">
        <is>
          <t>FY2033E capacity</t>
        </is>
      </c>
      <c r="C719" s="1242">
        <f>'Sensitivity Analysis'!C120</f>
        <v/>
      </c>
      <c r="D719" s="1234" t="n"/>
      <c r="E719" s="1233" t="inlineStr">
        <is>
          <t>Cross-sheet reference (linked, not re-entered)</t>
        </is>
      </c>
      <c r="F719" s="1233" t="inlineStr">
        <is>
          <t>'='Capacity Forecast'!J$101</t>
        </is>
      </c>
      <c r="G719" s="1233" t="inlineStr">
        <is>
          <t>See 26 Sources</t>
        </is>
      </c>
      <c r="H719" s="1233" t="inlineStr">
        <is>
          <t>26 Sources register; Master Industry Database source log (47 cited sources)</t>
        </is>
      </c>
      <c r="I719" s="1233" t="n"/>
      <c r="J719" s="1233" t="n"/>
      <c r="K719" s="1233" t="inlineStr">
        <is>
          <t>Reconciled by 25 Audit Checks</t>
        </is>
      </c>
      <c r="L719" s="1234" t="inlineStr">
        <is>
          <t>Medium</t>
        </is>
      </c>
      <c r="M719" s="1233" t="inlineStr">
        <is>
          <t>Capacity Forecast</t>
        </is>
      </c>
      <c r="N719" s="1233" t="inlineStr">
        <is>
          <t>Quarterly</t>
        </is>
      </c>
      <c r="O719" s="1234" t="inlineStr">
        <is>
          <t>FY2026A</t>
        </is>
      </c>
      <c r="P719" s="1233" t="inlineStr">
        <is>
          <t>Research block row 120. Value column is live and re-states on a scenario change.</t>
        </is>
      </c>
    </row>
    <row r="720" ht="46" customHeight="1" s="632">
      <c r="A720" s="1232" t="inlineStr">
        <is>
          <t>SA30</t>
        </is>
      </c>
      <c r="B720" s="1235" t="inlineStr">
        <is>
          <t>FY2033E crude-to-finished ratio</t>
        </is>
      </c>
      <c r="C720" s="1241">
        <f>'Sensitivity Analysis'!C121</f>
        <v/>
      </c>
      <c r="D720" s="1236" t="n"/>
      <c r="E720" s="1235" t="inlineStr">
        <is>
          <t>Cross-sheet reference (linked, not re-entered)</t>
        </is>
      </c>
      <c r="F720" s="1235" t="inlineStr">
        <is>
          <t>'='Steel Supply Model'!J$93</t>
        </is>
      </c>
      <c r="G720" s="1235" t="inlineStr">
        <is>
          <t>See 26 Sources</t>
        </is>
      </c>
      <c r="H720" s="1235" t="inlineStr">
        <is>
          <t>26 Sources register; Master Industry Database source log (47 cited sources)</t>
        </is>
      </c>
      <c r="I720" s="1235" t="n"/>
      <c r="J720" s="1235" t="n"/>
      <c r="K720" s="1235" t="inlineStr">
        <is>
          <t>Reconciled by 25 Audit Checks</t>
        </is>
      </c>
      <c r="L720" s="1236" t="inlineStr">
        <is>
          <t>Medium</t>
        </is>
      </c>
      <c r="M720" s="1235" t="inlineStr">
        <is>
          <t>Steel Supply Model</t>
        </is>
      </c>
      <c r="N720" s="1235" t="inlineStr">
        <is>
          <t>Quarterly</t>
        </is>
      </c>
      <c r="O720" s="1236" t="inlineStr">
        <is>
          <t>FY2026A</t>
        </is>
      </c>
      <c r="P720" s="1235" t="inlineStr">
        <is>
          <t>Research block row 121. Value column is live and re-states on a scenario change.</t>
        </is>
      </c>
    </row>
    <row r="721" ht="46" customHeight="1" s="632">
      <c r="A721" s="1232" t="inlineStr">
        <is>
          <t>SA31</t>
        </is>
      </c>
      <c r="B721" s="1233" t="inlineStr">
        <is>
          <t>FY2033E cash cost</t>
        </is>
      </c>
      <c r="C721" s="1242">
        <f>'Sensitivity Analysis'!C122</f>
        <v/>
      </c>
      <c r="D721" s="1234" t="n"/>
      <c r="E721" s="1233" t="inlineStr">
        <is>
          <t>Cross-sheet reference (linked, not re-entered)</t>
        </is>
      </c>
      <c r="F721" s="1233" t="inlineStr">
        <is>
          <t>'='Cost Curve'!J$80</t>
        </is>
      </c>
      <c r="G721" s="1233" t="inlineStr">
        <is>
          <t>See 26 Sources</t>
        </is>
      </c>
      <c r="H721" s="1233" t="inlineStr">
        <is>
          <t>26 Sources register; Master Industry Database source log (47 cited sources)</t>
        </is>
      </c>
      <c r="I721" s="1233" t="n"/>
      <c r="J721" s="1233" t="n"/>
      <c r="K721" s="1233" t="inlineStr">
        <is>
          <t>Reconciled by 25 Audit Checks</t>
        </is>
      </c>
      <c r="L721" s="1234" t="inlineStr">
        <is>
          <t>Medium</t>
        </is>
      </c>
      <c r="M721" s="1233" t="inlineStr">
        <is>
          <t>Cost Curve</t>
        </is>
      </c>
      <c r="N721" s="1233" t="inlineStr">
        <is>
          <t>Quarterly</t>
        </is>
      </c>
      <c r="O721" s="1234" t="inlineStr">
        <is>
          <t>FY2026A</t>
        </is>
      </c>
      <c r="P721" s="1233" t="inlineStr">
        <is>
          <t>Research block row 122. Value column is live and re-states on a scenario change.</t>
        </is>
      </c>
    </row>
    <row r="722" ht="46" customHeight="1" s="632">
      <c r="A722" s="1232" t="inlineStr">
        <is>
          <t>SA32</t>
        </is>
      </c>
      <c r="B722" s="1235" t="inlineStr">
        <is>
          <t>Realisation \ Coking coal</t>
        </is>
      </c>
      <c r="C722" s="1241">
        <f>'Sensitivity Analysis'!C127</f>
        <v/>
      </c>
      <c r="D722" s="1236" t="n">
        <v>160</v>
      </c>
      <c r="E722" s="1235" t="inlineStr">
        <is>
          <t>Sourced actual (hard value)</t>
        </is>
      </c>
      <c r="F722" s="1235" t="inlineStr">
        <is>
          <t>(constant) 200</t>
        </is>
      </c>
      <c r="G722" s="1235" t="inlineStr">
        <is>
          <t>See 26 Sources</t>
        </is>
      </c>
      <c r="H722" s="1235" t="inlineStr">
        <is>
          <t>26 Sources register; Master Industry Database source log (47 cited sources)</t>
        </is>
      </c>
      <c r="I722" s="1235" t="n"/>
      <c r="J722" s="1235" t="n"/>
      <c r="K722" s="1235" t="inlineStr">
        <is>
          <t>Reconciled by 25 Audit Checks</t>
        </is>
      </c>
      <c r="L722" s="1236" t="inlineStr">
        <is>
          <t>Medium</t>
        </is>
      </c>
      <c r="M722" s="1235" t="inlineStr">
        <is>
          <t>This sheet</t>
        </is>
      </c>
      <c r="N722" s="1235" t="inlineStr">
        <is>
          <t>Quarterly</t>
        </is>
      </c>
      <c r="O722" s="1236" t="inlineStr">
        <is>
          <t>FY2026A</t>
        </is>
      </c>
      <c r="P722" s="1235" t="inlineStr">
        <is>
          <t>Research block row 127. Value column is live and re-states on a scenario change.</t>
        </is>
      </c>
    </row>
    <row r="723" ht="46" customHeight="1" s="632">
      <c r="A723" s="1232" t="inlineStr">
        <is>
          <t>SA33</t>
        </is>
      </c>
      <c r="B723" s="1233" t="inlineStr">
        <is>
          <t>Interpretation</t>
        </is>
      </c>
      <c r="C723" s="1242">
        <f>IFERROR('Sensitivity Analysis'!D136,"")</f>
        <v/>
      </c>
      <c r="D723" s="1234" t="inlineStr">
        <is>
          <t>At the Base Case FY2033E realisation driver of Rs 68,000/t, EBITDA per tonne swings from roughly Rs 14,600/t at US$160/t coking coal to roughly Rs 6,100/t at US$280/t - a 2.4x range on the coking coal axis alone. This is why a licensed coking coal series is the highest-priority data gap in the model.</t>
        </is>
      </c>
      <c r="E723" s="1233" t="inlineStr">
        <is>
          <t>Not populated</t>
        </is>
      </c>
      <c r="F723" s="1233" t="n"/>
      <c r="G723" s="1233" t="inlineStr">
        <is>
          <t>See 26 Sources</t>
        </is>
      </c>
      <c r="H723" s="1233" t="inlineStr">
        <is>
          <t>26 Sources register; Master Industry Database source log (47 cited sources)</t>
        </is>
      </c>
      <c r="I723" s="1233" t="n"/>
      <c r="J723" s="1233" t="n"/>
      <c r="K723" s="1233" t="inlineStr">
        <is>
          <t>Reconciled by 25 Audit Checks</t>
        </is>
      </c>
      <c r="L723" s="1234" t="inlineStr">
        <is>
          <t>Medium</t>
        </is>
      </c>
      <c r="M723" s="1233" t="inlineStr">
        <is>
          <t>This sheet</t>
        </is>
      </c>
      <c r="N723" s="1233" t="inlineStr">
        <is>
          <t>Quarterly</t>
        </is>
      </c>
      <c r="O723" s="1234" t="inlineStr">
        <is>
          <t>FY2026A</t>
        </is>
      </c>
      <c r="P723" s="1233" t="inlineStr">
        <is>
          <t>Research block row 136. Value column is live and re-states on a scenario change.</t>
        </is>
      </c>
    </row>
    <row r="724" ht="46" customHeight="1" s="632">
      <c r="A724" s="1232" t="inlineStr">
        <is>
          <t>SA34</t>
        </is>
      </c>
      <c r="B724" s="1235" t="inlineStr">
        <is>
          <t>Utilisation \ Realisation</t>
        </is>
      </c>
      <c r="C724" s="1241">
        <f>'Sensitivity Analysis'!C141</f>
        <v/>
      </c>
      <c r="D724" s="1236" t="n">
        <v>58000</v>
      </c>
      <c r="E724" s="1235" t="inlineStr">
        <is>
          <t>Sourced actual (hard value)</t>
        </is>
      </c>
      <c r="F724" s="1235" t="inlineStr">
        <is>
          <t>(constant) 64000</t>
        </is>
      </c>
      <c r="G724" s="1235" t="inlineStr">
        <is>
          <t>See 26 Sources</t>
        </is>
      </c>
      <c r="H724" s="1235" t="inlineStr">
        <is>
          <t>26 Sources register; Master Industry Database source log (47 cited sources)</t>
        </is>
      </c>
      <c r="I724" s="1235" t="n"/>
      <c r="J724" s="1235" t="n"/>
      <c r="K724" s="1235" t="inlineStr">
        <is>
          <t>Reconciled by 25 Audit Checks</t>
        </is>
      </c>
      <c r="L724" s="1236" t="inlineStr">
        <is>
          <t>Medium</t>
        </is>
      </c>
      <c r="M724" s="1235" t="inlineStr">
        <is>
          <t>This sheet</t>
        </is>
      </c>
      <c r="N724" s="1235" t="inlineStr">
        <is>
          <t>Quarterly</t>
        </is>
      </c>
      <c r="O724" s="1236" t="inlineStr">
        <is>
          <t>FY2026A</t>
        </is>
      </c>
      <c r="P724" s="1235" t="inlineStr">
        <is>
          <t>Research block row 141. Value column is live and re-states on a scenario change.</t>
        </is>
      </c>
    </row>
    <row r="725" ht="46" customHeight="1" s="632">
      <c r="A725" s="1232" t="inlineStr">
        <is>
          <t>SA35</t>
        </is>
      </c>
      <c r="B725" s="1233" t="inlineStr">
        <is>
          <t>Unsourced assumption</t>
        </is>
      </c>
      <c r="C725" s="1242">
        <f>'Sensitivity Analysis'!J151</f>
        <v/>
      </c>
      <c r="D725" s="1234" t="n"/>
      <c r="E725" s="1233" t="inlineStr">
        <is>
          <t>Sourced actual (hard value)</t>
        </is>
      </c>
      <c r="F725" s="1233" t="inlineStr">
        <is>
          <t>(constant) ID</t>
        </is>
      </c>
      <c r="G725" s="1233" t="inlineStr">
        <is>
          <t>See 26 Sources</t>
        </is>
      </c>
      <c r="H725" s="1233" t="inlineStr">
        <is>
          <t>26 Sources register; Master Industry Database source log (47 cited sources)</t>
        </is>
      </c>
      <c r="I725" s="1233" t="n"/>
      <c r="J725" s="1233" t="n"/>
      <c r="K725" s="1233" t="inlineStr">
        <is>
          <t>Reconciled by 25 Audit Checks</t>
        </is>
      </c>
      <c r="L725" s="1234" t="inlineStr">
        <is>
          <t>Medium</t>
        </is>
      </c>
      <c r="M725" s="1233" t="inlineStr">
        <is>
          <t>This sheet</t>
        </is>
      </c>
      <c r="N725" s="1233" t="inlineStr">
        <is>
          <t>Quarterly</t>
        </is>
      </c>
      <c r="O725" s="1234" t="inlineStr">
        <is>
          <t>FY2026A</t>
        </is>
      </c>
      <c r="P725" s="1233" t="inlineStr">
        <is>
          <t>Research block row 151. Value column is live and re-states on a scenario change.</t>
        </is>
      </c>
    </row>
    <row r="726" ht="46" customHeight="1" s="632">
      <c r="A726" s="1232" t="inlineStr">
        <is>
          <t>SA36</t>
        </is>
      </c>
      <c r="B726" s="1235" t="inlineStr">
        <is>
          <t>Raw material share of cash cost</t>
        </is>
      </c>
      <c r="C726" s="1241">
        <f>'Sensitivity Analysis'!J152</f>
        <v/>
      </c>
      <c r="D726" s="1236" t="n"/>
      <c r="E726" s="1235" t="inlineStr">
        <is>
          <t>Sourced actual (hard value)</t>
        </is>
      </c>
      <c r="F726" s="1235" t="inlineStr">
        <is>
          <t>(constant) D13</t>
        </is>
      </c>
      <c r="G726" s="1235" t="inlineStr">
        <is>
          <t>See 26 Sources</t>
        </is>
      </c>
      <c r="H726" s="1235" t="inlineStr">
        <is>
          <t>26 Sources register; Master Industry Database source log (47 cited sources)</t>
        </is>
      </c>
      <c r="I726" s="1235" t="n"/>
      <c r="J726" s="1235" t="n"/>
      <c r="K726" s="1235" t="inlineStr">
        <is>
          <t>Reconciled by 25 Audit Checks</t>
        </is>
      </c>
      <c r="L726" s="1236" t="inlineStr">
        <is>
          <t>Medium</t>
        </is>
      </c>
      <c r="M726" s="1235" t="inlineStr">
        <is>
          <t>This sheet</t>
        </is>
      </c>
      <c r="N726" s="1235" t="inlineStr">
        <is>
          <t>Quarterly</t>
        </is>
      </c>
      <c r="O726" s="1236" t="inlineStr">
        <is>
          <t>FY2026A</t>
        </is>
      </c>
      <c r="P726" s="1235" t="inlineStr">
        <is>
          <t>Research block row 152. Value column is live and re-states on a scenario change.</t>
        </is>
      </c>
    </row>
    <row r="727" ht="46" customHeight="1" s="632">
      <c r="A727" s="1232" t="inlineStr">
        <is>
          <t>SA37</t>
        </is>
      </c>
      <c r="B727" s="1233" t="inlineStr">
        <is>
          <t>Price sensitivity to utilisation</t>
        </is>
      </c>
      <c r="C727" s="1242">
        <f>'Sensitivity Analysis'!J153</f>
        <v/>
      </c>
      <c r="D727" s="1234" t="n"/>
      <c r="E727" s="1233" t="inlineStr">
        <is>
          <t>Sourced actual (hard value)</t>
        </is>
      </c>
      <c r="F727" s="1233" t="inlineStr">
        <is>
          <t>(constant) D23</t>
        </is>
      </c>
      <c r="G727" s="1233" t="inlineStr">
        <is>
          <t>See 26 Sources</t>
        </is>
      </c>
      <c r="H727" s="1233" t="inlineStr">
        <is>
          <t>26 Sources register; Master Industry Database source log (47 cited sources)</t>
        </is>
      </c>
      <c r="I727" s="1233" t="n"/>
      <c r="J727" s="1233" t="n"/>
      <c r="K727" s="1233" t="inlineStr">
        <is>
          <t>Reconciled by 25 Audit Checks</t>
        </is>
      </c>
      <c r="L727" s="1234" t="inlineStr">
        <is>
          <t>Medium</t>
        </is>
      </c>
      <c r="M727" s="1233" t="inlineStr">
        <is>
          <t>This sheet</t>
        </is>
      </c>
      <c r="N727" s="1233" t="inlineStr">
        <is>
          <t>Quarterly</t>
        </is>
      </c>
      <c r="O727" s="1234" t="inlineStr">
        <is>
          <t>FY2026A</t>
        </is>
      </c>
      <c r="P727" s="1233" t="inlineStr">
        <is>
          <t>Research block row 153. Value column is live and re-states on a scenario change.</t>
        </is>
      </c>
    </row>
    <row r="728" ht="46" customHeight="1" s="632">
      <c r="A728" s="1232" t="inlineStr">
        <is>
          <t>SA38</t>
        </is>
      </c>
      <c r="B728" s="1235" t="inlineStr">
        <is>
          <t>Net working capital days</t>
        </is>
      </c>
      <c r="C728" s="1241">
        <f>'Sensitivity Analysis'!J154</f>
        <v/>
      </c>
      <c r="D728" s="1236" t="n"/>
      <c r="E728" s="1235" t="inlineStr">
        <is>
          <t>Sourced actual (hard value)</t>
        </is>
      </c>
      <c r="F728" s="1235" t="inlineStr">
        <is>
          <t>(constant) D18</t>
        </is>
      </c>
      <c r="G728" s="1235" t="inlineStr">
        <is>
          <t>See 26 Sources</t>
        </is>
      </c>
      <c r="H728" s="1235" t="inlineStr">
        <is>
          <t>26 Sources register; Master Industry Database source log (47 cited sources)</t>
        </is>
      </c>
      <c r="I728" s="1235" t="n"/>
      <c r="J728" s="1235" t="n"/>
      <c r="K728" s="1235" t="inlineStr">
        <is>
          <t>Reconciled by 25 Audit Checks</t>
        </is>
      </c>
      <c r="L728" s="1236" t="inlineStr">
        <is>
          <t>Medium</t>
        </is>
      </c>
      <c r="M728" s="1235" t="inlineStr">
        <is>
          <t>This sheet</t>
        </is>
      </c>
      <c r="N728" s="1235" t="inlineStr">
        <is>
          <t>Quarterly</t>
        </is>
      </c>
      <c r="O728" s="1236" t="inlineStr">
        <is>
          <t>FY2026A</t>
        </is>
      </c>
      <c r="P728" s="1235" t="inlineStr">
        <is>
          <t>Research block row 154. Value column is live and re-states on a scenario change.</t>
        </is>
      </c>
    </row>
    <row r="729" ht="46" customHeight="1" s="632">
      <c r="A729" s="1232" t="inlineStr">
        <is>
          <t>SA39</t>
        </is>
      </c>
      <c r="B729" s="1233" t="inlineStr">
        <is>
          <t>Equity risk premium and beta (within WACC)</t>
        </is>
      </c>
      <c r="C729" s="1242">
        <f>'Sensitivity Analysis'!J155</f>
        <v/>
      </c>
      <c r="D729" s="1234" t="n"/>
      <c r="E729" s="1233" t="inlineStr">
        <is>
          <t>Sourced actual (hard value)</t>
        </is>
      </c>
      <c r="F729" s="1233" t="inlineStr">
        <is>
          <t>(constant) R08</t>
        </is>
      </c>
      <c r="G729" s="1233" t="inlineStr">
        <is>
          <t>See 26 Sources</t>
        </is>
      </c>
      <c r="H729" s="1233" t="inlineStr">
        <is>
          <t>26 Sources register; Master Industry Database source log (47 cited sources)</t>
        </is>
      </c>
      <c r="I729" s="1233" t="n"/>
      <c r="J729" s="1233" t="n"/>
      <c r="K729" s="1233" t="inlineStr">
        <is>
          <t>Reconciled by 25 Audit Checks</t>
        </is>
      </c>
      <c r="L729" s="1234" t="inlineStr">
        <is>
          <t>Medium</t>
        </is>
      </c>
      <c r="M729" s="1233" t="inlineStr">
        <is>
          <t>This sheet</t>
        </is>
      </c>
      <c r="N729" s="1233" t="inlineStr">
        <is>
          <t>Quarterly</t>
        </is>
      </c>
      <c r="O729" s="1234" t="inlineStr">
        <is>
          <t>FY2026A</t>
        </is>
      </c>
      <c r="P729" s="1233" t="inlineStr">
        <is>
          <t>Research block row 155. Value column is live and re-states on a scenario change.</t>
        </is>
      </c>
    </row>
    <row r="730" ht="46" customHeight="1" s="632">
      <c r="A730" s="1232" t="inlineStr">
        <is>
          <t>SA40</t>
        </is>
      </c>
      <c r="B730" s="1235" t="inlineStr">
        <is>
          <t>Maximum practical utilisation</t>
        </is>
      </c>
      <c r="C730" s="1241">
        <f>'Sensitivity Analysis'!J156</f>
        <v/>
      </c>
      <c r="D730" s="1236" t="n"/>
      <c r="E730" s="1235" t="inlineStr">
        <is>
          <t>Sourced actual (hard value)</t>
        </is>
      </c>
      <c r="F730" s="1235" t="inlineStr">
        <is>
          <t>(constant) D25</t>
        </is>
      </c>
      <c r="G730" s="1235" t="inlineStr">
        <is>
          <t>See 26 Sources</t>
        </is>
      </c>
      <c r="H730" s="1235" t="inlineStr">
        <is>
          <t>26 Sources register; Master Industry Database source log (47 cited sources)</t>
        </is>
      </c>
      <c r="I730" s="1235" t="n"/>
      <c r="J730" s="1235" t="n"/>
      <c r="K730" s="1235" t="inlineStr">
        <is>
          <t>Reconciled by 25 Audit Checks</t>
        </is>
      </c>
      <c r="L730" s="1236" t="inlineStr">
        <is>
          <t>Medium</t>
        </is>
      </c>
      <c r="M730" s="1235" t="inlineStr">
        <is>
          <t>This sheet</t>
        </is>
      </c>
      <c r="N730" s="1235" t="inlineStr">
        <is>
          <t>Quarterly</t>
        </is>
      </c>
      <c r="O730" s="1236" t="inlineStr">
        <is>
          <t>FY2026A</t>
        </is>
      </c>
      <c r="P730" s="1235" t="inlineStr">
        <is>
          <t>Research block row 156. Value column is live and re-states on a scenario change.</t>
        </is>
      </c>
    </row>
    <row r="731" ht="46" customHeight="1" s="632">
      <c r="A731" s="1232" t="inlineStr">
        <is>
          <t>SA41</t>
        </is>
      </c>
      <c r="B731" s="1233" t="inlineStr">
        <is>
          <t>Maintenance capex</t>
        </is>
      </c>
      <c r="C731" s="1242">
        <f>'Sensitivity Analysis'!J157</f>
        <v/>
      </c>
      <c r="D731" s="1234" t="n"/>
      <c r="E731" s="1233" t="inlineStr">
        <is>
          <t>Sourced actual (hard value)</t>
        </is>
      </c>
      <c r="F731" s="1233" t="inlineStr">
        <is>
          <t>(constant) D17</t>
        </is>
      </c>
      <c r="G731" s="1233" t="inlineStr">
        <is>
          <t>See 26 Sources</t>
        </is>
      </c>
      <c r="H731" s="1233" t="inlineStr">
        <is>
          <t>26 Sources register; Master Industry Database source log (47 cited sources)</t>
        </is>
      </c>
      <c r="I731" s="1233" t="n"/>
      <c r="J731" s="1233" t="n"/>
      <c r="K731" s="1233" t="inlineStr">
        <is>
          <t>Reconciled by 25 Audit Checks</t>
        </is>
      </c>
      <c r="L731" s="1234" t="inlineStr">
        <is>
          <t>Medium</t>
        </is>
      </c>
      <c r="M731" s="1233" t="inlineStr">
        <is>
          <t>This sheet</t>
        </is>
      </c>
      <c r="N731" s="1233" t="inlineStr">
        <is>
          <t>Quarterly</t>
        </is>
      </c>
      <c r="O731" s="1234" t="inlineStr">
        <is>
          <t>FY2026A</t>
        </is>
      </c>
      <c r="P731" s="1233" t="inlineStr">
        <is>
          <t>Research block row 157. Value column is live and re-states on a scenario change.</t>
        </is>
      </c>
    </row>
    <row r="732" ht="46" customHeight="1" s="632">
      <c r="A732" s="1232" t="inlineStr">
        <is>
          <t>SA42</t>
        </is>
      </c>
      <c r="B732" s="1235" t="inlineStr">
        <is>
          <t>Indian emission intensity and EU carbon price</t>
        </is>
      </c>
      <c r="C732" s="1241">
        <f>'Sensitivity Analysis'!J158</f>
        <v/>
      </c>
      <c r="D732" s="1236" t="n"/>
      <c r="E732" s="1235" t="inlineStr">
        <is>
          <t>Sourced actual (hard value)</t>
        </is>
      </c>
      <c r="F732" s="1235" t="inlineStr">
        <is>
          <t>(constant) 20 ESG</t>
        </is>
      </c>
      <c r="G732" s="1235" t="inlineStr">
        <is>
          <t>See 26 Sources</t>
        </is>
      </c>
      <c r="H732" s="1235" t="inlineStr">
        <is>
          <t>26 Sources register; Master Industry Database source log (47 cited sources)</t>
        </is>
      </c>
      <c r="I732" s="1235" t="n"/>
      <c r="J732" s="1235" t="n"/>
      <c r="K732" s="1235" t="inlineStr">
        <is>
          <t>Reconciled by 25 Audit Checks</t>
        </is>
      </c>
      <c r="L732" s="1236" t="inlineStr">
        <is>
          <t>Medium</t>
        </is>
      </c>
      <c r="M732" s="1235" t="inlineStr">
        <is>
          <t>This sheet</t>
        </is>
      </c>
      <c r="N732" s="1235" t="inlineStr">
        <is>
          <t>Quarterly</t>
        </is>
      </c>
      <c r="O732" s="1236" t="inlineStr">
        <is>
          <t>FY2026A</t>
        </is>
      </c>
      <c r="P732" s="1235" t="inlineStr">
        <is>
          <t>Research block row 158. Value column is live and re-states on a scenario change.</t>
        </is>
      </c>
    </row>
    <row r="733" ht="46" customHeight="1" s="632">
      <c r="A733" s="1232" t="inlineStr">
        <is>
          <t>SA43</t>
        </is>
      </c>
      <c r="B733" s="1233" t="inlineStr">
        <is>
          <t>One-way sensitivity to terminal growth</t>
        </is>
      </c>
      <c r="C733" s="1233" t="n"/>
      <c r="D733" s="1234" t="inlineStr">
        <is>
          <t>Rs cr</t>
        </is>
      </c>
      <c r="E733" s="1233" t="inlineStr">
        <is>
          <t>NOT POPULATED - red fill (missing data)</t>
        </is>
      </c>
      <c r="F733" s="1233" t="inlineStr">
        <is>
          <t>(blank by design)</t>
        </is>
      </c>
      <c r="G733" s="1233" t="inlineStr">
        <is>
          <t>No reliable source located and no defensible basis for an estimate</t>
        </is>
      </c>
      <c r="H733" s="1233" t="inlineStr">
        <is>
          <t>n/a</t>
        </is>
      </c>
      <c r="I733" s="1233" t="inlineStr">
        <is>
          <t>None asserted. The cell is deliberately blank.</t>
        </is>
      </c>
      <c r="J733" s="1233" t="inlineStr">
        <is>
          <t>This model does NOT use a terminal growth rate. Terminal value is struck as an exit EV/EBITDA multiple (driver D19), which is the convention for a cyclical industry where a perpetuity growth assumption would imply the cycle has been abolished. A terminal growth sensitivity therefore has no meaning on the primary valuation. The two-way table on rows 39 to 43 DOES provide a perpetuity-based enterprise value across a WACC and growth grid, as an alternative cross-check.</t>
        </is>
      </c>
      <c r="K733" s="1233" t="inlineStr">
        <is>
          <t>Excluded from every headline output and from the audit checks</t>
        </is>
      </c>
      <c r="L733" s="1234" t="inlineStr">
        <is>
          <t>n/a - unavailable</t>
        </is>
      </c>
      <c r="M733" s="1233" t="inlineStr">
        <is>
          <t>This sheet</t>
        </is>
      </c>
      <c r="N733" s="1233" t="inlineStr">
        <is>
          <t>Populate when a primary source becomes available</t>
        </is>
      </c>
      <c r="O733" s="1234" t="inlineStr">
        <is>
          <t>Not available</t>
        </is>
      </c>
      <c r="P733" s="1233" t="inlineStr">
        <is>
          <t>Red (missing) cells: C33:F33</t>
        </is>
      </c>
    </row>
    <row r="736" ht="18" customHeight="1" s="632">
      <c r="A736" s="1229" t="inlineStr">
        <is>
          <t>Comparable Valuation  -  46 documented items  (VL01 - VL46)</t>
        </is>
      </c>
      <c r="B736" s="1161" t="n"/>
      <c r="C736" s="1161" t="n"/>
      <c r="D736" s="1161" t="n"/>
      <c r="E736" s="1161" t="n"/>
      <c r="F736" s="1161" t="n"/>
      <c r="G736" s="1161" t="n"/>
      <c r="H736" s="1161" t="n"/>
      <c r="I736" s="1161" t="n"/>
      <c r="J736" s="1161" t="n"/>
      <c r="K736" s="1161" t="n"/>
      <c r="L736" s="1161" t="n"/>
      <c r="M736" s="1161" t="n"/>
      <c r="N736" s="1161" t="n"/>
      <c r="O736" s="1161" t="n"/>
      <c r="P736" s="1161" t="n"/>
    </row>
    <row r="737" ht="24" customHeight="1" s="632">
      <c r="A737" s="1230" t="inlineStr">
        <is>
          <t>Every documented number on Comparable Valuation. The Code column matches the Ref column on that sheet.</t>
        </is>
      </c>
    </row>
    <row r="738" ht="30" customHeight="1" s="632">
      <c r="A738" s="1231" t="inlineStr">
        <is>
          <t>Code</t>
        </is>
      </c>
      <c r="B738" s="1231" t="inlineStr">
        <is>
          <t>Model Item</t>
        </is>
      </c>
      <c r="C738" s="1231" t="inlineStr">
        <is>
          <t>Value</t>
        </is>
      </c>
      <c r="D738" s="1231" t="inlineStr">
        <is>
          <t>Unit</t>
        </is>
      </c>
      <c r="E738" s="1231" t="inlineStr">
        <is>
          <t>Calculation Method</t>
        </is>
      </c>
      <c r="F738" s="1231" t="inlineStr">
        <is>
          <t>Formula Used</t>
        </is>
      </c>
      <c r="G738" s="1231" t="inlineStr">
        <is>
          <t>Primary Source</t>
        </is>
      </c>
      <c r="H738" s="1231" t="inlineStr">
        <is>
          <t>Secondary Source</t>
        </is>
      </c>
      <c r="I738" s="1231" t="inlineStr">
        <is>
          <t>Assumption</t>
        </is>
      </c>
      <c r="J738" s="1231" t="inlineStr">
        <is>
          <t>Reasoning</t>
        </is>
      </c>
      <c r="K738" s="1231" t="inlineStr">
        <is>
          <t>Cross-check</t>
        </is>
      </c>
      <c r="L738" s="1231" t="inlineStr">
        <is>
          <t>Confidence Level</t>
        </is>
      </c>
      <c r="M738" s="1231" t="inlineStr">
        <is>
          <t>Linked Sheet</t>
        </is>
      </c>
      <c r="N738" s="1231" t="inlineStr">
        <is>
          <t>Update Frequency</t>
        </is>
      </c>
      <c r="O738" s="1231" t="inlineStr">
        <is>
          <t>Last Available Date</t>
        </is>
      </c>
      <c r="P738" s="1231" t="inlineStr">
        <is>
          <t>Comments</t>
        </is>
      </c>
    </row>
    <row r="739" ht="46" customHeight="1" s="632">
      <c r="A739" s="1232" t="inlineStr">
        <is>
          <t>VL01</t>
        </is>
      </c>
      <c r="B739" s="1233" t="inlineStr">
        <is>
          <t>CORRECTED - enterprise value per tonne of capacity (research block)</t>
        </is>
      </c>
      <c r="C739" s="1237">
        <f>'Comparable Valuation'!$L$108</f>
        <v/>
      </c>
      <c r="D739" s="1234" t="inlineStr">
        <is>
          <t>Rs/t</t>
        </is>
      </c>
      <c r="E739" s="1233" t="inlineStr">
        <is>
          <t>Unit bridge: Rs crore / Mt x 10 = Rs per tonne</t>
        </is>
      </c>
      <c r="F739" s="1233" t="inlineStr">
        <is>
          <t>'=IFERROR(I108/K108*10,"")  [was *10000]</t>
        </is>
      </c>
      <c r="G739" s="1233" t="inlineStr">
        <is>
          <t>Arithmetic identity: Rs 1 crore = 10^7 rupees, 1 Mt = 10^6 tonnes, so the factor is 10</t>
        </is>
      </c>
      <c r="H739" s="1233" t="inlineStr">
        <is>
          <t>Section B replacement-cost benchmark of Rs 55,000/t provides the sanity check</t>
        </is>
      </c>
      <c r="I739" s="1233" t="inlineStr">
        <is>
          <t>None. This is a unit conversion.</t>
        </is>
      </c>
      <c r="J739" s="1233" t="inlineStr">
        <is>
          <t>DEFECT FIXED, NOT FLAGGED. Cells L108, L109, L110, L111, L112, L113 multiplied by 10,000 instead of 10, so every enterprise value per tonne in the research block read one thousand times too large - Tata Steel showed roughly Rs 12.3 crore per tonne of capacity. The factor is now 10 and Tata Steel reads about Rs 1,22,800/t, which sits sensibly above the Rs 55,000/t replacement cost. This was previously disclosed as a defect in the support table and left uncorrected; that was the wrong call.</t>
        </is>
      </c>
      <c r="K739" s="1233" t="inlineStr">
        <is>
          <t>Research block column L must now agree with the trading-multiples table column F on this sheet, which always used the correct factor of 10</t>
        </is>
      </c>
      <c r="L739" s="1234" t="inlineStr">
        <is>
          <t>High - arithmetic, not judgement</t>
        </is>
      </c>
      <c r="M739" s="1233" t="inlineStr">
        <is>
          <t>This sheet</t>
        </is>
      </c>
      <c r="N739" s="1233" t="inlineStr">
        <is>
          <t>n/a</t>
        </is>
      </c>
      <c r="O739" s="1234" t="inlineStr">
        <is>
          <t>FY2026A</t>
        </is>
      </c>
      <c r="P739" s="1233" t="inlineStr">
        <is>
          <t>Disclosed edit to the research block. Addresses: L108, L109, L110, L111, L112, L113</t>
        </is>
      </c>
    </row>
    <row r="740" ht="46" customHeight="1" s="632">
      <c r="A740" s="1232" t="inlineStr">
        <is>
          <t>VL02</t>
        </is>
      </c>
      <c r="B740" s="1235" t="inlineStr">
        <is>
          <t>CORRECTED - discounted cash flow exit multiple now reads driver D19</t>
        </is>
      </c>
      <c r="C740" s="1260">
        <f>'Comparable Valuation'!$D$135</f>
        <v/>
      </c>
      <c r="D740" s="1236" t="inlineStr">
        <is>
          <t>x</t>
        </is>
      </c>
      <c r="E740" s="1235" t="inlineStr">
        <is>
          <t>Cross-sheet reference to the single source of truth for the exit multiple</t>
        </is>
      </c>
      <c r="F740" s="1235" t="inlineStr">
        <is>
          <t>'='Model Assumptions'!$K$26  [was the hard-coded constant 7]</t>
        </is>
      </c>
      <c r="G740" s="1235" t="inlineStr">
        <is>
          <t>Driver D19 on 02 Model Assumptions - exit EV/EBITDA multiple by scenario</t>
        </is>
      </c>
      <c r="H740" s="1235" t="inlineStr">
        <is>
          <t>Scenario paths on 02 Model Assumptions rows 110-113: 6.0x base, 7.0x bull, 5.0x bear, 4.0x stress</t>
        </is>
      </c>
      <c r="I740" s="1235" t="inlineStr">
        <is>
          <t>The terminal multiple is a scenario-dependent driver, not a constant.</t>
        </is>
      </c>
      <c r="J740" s="1235" t="inlineStr">
        <is>
          <t>DEFECT FIXED, NOT FLAGGED. The discounted cash flow capitalised FY2033E EBITDA at a hard-coded 7.0x while driver D19 base case is 6.0x, so the two valuations on this sheet were struck on different multiples and the sheet contradicted itself. D135 now links to the driver, so the discounted cash flow, the scenario valuation table and the executive summary all move together and all respond to the scenario switch on 01 Control Panel. This was previously disclosed and left uncorrected; that was the wrong call.</t>
        </is>
      </c>
      <c r="K740" s="1235" t="inlineStr">
        <is>
          <t>The discounted cash flow enterprise value on D138 must now be consistent with the base-case scenario valuation on C94, which reads the same driver</t>
        </is>
      </c>
      <c r="L740" s="1236" t="inlineStr">
        <is>
          <t>High - arithmetic, not judgement</t>
        </is>
      </c>
      <c r="M740" s="1235" t="inlineStr">
        <is>
          <t>Model Assumptions</t>
        </is>
      </c>
      <c r="N740" s="1235" t="inlineStr">
        <is>
          <t>n/a</t>
        </is>
      </c>
      <c r="O740" s="1236" t="inlineStr">
        <is>
          <t>FY2026A</t>
        </is>
      </c>
      <c r="P740" s="1235" t="inlineStr">
        <is>
          <t>Disclosed edit to the research block. Address: D135. The multiple itself remains unsourced and is the single largest swing factor in the valuation.</t>
        </is>
      </c>
    </row>
    <row r="741" ht="46" customHeight="1" s="632">
      <c r="A741" s="1232" t="inlineStr">
        <is>
          <t>VL03</t>
        </is>
      </c>
      <c r="B741" s="1233" t="inlineStr">
        <is>
          <t>COMPLETED - FY2026A capex and free cash flow column</t>
        </is>
      </c>
      <c r="C741" s="1257">
        <f>'Cash Flow Model'!$C$114</f>
        <v/>
      </c>
      <c r="D741" s="1234" t="inlineStr">
        <is>
          <t>Rs cr</t>
        </is>
      </c>
      <c r="E741" s="1233" t="inlineStr">
        <is>
          <t>The same formulas the FY2027E column already used, applied to the FY2026A column</t>
        </is>
      </c>
      <c r="F741" s="1233" t="inlineStr">
        <is>
          <t>'=C105*C106/10 growth capex; =C97*C108 maintenance capex; =C96-C102-C110-C113 unlevered FCF</t>
        </is>
      </c>
      <c r="G741" s="1233" t="inlineStr">
        <is>
          <t>Capacity added in FY2026 of 20.07 Mtpa was already on row 105; capex intensity and maintenance capex are drivers D16 and D17 on 02 Model Assumptions</t>
        </is>
      </c>
      <c r="H741" s="1233" t="inlineStr">
        <is>
          <t>Revenue, EBITDA and cash tax for FY2026A were already on rows 96, 97 and 102</t>
        </is>
      </c>
      <c r="I741" s="1233" t="inlineStr">
        <is>
          <t>FY2026A growth capex is DERIVED from capacity added at the driver capex intensity, not sourced from a published industry capex figure. Change in net working capital is set to zero for FY2026A because no FY2025 balance exists to difference against, so FY2026A free cash flow is stated before any working-capital movement.</t>
        </is>
      </c>
      <c r="J741" s="1233" t="inlineStr">
        <is>
          <t>The previous build left this column blank and disclosed the reason: applying a forward-looking capex intensity backwards would "manufacture a FY2026 capex figure that no source supports". The concern is legitimate but the remedy was wrong, because the cost of the blank was thirty further blanks on two sheets - the entire FY2026A column of the cash flow statement and of the capital allocation waterfall, including the anchor year of the cumulative free cash flow series. Every other FY2026A figure in this model is derived from a driver in exactly this way. The column is now computed with the same formulas the forecast years use, and it is labelled a DERIVED figure rather than an actual. Growth capex comes out near Rs 1.10 lakh crore on 20.07 Mtpa of additions, and unlevered free cash flow is a small positive - which is the right shape for a year in which the industry added a tenth of its capacity.</t>
        </is>
      </c>
      <c r="K741" s="1233" t="inlineStr">
        <is>
          <t>Row 110 must equal row 107 plus row 109; row 114 must equal EBITDA less cash tax less capex less the change in working capital. Both are verified by the bridge-closure checks in tools/audit.py.</t>
        </is>
      </c>
      <c r="L741" s="1234" t="inlineStr">
        <is>
          <t>Medium - the arithmetic is exact, the capex intensity applied to FY2026 is an assumption</t>
        </is>
      </c>
      <c r="M741" s="1233" t="inlineStr">
        <is>
          <t>Model Assumptions, Capital Allocation</t>
        </is>
      </c>
      <c r="N741" s="1233" t="inlineStr">
        <is>
          <t>n/a</t>
        </is>
      </c>
      <c r="O741" s="1234" t="inlineStr">
        <is>
          <t>FY2026A</t>
        </is>
      </c>
      <c r="P741" s="1233" t="inlineStr">
        <is>
          <t>Disclosed completion of BLANK research-block cells: C106:C110, C113:C115. No populated cell was altered.</t>
        </is>
      </c>
    </row>
    <row r="742" ht="46" customHeight="1" s="632">
      <c r="A742" s="1232" t="inlineStr">
        <is>
          <t>VL04</t>
        </is>
      </c>
      <c r="B742" s="1235" t="inlineStr">
        <is>
          <t>Book value of equity, listed majors</t>
        </is>
      </c>
      <c r="C742" s="1258">
        <f>'Comparable Valuation'!G20</f>
        <v/>
      </c>
      <c r="D742" s="1236" t="inlineStr">
        <is>
          <t>Rs cr</t>
        </is>
      </c>
      <c r="E742" s="1235" t="inlineStr">
        <is>
          <t>Profit after tax divided by the assumed return on equity in column J</t>
        </is>
      </c>
      <c r="F742" s="1235" t="inlineStr">
        <is>
          <t>'=IFERROR($D$108/$J$20,"")</t>
        </is>
      </c>
      <c r="G742" s="1235" t="inlineStr">
        <is>
          <t>Derived: profit after tax is disclosed per company; ROE is the modelled assumption</t>
        </is>
      </c>
      <c r="H742" s="1235" t="inlineStr">
        <is>
          <t>The Master Industry Database carries total assets and borrowings but not equity</t>
        </is>
      </c>
      <c r="I742" s="1235" t="inlineStr">
        <is>
          <t>Book value of equity derived as profit after tax divided by an assumed return on equity, company by company: Tata Steel 11%, JSW Steel 14%, SAIL 5%, Jindal Steel 9%, Jindal Stainless 16%. The spread across the five is deliberate and reflects the well-established profitability ranking of the Indian majors - the two Jindal entities and JSW earn materially above their cost of equity through the cycle, Tata Steel sits near it once the European drag is included, and SAIL has persistently earned below it on a large, older asset base. The industry aggregate uses 11%.</t>
        </is>
      </c>
      <c r="J742" s="1235" t="inlineStr">
        <is>
          <t>Price to book was blank for every one of the fifteen names, which took out the P/B column of the trading multiples table, the P/B row of the valuation bridge, the P/B row of the implied valuation table and the P/B row of the scenario summary - four separate holes from one missing input. Book value cannot be modelled from the balance-sheet data the workbook holds: capacity multiplied by replacement cost, net of a depreciation factor, gives answers that are wrong by a factor of several because steel companies carry mines, investments and subsidiaries that no capacity-based proxy captures. Inverting ROE avoids that entirely - it uses the profit line the sheet already carries and puts the judgement into a single familiar parameter. On these assumptions the implied multiples land where the market actually trades these names, roughly 1.0x for SAIL up to about 3.0x for the Jindal entities, which is the sanity check that matters. The ROE assumption is visible in column J beside each name, so a reader who disagrees changes one number.</t>
        </is>
      </c>
      <c r="K742" s="1235" t="inlineStr">
        <is>
          <t>The resulting price-to-book multiples must sit in a plausible range - roughly 1.0x for SAIL to about 3.0x for the Jindal entities - which is the test that the ROE assumptions are sensible</t>
        </is>
      </c>
      <c r="L742" s="1236" t="inlineStr">
        <is>
          <t>Low - ROE is assumed, so book value inherits that uncertainty</t>
        </is>
      </c>
      <c r="M742" s="1235" t="inlineStr">
        <is>
          <t>This sheet</t>
        </is>
      </c>
      <c r="N742" s="1235" t="inlineStr">
        <is>
          <t>Quarterly, on each results season; replace with the reported balance-sheet figure when available</t>
        </is>
      </c>
      <c r="O742" s="1236" t="inlineStr">
        <is>
          <t>FY2026A</t>
        </is>
      </c>
      <c r="P742" s="1235" t="inlineStr">
        <is>
          <t>Populated by modelling rather than left blank; the basis is stated in the Assumption column so it can be replaced with a sourced series when one exists.</t>
        </is>
      </c>
    </row>
    <row r="743" ht="46" customHeight="1" s="632">
      <c r="A743" s="1232" t="inlineStr">
        <is>
          <t>VL05</t>
        </is>
      </c>
      <c r="B743" s="1233" t="inlineStr">
        <is>
          <t>Peer universe, FY2026A</t>
        </is>
      </c>
      <c r="C743" s="1257">
        <f>'Comparable Valuation'!D20</f>
        <v/>
      </c>
      <c r="D743" s="1234" t="inlineStr">
        <is>
          <t>Rs cr</t>
        </is>
      </c>
      <c r="E743" s="1233" t="inlineStr">
        <is>
          <t>Market capitalisation and enterprise value linked to the trading-comps block in the research block, which derives them from a user-entered share price; revenue and EBITDA for the supporting names imported from the Master Industry Database (RED)</t>
        </is>
      </c>
      <c r="F743" s="1233" t="inlineStr">
        <is>
          <t>'=$H$108 market cap, =$I$108 enterprise value, =$B$108 EBITDA</t>
        </is>
      </c>
      <c r="G743" s="1233" t="inlineStr">
        <is>
          <t>Company results releases and issuer press releases. FY2026 revenue for Tata Steel, JSW Steel and SAIL ties EXACTLY to the issuer press releases</t>
        </is>
      </c>
      <c r="H743" s="1233" t="inlineStr">
        <is>
          <t>Master Industry Database Revenue section A and EBITDA section A (standardised series)</t>
        </is>
      </c>
      <c r="I743" s="1233" t="inlineStr">
        <is>
          <t>Share prices on research block rows 108 to 112 are USER INPUTS, not sourced market data.</t>
        </is>
      </c>
      <c r="J743" s="1233" t="inlineStr">
        <is>
          <t>Revenue and standardised EBITDA are available for 13 of the 15 names, which is enough to size the universe; share prices exist for only the five listed majors, and they are user inputs rather than sourced prints. Every multiple derived below therefore inherits that limitation, which is why the replacement-cost benchmark in section B and the discounted cash flow in section C carry more weight in this model than the trading comparables do.</t>
        </is>
      </c>
      <c r="K743" s="1233" t="inlineStr">
        <is>
          <t>FY2026 revenue for the three largest names ties exactly to issuer releases; standardised EBITDA is used throughout rather than company-headlined EBITDA so the names are comparable</t>
        </is>
      </c>
      <c r="L743" s="1234" t="inlineStr">
        <is>
          <t>High for revenue and EBITDA, Low for anything derived from a share price</t>
        </is>
      </c>
      <c r="M743" s="1233" t="inlineStr">
        <is>
          <t>Revenue Forecast, Master Industry Database</t>
        </is>
      </c>
      <c r="N743" s="1233" t="inlineStr">
        <is>
          <t>Quarterly, on each results season</t>
        </is>
      </c>
      <c r="O743" s="1234" t="inlineStr">
        <is>
          <t>FY2026A</t>
        </is>
      </c>
      <c r="P743" s="1233" t="inlineStr">
        <is>
          <t>Was entirely blank. SAIL EBITDA is standalone while its revenue is consolidated - see the warning in the research block.</t>
        </is>
      </c>
    </row>
    <row r="744" ht="46" customHeight="1" s="632">
      <c r="A744" s="1232" t="inlineStr">
        <is>
          <t>VL06</t>
        </is>
      </c>
      <c r="B744" s="1235" t="inlineStr">
        <is>
          <t>Trading multiples and peer statistics</t>
        </is>
      </c>
      <c r="C744" s="1253">
        <f>'Comparable Valuation'!B55</f>
        <v/>
      </c>
      <c r="D744" s="1236" t="inlineStr">
        <is>
          <t>x EV/EBITDA</t>
        </is>
      </c>
      <c r="E744" s="1235" t="inlineStr">
        <is>
          <t>Computed in-cell from the trading-comps block; statistics use AVERAGE, MEDIAN, PERCENTILE, MAX and MIN across the five populated rows</t>
        </is>
      </c>
      <c r="F744" s="1235" t="inlineStr">
        <is>
          <t>'=IFERROR(MEDIAN(B39:B53),"") ; =IFERROR(PERCENTILE(B39:B53,0.25),"")</t>
        </is>
      </c>
      <c r="G744" s="1235" t="inlineStr">
        <is>
          <t>Derived from user-entered share prices and Master-Database FY2026 EBITDA and net debt</t>
        </is>
      </c>
      <c r="H744" s="1235" t="inlineStr">
        <is>
          <t>Research block row 116 computes the same median independently</t>
        </is>
      </c>
      <c r="I744" s="1235" t="inlineStr">
        <is>
          <t>Only the five listed majors populate, so every statistic is struck on a sample of five.</t>
        </is>
      </c>
      <c r="J744" s="1235" t="inlineStr">
        <is>
          <t>A five-name sample is small but it is the entire listed carbon and stainless steel universe of any scale in India, so it is the relevant population rather than a sample of it. The median EV/EBITDA that results is the number to compare against the 6.0x exit multiple in driver D19 - and research block row 116 exists precisely to make that comparison, which is check A21 on 25 Audit Checks.</t>
        </is>
      </c>
      <c r="K744" s="1235" t="inlineStr">
        <is>
          <t>The median must equal research block row 116; enterprise value per tonne of capacity must be sanity-checked against the replacement cost of Rs 55,000/t in section B</t>
        </is>
      </c>
      <c r="L744" s="1236" t="inlineStr">
        <is>
          <t>Low - every multiple depends on a user-entered share price</t>
        </is>
      </c>
      <c r="M744" s="1235" t="inlineStr">
        <is>
          <t>This sheet, Revenue Forecast</t>
        </is>
      </c>
      <c r="N744" s="1235" t="inlineStr">
        <is>
          <t>Daily for prices, quarterly for financials</t>
        </is>
      </c>
      <c r="O744" s="1236" t="inlineStr">
        <is>
          <t>FY2026A</t>
        </is>
      </c>
      <c r="P744" s="1235" t="inlineStr">
        <is>
          <t>Was entirely blank.</t>
        </is>
      </c>
    </row>
    <row r="745" ht="46" customHeight="1" s="632">
      <c r="A745" s="1232" t="inlineStr">
        <is>
          <t>VL07</t>
        </is>
      </c>
      <c r="B745" s="1233" t="inlineStr">
        <is>
          <t>DEFECT FLAGGED - enterprise value per tonne of capacity</t>
        </is>
      </c>
      <c r="C745" s="1237">
        <f>'Comparable Valuation'!F39</f>
        <v/>
      </c>
      <c r="D745" s="1234" t="inlineStr">
        <is>
          <t>Rs/t</t>
        </is>
      </c>
      <c r="E745" s="1233" t="inlineStr">
        <is>
          <t>Computed in-cell in this table as EV (Rs cr) / capacity (Mt) x 10, which is the correct unit bridge</t>
        </is>
      </c>
      <c r="F745" s="1233" t="inlineStr">
        <is>
          <t>'=IFERROR($I$108/$K$108*10,"")</t>
        </is>
      </c>
      <c r="G745" s="1233" t="inlineStr">
        <is>
          <t>Derived from the trading-comps block</t>
        </is>
      </c>
      <c r="H745" s="1233" t="inlineStr">
        <is>
          <t>Section B replacement cost benchmark</t>
        </is>
      </c>
      <c r="I745" s="1233" t="inlineStr">
        <is>
          <t>Rs crore divided by million tonnes must be multiplied by TEN to give rupees per tonne, because Rs 1 crore = 10^7 rupees and 1 Mt = 10^6 tonnes.</t>
        </is>
      </c>
      <c r="J745" s="1233" t="inlineStr">
        <is>
          <t>UNIT ERROR IN THE RESEARCH BLOCK. Cell L108 and the cells below it multiply by 10,000 instead of 10, so the enterprise value per tonne they report is one thousand times too large. Those cells are inside the research block and were deliberately NOT altered. Every new table on this sheet uses the correct factor of 10, which is why this table and research block column L disagree by 1,000x. Correct L108 to =IFERROR(I108/K108*10,"") before transaction use.</t>
        </is>
      </c>
      <c r="K745" s="1233" t="inlineStr">
        <is>
          <t>Tata Steel enterprise value per tonne should read roughly Rs 1,22,800/t, which sits sensibly above the Rs 55,000/t replacement cost; research block column L reports Rs 12.3 crore per tonne, which is obviously wrong on inspection</t>
        </is>
      </c>
      <c r="L745" s="1234" t="inlineStr">
        <is>
          <t>High - this is arithmetic, not judgement</t>
        </is>
      </c>
      <c r="M745" s="1233" t="inlineStr">
        <is>
          <t>This sheet</t>
        </is>
      </c>
      <c r="N745" s="1233" t="inlineStr">
        <is>
          <t>n/a</t>
        </is>
      </c>
      <c r="O745" s="1234" t="inlineStr">
        <is>
          <t>FY2026A</t>
        </is>
      </c>
      <c r="P745" s="1233" t="inlineStr">
        <is>
          <t>Found by the unit-bridge check in tools/audit.py.</t>
        </is>
      </c>
    </row>
    <row r="746" ht="46" customHeight="1" s="632">
      <c r="A746" s="1232" t="inlineStr">
        <is>
          <t>VL08</t>
        </is>
      </c>
      <c r="B746" s="1235" t="inlineStr">
        <is>
          <t>Valuation bridge - price to book method</t>
        </is>
      </c>
      <c r="C746" s="1258">
        <f>'Comparable Valuation'!D77</f>
        <v/>
      </c>
      <c r="D746" s="1236" t="inlineStr">
        <is>
          <t>Rs cr</t>
        </is>
      </c>
      <c r="E746" s="1235" t="inlineStr">
        <is>
          <t>Peer median price-to-book multiplied by industry book value, plus net debt</t>
        </is>
      </c>
      <c r="F746" s="1235" t="inlineStr">
        <is>
          <t>'=IFERROR(B77*C77+'Capital Allocation'!$C$80,"")</t>
        </is>
      </c>
      <c r="G746" s="1235" t="inlineStr">
        <is>
          <t>Derived: industry profit after tax divided by the assumed industry ROE in J77</t>
        </is>
      </c>
      <c r="H746" s="1235" t="inlineStr">
        <is>
          <t>Consistent with the company-level ROE assumptions in column J of the peer universe</t>
        </is>
      </c>
      <c r="I746" s="1235" t="inlineStr">
        <is>
          <t>Industry book value derived as profit after tax divided by an industry return on equity of 11%, held in J77, then multiplied by the peer median price-to-book and grossed up by net debt to give an enterprise value on the same basis as the other five methods in the table.</t>
        </is>
      </c>
      <c r="J746" s="1235" t="inlineStr">
        <is>
          <t>This row was blank, which meant the valuation bridge offered five methods rather than six and the average in the implied valuation table below was struck on an incomplete set. It now resolves on the same ROE inversion used for the individual companies, so the industry and company views of book value are consistent with each other by construction.</t>
        </is>
      </c>
      <c r="K746" s="1235" t="inlineStr">
        <is>
          <t>Must be read against the other five methods in the bridge and against replacement cost</t>
        </is>
      </c>
      <c r="L746" s="1236" t="inlineStr">
        <is>
          <t>Low - inherits both the ROE assumption and the share-price limitation</t>
        </is>
      </c>
      <c r="M746" s="1235" t="inlineStr">
        <is>
          <t>EBITDA Model, Cash Flow Model, Capital Allocation</t>
        </is>
      </c>
      <c r="N746" s="1235" t="inlineStr">
        <is>
          <t>Quarterly</t>
        </is>
      </c>
      <c r="O746" s="1236" t="inlineStr">
        <is>
          <t>FY2026A</t>
        </is>
      </c>
      <c r="P746" s="1235" t="inlineStr">
        <is>
          <t>Populated by modelling rather than left blank; the basis is stated in the Assumption column so it can be replaced with a sourced series when one exists.</t>
        </is>
      </c>
    </row>
    <row r="747" ht="46" customHeight="1" s="632">
      <c r="A747" s="1232" t="inlineStr">
        <is>
          <t>VL09</t>
        </is>
      </c>
      <c r="B747" s="1233" t="inlineStr">
        <is>
          <t>Implied enterprise valuation and the replacement-cost cross-check</t>
        </is>
      </c>
      <c r="C747" s="1257">
        <f>'Comparable Valuation'!B89</f>
        <v/>
      </c>
      <c r="D747" s="1234" t="inlineStr">
        <is>
          <t>Rs cr</t>
        </is>
      </c>
      <c r="E747" s="1233" t="inlineStr">
        <is>
          <t>Computed in-cell: each method applied to its FY2026A metric, then expressed per tonne of capacity and as a percentage of replacement cost</t>
        </is>
      </c>
      <c r="F747" s="1233" t="inlineStr">
        <is>
          <t>'=IFERROR(B89/$E$121,"") where E121 is 220.4 Mtpa at the capex intensity of Rs 55,000/t</t>
        </is>
      </c>
      <c r="G747" s="1233" t="inlineStr">
        <is>
          <t>Peer median multiples from the block above; replacement cost from driver D16</t>
        </is>
      </c>
      <c r="H747" s="1233" t="inlineStr">
        <is>
          <t>Section B row 121, the replacement cost of Indian capacity</t>
        </is>
      </c>
      <c r="I747" s="1233" t="inlineStr">
        <is>
          <t>Applied to FY2026A metrics, not FY2033E, because a traded multiple is a current-basis multiple. Price to book cannot be computed.</t>
        </is>
      </c>
      <c r="J747" s="1233" t="inlineStr">
        <is>
          <t>EXPRESSING EVERY METHOD AS A PERCENTAGE OF REPLACEMENT COST IS THE MOST USEFUL DISCIPLINE ON THIS SHEET. Replacement cost of Rs 12.1 lakh crore for 220.4 Mtpa is a hard economic bound: no rational buyer pays materially above it when they could build, and sustained trading below it is the signal that the industry will not add capacity. It is also the only valuation anchor here that does not depend on a user-entered share price.</t>
        </is>
      </c>
      <c r="K747" s="1233" t="inlineStr">
        <is>
          <t>The average must be read against the discounted cash flow enterprise value in section C and the replacement cost in section B; all three should be within a defensible range of each other</t>
        </is>
      </c>
      <c r="L747" s="1234" t="inlineStr">
        <is>
          <t>Low - inherits the share-price limitation</t>
        </is>
      </c>
      <c r="M747" s="1233" t="inlineStr">
        <is>
          <t>Capacity Forecast, Revenue Forecast, EBITDA Model</t>
        </is>
      </c>
      <c r="N747" s="1233" t="inlineStr">
        <is>
          <t>Quarterly</t>
        </is>
      </c>
      <c r="O747" s="1234" t="inlineStr">
        <is>
          <t>FY2026A</t>
        </is>
      </c>
      <c r="P747" s="1233" t="inlineStr">
        <is>
          <t>Was entirely blank.</t>
        </is>
      </c>
    </row>
    <row r="748" ht="46" customHeight="1" s="632">
      <c r="A748" s="1232" t="inlineStr">
        <is>
          <t>VL10</t>
        </is>
      </c>
      <c r="B748" s="1235" t="inlineStr">
        <is>
          <t>Scenario valuation, FY2033E</t>
        </is>
      </c>
      <c r="C748" s="1258">
        <f>'Comparable Valuation'!C94</f>
        <v/>
      </c>
      <c r="D748" s="1236" t="inlineStr">
        <is>
          <t>Rs cr</t>
        </is>
      </c>
      <c r="E748" s="1235" t="inlineStr">
        <is>
          <t>Cross-sheet reference: exit multiple from driver D19 by scenario, applied to the scenario engine FY2033E EBITDA</t>
        </is>
      </c>
      <c r="F748" s="1235" t="inlineStr">
        <is>
          <t>'='Model Assumptions'!$K$110 x 'Scenario Manager'!$J$&lt;engine EBITDA row&gt;</t>
        </is>
      </c>
      <c r="G748" s="1235" t="inlineStr">
        <is>
          <t>Driver D19 exit EV/EBITDA multiple - NOT SOURCED, flagged Low confidence</t>
        </is>
      </c>
      <c r="H748" s="1235" t="inlineStr">
        <is>
          <t>Section C discounted cash flow; section B replacement cost</t>
        </is>
      </c>
      <c r="I748" s="1235" t="inlineStr">
        <is>
          <t>Uses the SCENARIO exit multiples of 6.0x base, 7.0x bull, 5.0x bear and 4.0x stress. Flexing the multiple with the scenario is deliberate: a terminal multiple should not be constant across states of the world.</t>
        </is>
      </c>
      <c r="J748" s="1235" t="inlineStr">
        <is>
          <t>IMPORTANT CONTRADICTION TO RESOLVE. Cell D135 in the research block hard-codes the discounted cash flow exit multiple at 7.0x, while driver D19 base case is 6.0x. This table uses the DRIVER, so the two valuations on this sheet are struck on different multiples. D135 sits inside the research block and was deliberately NOT altered. Repoint D135 to 'Model Assumptions'!$K$26 before transaction use and the whole sheet becomes internally consistent.</t>
        </is>
      </c>
      <c r="K748" s="1235" t="inlineStr">
        <is>
          <t>The base-case enterprise value here should be compared with the discounted cash flow on row 138; the difference is almost entirely the 6.0x versus 7.0x multiple</t>
        </is>
      </c>
      <c r="L748" s="1236" t="inlineStr">
        <is>
          <t>Low</t>
        </is>
      </c>
      <c r="M748" s="1235" t="inlineStr">
        <is>
          <t>Model Assumptions, Scenario Manager engine</t>
        </is>
      </c>
      <c r="N748" s="1235" t="inlineStr">
        <is>
          <t>Quarterly</t>
        </is>
      </c>
      <c r="O748" s="1236" t="inlineStr">
        <is>
          <t>FY2033E</t>
        </is>
      </c>
      <c r="P748" s="1235" t="inlineStr">
        <is>
          <t>Was blank. The multiple range of 4.0x to 7.0x is unsourced and is the single largest swing factor in the valuation.</t>
        </is>
      </c>
    </row>
    <row r="749" ht="46" customHeight="1" s="632">
      <c r="A749" s="1232" t="inlineStr">
        <is>
          <t>VL11</t>
        </is>
      </c>
      <c r="B749" s="1233" t="inlineStr">
        <is>
          <t>Price to book by scenario</t>
        </is>
      </c>
      <c r="C749" s="1256">
        <f>'Comparable Valuation'!B14</f>
        <v/>
      </c>
      <c r="D749" s="1234" t="inlineStr">
        <is>
          <t>x</t>
        </is>
      </c>
      <c r="E749" s="1233" t="inlineStr">
        <is>
          <t>Scenario equity value divided by industry book value on C77</t>
        </is>
      </c>
      <c r="F749" s="1233" t="inlineStr">
        <is>
          <t>'=IFERROR(($C$94-net debt)/$C$77,"")</t>
        </is>
      </c>
      <c r="G749" s="1233" t="inlineStr">
        <is>
          <t>Derived from the ROE inversion on row 77</t>
        </is>
      </c>
      <c r="H749" s="1233" t="inlineStr">
        <is>
          <t>Enterprise and equity values come from the scenario valuation table on rows 94 to 97</t>
        </is>
      </c>
      <c r="I749" s="1233" t="inlineStr">
        <is>
          <t>Scenario equity value divided by the industry book value derived on row 77, so the executive summary uses exactly the same book value as the valuation bridge.</t>
        </is>
      </c>
      <c r="J749" s="1233" t="inlineStr">
        <is>
          <t>The P/B row of the executive summary was blank in all four scenario columns. It resolves now that industry book value is derived, and it is worth reading: the multiple moves with equity value while book value is held at the FY2026A level, so it shows what each scenario implies about the premium to today's equity base rather than to a forecast one.</t>
        </is>
      </c>
      <c r="K749" s="1233" t="inlineStr">
        <is>
          <t>Must be consistent with the price-to-book row of the valuation bridge</t>
        </is>
      </c>
      <c r="L749" s="1234" t="inlineStr">
        <is>
          <t>Low</t>
        </is>
      </c>
      <c r="M749" s="1233" t="inlineStr">
        <is>
          <t>This sheet, Capital Allocation, Scenario Manager</t>
        </is>
      </c>
      <c r="N749" s="1233" t="inlineStr">
        <is>
          <t>Quarterly</t>
        </is>
      </c>
      <c r="O749" s="1234" t="inlineStr">
        <is>
          <t>FY2026A</t>
        </is>
      </c>
      <c r="P749" s="1233" t="inlineStr">
        <is>
          <t>Populated by modelling rather than left blank; the basis is stated in the Assumption column so it can be replaced with a sourced series when one exists.</t>
        </is>
      </c>
    </row>
    <row r="750" ht="46" customHeight="1" s="632">
      <c r="A750" s="1232" t="inlineStr">
        <is>
          <t>VL12</t>
        </is>
      </c>
      <c r="B750" s="1235" t="inlineStr">
        <is>
          <t>Valuation executive summary</t>
        </is>
      </c>
      <c r="C750" s="1258">
        <f>'Comparable Valuation'!B9</f>
        <v/>
      </c>
      <c r="D750" s="1236" t="inlineStr">
        <is>
          <t>Rs cr</t>
        </is>
      </c>
      <c r="E750" s="1235" t="inlineStr">
        <is>
          <t>Computed in-cell: enterprise value from the scenario valuation; equity value by deducting net debt rolled forward from FY2026A at cumulative unlevered free cash flow</t>
        </is>
      </c>
      <c r="F750" s="1235" t="inlineStr">
        <is>
          <t>'=$C$94-('Capital Allocation'!$C$80-SUM(engine UFCF FY2027E:FY2033E))</t>
        </is>
      </c>
      <c r="G750" s="1235" t="inlineStr">
        <is>
          <t>Driver D19 exit multiple; FY2026A net debt of Rs 1,85,001 cr from the Master Industry Database</t>
        </is>
      </c>
      <c r="H750" s="1235" t="inlineStr">
        <is>
          <t>Section C discounted cash flow; section B replacement cost</t>
        </is>
      </c>
      <c r="I750" s="1235" t="inlineStr">
        <is>
          <t>The net debt roll-forward here EXCLUDES interest, so equity value is marginally overstated in the strong scenarios and understated in the weak ones.</t>
        </is>
      </c>
      <c r="J750" s="1235" t="inlineStr">
        <is>
          <t>The recommendation row is deliberately mechanical - it compares enterprise value against replacement cost with an 80% and 120% band - because a recommendation that is a formula can be audited, whereas a recommendation that is text cannot. Read it as a valuation screen, not as investment advice: the exit multiple it rests on is unsourced.</t>
        </is>
      </c>
      <c r="K750" s="1235" t="inlineStr">
        <is>
          <t>Enterprise value must equal the scenario valuation table; price to earnings uses NOPAT rather than net income because the model is unlevered, and that is disclosed</t>
        </is>
      </c>
      <c r="L750" s="1236" t="inlineStr">
        <is>
          <t>Low</t>
        </is>
      </c>
      <c r="M750" s="1235" t="inlineStr">
        <is>
          <t>Model Assumptions, Scenario Manager engine, Capital Allocation</t>
        </is>
      </c>
      <c r="N750" s="1235" t="inlineStr">
        <is>
          <t>Quarterly</t>
        </is>
      </c>
      <c r="O750" s="1236" t="inlineStr">
        <is>
          <t>FY2033E</t>
        </is>
      </c>
      <c r="P750" s="1235" t="inlineStr">
        <is>
          <t>Was entirely blank.</t>
        </is>
      </c>
    </row>
    <row r="751" ht="46" customHeight="1" s="632">
      <c r="A751" s="1232" t="inlineStr">
        <is>
          <t>VL13</t>
        </is>
      </c>
      <c r="B751" s="1233" t="inlineStr">
        <is>
          <t>Company</t>
        </is>
      </c>
      <c r="C751" s="1242">
        <f>IF(ISNUMBER('Comparable Valuation'!J107),'Comparable Valuation'!J107,'Comparable Valuation'!C107)</f>
        <v/>
      </c>
      <c r="D751" s="1234" t="inlineStr">
        <is>
          <t>FY2026 EBITDA (Rs cr)</t>
        </is>
      </c>
      <c r="E751" s="1233" t="inlineStr">
        <is>
          <t>Sourced actual (hard value)</t>
        </is>
      </c>
      <c r="F751" s="1233" t="inlineStr">
        <is>
          <t>(constant) PAT (Rs cr)</t>
        </is>
      </c>
      <c r="G751" s="1233" t="inlineStr">
        <is>
          <t>EV per tonne (Rs/t)</t>
        </is>
      </c>
      <c r="H751" s="1233" t="inlineStr">
        <is>
          <t>26 Sources register; Master Industry Database source log (47 cited sources)</t>
        </is>
      </c>
      <c r="I751" s="1233" t="inlineStr">
        <is>
          <t>Notes</t>
        </is>
      </c>
      <c r="J751" s="1233" t="n"/>
      <c r="K751" s="1233" t="inlineStr">
        <is>
          <t>Reconciled by 25 Audit Checks</t>
        </is>
      </c>
      <c r="L751" s="1234" t="inlineStr">
        <is>
          <t>Conf.</t>
        </is>
      </c>
      <c r="M751" s="1233" t="inlineStr">
        <is>
          <t>This sheet</t>
        </is>
      </c>
      <c r="N751" s="1233" t="inlineStr">
        <is>
          <t>Quarterly</t>
        </is>
      </c>
      <c r="O751" s="1234" t="inlineStr">
        <is>
          <t>FY2026A</t>
        </is>
      </c>
      <c r="P751" s="1233" t="inlineStr">
        <is>
          <t>Research block row 107. Value column is live and re-states on a scenario change.</t>
        </is>
      </c>
    </row>
    <row r="752" ht="46" customHeight="1" s="632">
      <c r="A752" s="1232" t="inlineStr">
        <is>
          <t>VL14</t>
        </is>
      </c>
      <c r="B752" s="1235" t="inlineStr">
        <is>
          <t>Tata Steel</t>
        </is>
      </c>
      <c r="C752" s="1241">
        <f>IF(ISNUMBER('Comparable Valuation'!J108),'Comparable Valuation'!J108,'Comparable Valuation'!C108)</f>
        <v/>
      </c>
      <c r="D752" s="1236" t="n">
        <v>34272</v>
      </c>
      <c r="E752" s="1235" t="inlineStr">
        <is>
          <t>Sourced actual (hard value)</t>
        </is>
      </c>
      <c r="F752" s="1235" t="inlineStr">
        <is>
          <t>(constant) 10886</t>
        </is>
      </c>
      <c r="G752" s="1235" t="inlineStr">
        <is>
          <t>'=IFERROR(I108/K108*10,"")</t>
        </is>
      </c>
      <c r="H752" s="1235" t="inlineStr">
        <is>
          <t>26 Sources register; Master Industry Database source log (47 cited sources)</t>
        </is>
      </c>
      <c r="I752" s="1235" t="inlineStr">
        <is>
          <t>India segment used for volume and margin.</t>
        </is>
      </c>
      <c r="J752" s="1235" t="inlineStr">
        <is>
          <t>Netherlands carries a disclosed material uncertainty related to going concern (Master DB, policy P18) - the single largest identifiable downside in the universe and NOT captured in this industry model, which forecasts India only. Capacity basis: INDICATIVE - Tata Steel discloses 35 Mtpa GLOBAL group crude steel capacity.</t>
        </is>
      </c>
      <c r="K752" s="1235" t="inlineStr">
        <is>
          <t>The India component is not separately disclosed in the database; 26 Mtpa is inferred from FY2026 India crude steel production of 23.43 Mt at roughly 90% utilisation and is flagged Low confidence.</t>
        </is>
      </c>
      <c r="L752" s="1236" t="inlineStr">
        <is>
          <t>Medium</t>
        </is>
      </c>
      <c r="M752" s="1235" t="inlineStr">
        <is>
          <t>This sheet</t>
        </is>
      </c>
      <c r="N752" s="1235" t="inlineStr">
        <is>
          <t>Quarterly</t>
        </is>
      </c>
      <c r="O752" s="1236" t="inlineStr">
        <is>
          <t>FY2026A</t>
        </is>
      </c>
      <c r="P752" s="1235" t="inlineStr">
        <is>
          <t>Research block row 108. Value column is live and re-states on a scenario change.</t>
        </is>
      </c>
    </row>
    <row r="753" ht="46" customHeight="1" s="632">
      <c r="A753" s="1232" t="inlineStr">
        <is>
          <t>VL15</t>
        </is>
      </c>
      <c r="B753" s="1233" t="inlineStr">
        <is>
          <t>JSW Steel</t>
        </is>
      </c>
      <c r="C753" s="1242">
        <f>IF(ISNUMBER('Comparable Valuation'!J109),'Comparable Valuation'!J109,'Comparable Valuation'!C109)</f>
        <v/>
      </c>
      <c r="D753" s="1234" t="n">
        <v>29240</v>
      </c>
      <c r="E753" s="1233" t="inlineStr">
        <is>
          <t>Sourced actual (hard value)</t>
        </is>
      </c>
      <c r="F753" s="1233" t="inlineStr">
        <is>
          <t>(constant) 25508</t>
        </is>
      </c>
      <c r="G753" s="1233" t="inlineStr">
        <is>
          <t>'=IFERROR(I109/K109*10,"")</t>
        </is>
      </c>
      <c r="H753" s="1233" t="inlineStr">
        <is>
          <t>26 Sources register; Master Industry Database source log (47 cited sources)</t>
        </is>
      </c>
      <c r="I753" s="1233" t="inlineStr">
        <is>
          <t>FY2027 additions include BMM Ispat (0.90 Mtpa), an acquisition of existing capacity: it adds to JSW but NOT to national capacity.</t>
        </is>
      </c>
      <c r="J753" s="1233" t="inlineStr">
        <is>
          <t>BPSL was deconsolidated from 27-Mar-2026, so FY2026 to FY2027 company volumes are not like-for-like. DERIVED SHARE COUNT IS UNRELIABLE for JSW: PAT of Rs 25,508 cr includes the Rs 18,051 cr BPSL slump-sale gain while EPS of Rs 91.26 is on profit attributable to owners, so PAT/EPS overstates the share count by roughly 15%.</t>
        </is>
      </c>
      <c r="K753" s="1233" t="inlineStr">
        <is>
          <t>Overwrite column G with the actual count. Capacity basis: JSW Steel India existing capacity, disclosed. Cross-checked: FY2026 India production of 29.25 Mt at the stated 92% utilisation implies 31.8 Mtpa.</t>
        </is>
      </c>
      <c r="L753" s="1234" t="inlineStr">
        <is>
          <t>Medium</t>
        </is>
      </c>
      <c r="M753" s="1233" t="inlineStr">
        <is>
          <t>This sheet</t>
        </is>
      </c>
      <c r="N753" s="1233" t="inlineStr">
        <is>
          <t>Quarterly</t>
        </is>
      </c>
      <c r="O753" s="1234" t="inlineStr">
        <is>
          <t>FY2026A</t>
        </is>
      </c>
      <c r="P753" s="1233" t="inlineStr">
        <is>
          <t>Research block row 109. Value column is live and re-states on a scenario change.</t>
        </is>
      </c>
    </row>
    <row r="754" ht="46" customHeight="1" s="632">
      <c r="A754" s="1232" t="inlineStr">
        <is>
          <t>VL16</t>
        </is>
      </c>
      <c r="B754" s="1235" t="inlineStr">
        <is>
          <t>SAIL</t>
        </is>
      </c>
      <c r="C754" s="1241">
        <f>IF(ISNUMBER('Comparable Valuation'!J110),'Comparable Valuation'!J110,'Comparable Valuation'!C110)</f>
        <v/>
      </c>
      <c r="D754" s="1236" t="n">
        <v>13146</v>
      </c>
      <c r="E754" s="1235" t="inlineStr">
        <is>
          <t>Sourced actual (hard value)</t>
        </is>
      </c>
      <c r="F754" s="1235" t="inlineStr">
        <is>
          <t>(constant) 3373</t>
        </is>
      </c>
      <c r="G754" s="1235" t="inlineStr">
        <is>
          <t>'=IFERROR(I110/K110*10,"")</t>
        </is>
      </c>
      <c r="H754" s="1235" t="inlineStr">
        <is>
          <t>26 Sources register; Master Industry Database source log (47 cited sources)</t>
        </is>
      </c>
      <c r="I754" s="1235" t="inlineStr">
        <is>
          <t>EBITDA per tonne is struck on the STANDALONE EBITDA headline over standalone sales volume.</t>
        </is>
      </c>
      <c r="J754" s="1235" t="inlineStr">
        <is>
          <t>Do not pair a consolidated enterprise value with this EBITDA - see Master DB Conflict C09. Capacity basis: SAIL crude steel operating capacity per Ministry of Steel, Rajya Sabha USQ 3982 answered 27-Mar-2026.</t>
        </is>
      </c>
      <c r="K754" s="1235" t="inlineStr">
        <is>
          <t>Reconciled by 25 Audit Checks</t>
        </is>
      </c>
      <c r="L754" s="1236" t="inlineStr">
        <is>
          <t>Medium</t>
        </is>
      </c>
      <c r="M754" s="1235" t="inlineStr">
        <is>
          <t>This sheet</t>
        </is>
      </c>
      <c r="N754" s="1235" t="inlineStr">
        <is>
          <t>Quarterly</t>
        </is>
      </c>
      <c r="O754" s="1236" t="inlineStr">
        <is>
          <t>FY2026A</t>
        </is>
      </c>
      <c r="P754" s="1235" t="inlineStr">
        <is>
          <t>Research block row 110. Value column is live and re-states on a scenario change.</t>
        </is>
      </c>
    </row>
    <row r="755" ht="46" customHeight="1" s="632">
      <c r="A755" s="1232" t="inlineStr">
        <is>
          <t>VL17</t>
        </is>
      </c>
      <c r="B755" s="1233" t="inlineStr">
        <is>
          <t>Jindal Steel</t>
        </is>
      </c>
      <c r="C755" s="1242">
        <f>IF(ISNUMBER('Comparable Valuation'!J111),'Comparable Valuation'!J111,'Comparable Valuation'!C111)</f>
        <v/>
      </c>
      <c r="D755" s="1234" t="n">
        <v>9660</v>
      </c>
      <c r="E755" s="1233" t="inlineStr">
        <is>
          <t>Sourced actual (hard value)</t>
        </is>
      </c>
      <c r="F755" s="1233" t="inlineStr">
        <is>
          <t>(constant) 3361</t>
        </is>
      </c>
      <c r="G755" s="1233" t="inlineStr">
        <is>
          <t>'=IFERROR(I111/K111*10,"")</t>
        </is>
      </c>
      <c r="H755" s="1233" t="inlineStr">
        <is>
          <t>26 Sources register; Master Industry Database source log (47 cited sources)</t>
        </is>
      </c>
      <c r="I755" s="1233" t="inlineStr">
        <is>
          <t>Capacity rose from 9.6 to 15.6 Mtpa in FY2026, so FY2027 volume growth comes from utilising capacity already built rather than from new additions.</t>
        </is>
      </c>
      <c r="J755" s="1233" t="inlineStr">
        <is>
          <t>Company guidance for FY2027 is 11.0-11.5 Mt of production against 9.25 Mt in FY2026. Capacity basis: Jindal Steel total steelmaking capacity entering FY2027, disclosed.</t>
        </is>
      </c>
      <c r="K755" s="1233" t="inlineStr">
        <is>
          <t>Reconciled by 25 Audit Checks</t>
        </is>
      </c>
      <c r="L755" s="1234" t="inlineStr">
        <is>
          <t>Medium</t>
        </is>
      </c>
      <c r="M755" s="1233" t="inlineStr">
        <is>
          <t>This sheet</t>
        </is>
      </c>
      <c r="N755" s="1233" t="inlineStr">
        <is>
          <t>Quarterly</t>
        </is>
      </c>
      <c r="O755" s="1234" t="inlineStr">
        <is>
          <t>FY2026A</t>
        </is>
      </c>
      <c r="P755" s="1233" t="inlineStr">
        <is>
          <t>Research block row 111. Value column is live and re-states on a scenario change.</t>
        </is>
      </c>
    </row>
    <row r="756" ht="46" customHeight="1" s="632">
      <c r="A756" s="1232" t="inlineStr">
        <is>
          <t>VL18</t>
        </is>
      </c>
      <c r="B756" s="1235" t="inlineStr">
        <is>
          <t>Jindal Stainless</t>
        </is>
      </c>
      <c r="C756" s="1241">
        <f>IF(ISNUMBER('Comparable Valuation'!J112),'Comparable Valuation'!J112,'Comparable Valuation'!C112)</f>
        <v/>
      </c>
      <c r="D756" s="1236" t="n">
        <v>5560</v>
      </c>
      <c r="E756" s="1235" t="inlineStr">
        <is>
          <t>Sourced actual (hard value)</t>
        </is>
      </c>
      <c r="F756" s="1235" t="inlineStr">
        <is>
          <t>(constant) 3185</t>
        </is>
      </c>
      <c r="G756" s="1235" t="inlineStr">
        <is>
          <t>'=IFERROR(I112/K112*10,"")</t>
        </is>
      </c>
      <c r="H756" s="1235" t="inlineStr">
        <is>
          <t>26 Sources register; Master Industry Database source log (47 cited sources)</t>
        </is>
      </c>
      <c r="I756" s="1235" t="inlineStr">
        <is>
          <t>STAINLESS.</t>
        </is>
      </c>
      <c r="J756" s="1235" t="inlineStr">
        <is>
          <t>Realisation of roughly Rs 1,67,000/t and EBITDA per tonne of Rs 21,634 are not comparable with carbon steel and this company is EXCLUDED from the blended industry realisation anchor. Management guided FY2027 EBITDA per tonne to Rs 18,000-20,000, i.e.</t>
        </is>
      </c>
      <c r="K756" s="1235" t="inlineStr">
        <is>
          <t>BELOW the FY2026 outcome. Capacity basis: Jindal Stainless INDIA melt capacity. Group melt capacity is 4.2 Mtpa including 1.2 Mtpa in Indonesia, which is excluded from the India build.</t>
        </is>
      </c>
      <c r="L756" s="1236" t="inlineStr">
        <is>
          <t>Medium</t>
        </is>
      </c>
      <c r="M756" s="1235" t="inlineStr">
        <is>
          <t>This sheet</t>
        </is>
      </c>
      <c r="N756" s="1235" t="inlineStr">
        <is>
          <t>Quarterly</t>
        </is>
      </c>
      <c r="O756" s="1236" t="inlineStr">
        <is>
          <t>FY2026A</t>
        </is>
      </c>
      <c r="P756" s="1235" t="inlineStr">
        <is>
          <t>Research block row 112. Value column is live and re-states on a scenario change.</t>
        </is>
      </c>
    </row>
    <row r="757" ht="46" customHeight="1" s="632">
      <c r="A757" s="1232" t="inlineStr">
        <is>
          <t>VL19</t>
        </is>
      </c>
      <c r="B757" s="1233" t="inlineStr">
        <is>
          <t>AM/NS India</t>
        </is>
      </c>
      <c r="C757" s="1242">
        <f>IFERROR('Comparable Valuation'!D113,"")</f>
        <v/>
      </c>
      <c r="D757" s="1234" t="n">
        <v>69</v>
      </c>
      <c r="E757" s="1233" t="inlineStr">
        <is>
          <t>Not populated</t>
        </is>
      </c>
      <c r="F757" s="1233" t="n"/>
      <c r="G757" s="1233" t="inlineStr">
        <is>
          <t>'=IFERROR(I113/K113*10,"")</t>
        </is>
      </c>
      <c r="H757" s="1233" t="inlineStr">
        <is>
          <t>26 Sources register; Master Industry Database source log (47 cited sources)</t>
        </is>
      </c>
      <c r="I757" s="1233" t="inlineStr">
        <is>
          <t>Unlisted 60:40 joint venture.</t>
        </is>
      </c>
      <c r="J757" s="1233" t="inlineStr">
        <is>
          <t>All figures are 100% basis, USD, calendar quarters, converted at the derived FY2026 average USD/INR of 88.4. The fiscal-year figures are themselves derived by summing calendar quarters - Master DB Conflict C16.</t>
        </is>
      </c>
      <c r="K757" s="1233" t="inlineStr">
        <is>
          <t>Unlisted - no market-based valuation is possible. Capacity basis: AM/NS India Hazira capacity, expanding to 15 Mtpa.</t>
        </is>
      </c>
      <c r="L757" s="1234" t="inlineStr">
        <is>
          <t>n/a</t>
        </is>
      </c>
      <c r="M757" s="1233" t="inlineStr">
        <is>
          <t>This sheet</t>
        </is>
      </c>
      <c r="N757" s="1233" t="inlineStr">
        <is>
          <t>Quarterly</t>
        </is>
      </c>
      <c r="O757" s="1234" t="inlineStr">
        <is>
          <t>FY2026A</t>
        </is>
      </c>
      <c r="P757" s="1233" t="inlineStr">
        <is>
          <t>Research block row 113. Value column is live and re-states on a scenario change.</t>
        </is>
      </c>
    </row>
    <row r="758" ht="46" customHeight="1" s="632">
      <c r="A758" s="1232" t="inlineStr">
        <is>
          <t>VL20</t>
        </is>
      </c>
      <c r="B758" s="1235" t="inlineStr">
        <is>
          <t>Median EV/EBITDA (listed, once prices entered)</t>
        </is>
      </c>
      <c r="C758" s="1241">
        <f>'Comparable Valuation'!J116</f>
        <v/>
      </c>
      <c r="D758" s="1236" t="n"/>
      <c r="E758" s="1235" t="inlineStr">
        <is>
          <t>Not populated</t>
        </is>
      </c>
      <c r="F758" s="1235" t="n"/>
      <c r="G758" s="1235" t="inlineStr">
        <is>
          <t>See 26 Sources</t>
        </is>
      </c>
      <c r="H758" s="1235" t="inlineStr">
        <is>
          <t>26 Sources register; Master Industry Database source log (47 cited sources)</t>
        </is>
      </c>
      <c r="I758" s="1235" t="inlineStr">
        <is>
          <t>Live.</t>
        </is>
      </c>
      <c r="J758" s="1235" t="inlineStr">
        <is>
          <t>Compare against the exit multiple driver D19 of 6.0x, which is NOT sourced and should be re-based on this observed evidence once prices are entered.</t>
        </is>
      </c>
      <c r="K758" s="1235" t="inlineStr">
        <is>
          <t>Reconciled by 25 Audit Checks</t>
        </is>
      </c>
      <c r="L758" s="1236" t="inlineStr">
        <is>
          <t>Medium</t>
        </is>
      </c>
      <c r="M758" s="1235" t="inlineStr">
        <is>
          <t>This sheet</t>
        </is>
      </c>
      <c r="N758" s="1235" t="inlineStr">
        <is>
          <t>Quarterly</t>
        </is>
      </c>
      <c r="O758" s="1236" t="inlineStr">
        <is>
          <t>FY2026A</t>
        </is>
      </c>
      <c r="P758" s="1235" t="inlineStr">
        <is>
          <t>Research block row 116. Value column is live and re-states on a scenario change.</t>
        </is>
      </c>
    </row>
    <row r="759" ht="46" customHeight="1" s="632">
      <c r="A759" s="1232" t="inlineStr">
        <is>
          <t>VL21</t>
        </is>
      </c>
      <c r="B759" s="1233" t="inlineStr">
        <is>
          <t>Greenfield / brownfield capex intensity</t>
        </is>
      </c>
      <c r="C759" s="1242">
        <f>IFERROR('Comparable Valuation'!D120,"")</f>
        <v/>
      </c>
      <c r="D759" s="1234" t="n"/>
      <c r="E759" s="1233" t="inlineStr">
        <is>
          <t>Cross-sheet reference (linked, not re-entered)</t>
        </is>
      </c>
      <c r="F759" s="1233" t="inlineStr">
        <is>
          <t>'='Model Assumptions'!K$23</t>
        </is>
      </c>
      <c r="G759" s="1233" t="inlineStr">
        <is>
          <t>See 26 Sources</t>
        </is>
      </c>
      <c r="H759" s="1233" t="inlineStr">
        <is>
          <t>26 Sources register; Master Industry Database source log (47 cited sources)</t>
        </is>
      </c>
      <c r="I759" s="1233" t="n"/>
      <c r="J759" s="1233" t="n"/>
      <c r="K759" s="1233" t="inlineStr">
        <is>
          <t>Reconciled by 25 Audit Checks</t>
        </is>
      </c>
      <c r="L759" s="1234" t="inlineStr">
        <is>
          <t>Medium</t>
        </is>
      </c>
      <c r="M759" s="1233" t="inlineStr">
        <is>
          <t>Model Assumptions</t>
        </is>
      </c>
      <c r="N759" s="1233" t="inlineStr">
        <is>
          <t>Quarterly</t>
        </is>
      </c>
      <c r="O759" s="1234" t="inlineStr">
        <is>
          <t>FY2026A</t>
        </is>
      </c>
      <c r="P759" s="1233" t="inlineStr">
        <is>
          <t>Research block row 120. Value column is live and re-states on a scenario change.</t>
        </is>
      </c>
    </row>
    <row r="760" ht="46" customHeight="1" s="632">
      <c r="A760" s="1232" t="inlineStr">
        <is>
          <t>VL22</t>
        </is>
      </c>
      <c r="B760" s="1235" t="inlineStr">
        <is>
          <t>Replacement cost of India's FY2026 capacity</t>
        </is>
      </c>
      <c r="C760" s="1241">
        <f>IFERROR('Comparable Valuation'!D121,"")</f>
        <v/>
      </c>
      <c r="D760" s="1236" t="n"/>
      <c r="E760" s="1235" t="inlineStr">
        <is>
          <t>Computed in-cell</t>
        </is>
      </c>
      <c r="F760" s="1235" t="inlineStr">
        <is>
          <t>'=220.4*E120/10</t>
        </is>
      </c>
      <c r="G760" s="1235" t="inlineStr">
        <is>
          <t>See 26 Sources</t>
        </is>
      </c>
      <c r="H760" s="1235" t="inlineStr">
        <is>
          <t>26 Sources register; Master Industry Database source log (47 cited sources)</t>
        </is>
      </c>
      <c r="I760" s="1235" t="n"/>
      <c r="J760" s="1235" t="n"/>
      <c r="K760" s="1235" t="inlineStr">
        <is>
          <t>Reconciled by 25 Audit Checks</t>
        </is>
      </c>
      <c r="L760" s="1236" t="inlineStr">
        <is>
          <t>Medium</t>
        </is>
      </c>
      <c r="M760" s="1235" t="inlineStr">
        <is>
          <t>This sheet</t>
        </is>
      </c>
      <c r="N760" s="1235" t="inlineStr">
        <is>
          <t>Quarterly</t>
        </is>
      </c>
      <c r="O760" s="1236" t="inlineStr">
        <is>
          <t>FY2026A</t>
        </is>
      </c>
      <c r="P760" s="1235" t="inlineStr">
        <is>
          <t>Research block row 121. Value column is live and re-states on a scenario change.</t>
        </is>
      </c>
    </row>
    <row r="761" ht="46" customHeight="1" s="632">
      <c r="A761" s="1232" t="inlineStr">
        <is>
          <t>VL23</t>
        </is>
      </c>
      <c r="B761" s="1233" t="inlineStr">
        <is>
          <t>Implied EV per tonne at the exit multiple</t>
        </is>
      </c>
      <c r="C761" s="1242">
        <f>IFERROR('Comparable Valuation'!D122,"")</f>
        <v/>
      </c>
      <c r="D761" s="1234" t="n"/>
      <c r="E761" s="1233" t="inlineStr">
        <is>
          <t>Cross-sheet reference (linked, not re-entered)</t>
        </is>
      </c>
      <c r="F761" s="1233" t="inlineStr">
        <is>
          <t>'=IFERROR('EBITDA Model'!K$103*'Model Assumptions'!K$26/('Capacity Forecast'!K$101)*10,"")</t>
        </is>
      </c>
      <c r="G761" s="1233" t="inlineStr">
        <is>
          <t>See 26 Sources</t>
        </is>
      </c>
      <c r="H761" s="1233" t="inlineStr">
        <is>
          <t>26 Sources register; Master Industry Database source log (47 cited sources)</t>
        </is>
      </c>
      <c r="I761" s="1233" t="n"/>
      <c r="J761" s="1233" t="n"/>
      <c r="K761" s="1233" t="inlineStr">
        <is>
          <t>Reconciled by 25 Audit Checks</t>
        </is>
      </c>
      <c r="L761" s="1234" t="inlineStr">
        <is>
          <t>Medium</t>
        </is>
      </c>
      <c r="M761" s="1233" t="inlineStr">
        <is>
          <t>Capacity Forecast, EBITDA Model, Model Assumptions</t>
        </is>
      </c>
      <c r="N761" s="1233" t="inlineStr">
        <is>
          <t>Quarterly</t>
        </is>
      </c>
      <c r="O761" s="1234" t="inlineStr">
        <is>
          <t>FY2026A</t>
        </is>
      </c>
      <c r="P761" s="1233" t="inlineStr">
        <is>
          <t>Research block row 122. Value column is live and re-states on a scenario change.</t>
        </is>
      </c>
    </row>
    <row r="762" ht="46" customHeight="1" s="632">
      <c r="A762" s="1232" t="inlineStr">
        <is>
          <t>VL24</t>
        </is>
      </c>
      <c r="B762" s="1235" t="inlineStr">
        <is>
          <t>Unlevered free cash flow</t>
        </is>
      </c>
      <c r="C762" s="1241">
        <f>'Comparable Valuation'!J127</f>
        <v/>
      </c>
      <c r="D762" s="1236" t="inlineStr">
        <is>
          <t>Rs cr</t>
        </is>
      </c>
      <c r="E762" s="1235" t="inlineStr">
        <is>
          <t>Cross-sheet reference (linked, not re-entered)</t>
        </is>
      </c>
      <c r="F762" s="1235" t="inlineStr">
        <is>
          <t>'='Cash Flow Model'!D$114</t>
        </is>
      </c>
      <c r="G762" s="1235" t="inlineStr">
        <is>
          <t>16 Cash Flow</t>
        </is>
      </c>
      <c r="H762" s="1235" t="inlineStr">
        <is>
          <t>26 Sources register; Master Industry Database source log (47 cited sources)</t>
        </is>
      </c>
      <c r="I762" s="1235" t="n"/>
      <c r="J762" s="1235" t="n"/>
      <c r="K762" s="1235" t="inlineStr">
        <is>
          <t>Reconciled by 25 Audit Checks</t>
        </is>
      </c>
      <c r="L762" s="1236" t="inlineStr">
        <is>
          <t>Medium</t>
        </is>
      </c>
      <c r="M762" s="1235" t="inlineStr">
        <is>
          <t>Cash Flow Model</t>
        </is>
      </c>
      <c r="N762" s="1235" t="inlineStr">
        <is>
          <t>Recalculates live with the model</t>
        </is>
      </c>
      <c r="O762" s="1236" t="inlineStr">
        <is>
          <t>Live</t>
        </is>
      </c>
      <c r="P762" s="1235" t="inlineStr">
        <is>
          <t>Research block row 127. Value column is live and re-states on a scenario change.</t>
        </is>
      </c>
    </row>
    <row r="763" ht="46" customHeight="1" s="632">
      <c r="A763" s="1232" t="inlineStr">
        <is>
          <t>VL25</t>
        </is>
      </c>
      <c r="B763" s="1233" t="inlineStr">
        <is>
          <t>WACC</t>
        </is>
      </c>
      <c r="C763" s="1242">
        <f>'Comparable Valuation'!J128</f>
        <v/>
      </c>
      <c r="D763" s="1234" t="inlineStr">
        <is>
          <t>%</t>
        </is>
      </c>
      <c r="E763" s="1233" t="inlineStr">
        <is>
          <t>Cross-sheet reference (linked, not re-entered)</t>
        </is>
      </c>
      <c r="F763" s="1233" t="inlineStr">
        <is>
          <t>'='Model Assumptions'!E$27</t>
        </is>
      </c>
      <c r="G763" s="1233" t="inlineStr">
        <is>
          <t>02 Assumptions</t>
        </is>
      </c>
      <c r="H763" s="1233" t="inlineStr">
        <is>
          <t>26 Sources register; Master Industry Database source log (47 cited sources)</t>
        </is>
      </c>
      <c r="I763" s="1233" t="inlineStr">
        <is>
          <t>Cross-checked against the build-up on 02 Section D by 25 Audit Checks.</t>
        </is>
      </c>
      <c r="J763" s="1233" t="n"/>
      <c r="K763" s="1233" t="inlineStr">
        <is>
          <t>Reconciled by 25 Audit Checks</t>
        </is>
      </c>
      <c r="L763" s="1234" t="inlineStr">
        <is>
          <t>Medium</t>
        </is>
      </c>
      <c r="M763" s="1233" t="inlineStr">
        <is>
          <t>Model Assumptions</t>
        </is>
      </c>
      <c r="N763" s="1233" t="inlineStr">
        <is>
          <t>Recalculates live with the model</t>
        </is>
      </c>
      <c r="O763" s="1234" t="inlineStr">
        <is>
          <t>Live</t>
        </is>
      </c>
      <c r="P763" s="1233" t="inlineStr">
        <is>
          <t>Research block row 128. Value column is live and re-states on a scenario change.</t>
        </is>
      </c>
    </row>
    <row r="764" ht="46" customHeight="1" s="632">
      <c r="A764" s="1232" t="inlineStr">
        <is>
          <t>VL26</t>
        </is>
      </c>
      <c r="B764" s="1235" t="inlineStr">
        <is>
          <t>Discount period</t>
        </is>
      </c>
      <c r="C764" s="1241">
        <f>'Comparable Valuation'!J129</f>
        <v/>
      </c>
      <c r="D764" s="1236" t="inlineStr">
        <is>
          <t>years</t>
        </is>
      </c>
      <c r="E764" s="1235" t="inlineStr">
        <is>
          <t>Sourced actual (hard value)</t>
        </is>
      </c>
      <c r="F764" s="1235" t="inlineStr">
        <is>
          <t>(constant) 0.5</t>
        </is>
      </c>
      <c r="G764" s="1235" t="inlineStr">
        <is>
          <t>Convention</t>
        </is>
      </c>
      <c r="H764" s="1235" t="inlineStr">
        <is>
          <t>26 Sources register; Master Industry Database source log (47 cited sources)</t>
        </is>
      </c>
      <c r="I764" s="1235" t="inlineStr">
        <is>
          <t>MID-YEAR CONVENTION: cash flows are assumed to arise evenly through the year, so they are discounted from the mid-point.</t>
        </is>
      </c>
      <c r="J764" s="1235" t="inlineStr">
        <is>
          <t>Using year-end would understate value by roughly 5-6% at a 12% WACC.</t>
        </is>
      </c>
      <c r="K764" s="1235" t="inlineStr">
        <is>
          <t>Reconciled by 25 Audit Checks</t>
        </is>
      </c>
      <c r="L764" s="1236" t="inlineStr">
        <is>
          <t>High</t>
        </is>
      </c>
      <c r="M764" s="1235" t="inlineStr">
        <is>
          <t>This sheet</t>
        </is>
      </c>
      <c r="N764" s="1235" t="inlineStr">
        <is>
          <t>On any statutory or policy change</t>
        </is>
      </c>
      <c r="O764" s="1236" t="inlineStr">
        <is>
          <t>In force</t>
        </is>
      </c>
      <c r="P764" s="1235" t="inlineStr">
        <is>
          <t>Research block row 129. Value column is live and re-states on a scenario change.</t>
        </is>
      </c>
    </row>
    <row r="765" ht="46" customHeight="1" s="632">
      <c r="A765" s="1232" t="inlineStr">
        <is>
          <t>VL27</t>
        </is>
      </c>
      <c r="B765" s="1233" t="inlineStr">
        <is>
          <t>Discount factor</t>
        </is>
      </c>
      <c r="C765" s="1242">
        <f>'Comparable Valuation'!J130</f>
        <v/>
      </c>
      <c r="D765" s="1234" t="inlineStr">
        <is>
          <t>x</t>
        </is>
      </c>
      <c r="E765" s="1233" t="inlineStr">
        <is>
          <t>Computed in-cell</t>
        </is>
      </c>
      <c r="F765" s="1233" t="inlineStr">
        <is>
          <t>'=1/(1+D128)^D129</t>
        </is>
      </c>
      <c r="G765" s="1233" t="inlineStr">
        <is>
          <t>Computed</t>
        </is>
      </c>
      <c r="H765" s="1233" t="inlineStr">
        <is>
          <t>26 Sources register; Master Industry Database source log (47 cited sources)</t>
        </is>
      </c>
      <c r="I765" s="1233" t="n"/>
      <c r="J765" s="1233" t="n"/>
      <c r="K765" s="1233" t="inlineStr">
        <is>
          <t>Reconciled by 25 Audit Checks</t>
        </is>
      </c>
      <c r="L765" s="1234" t="inlineStr">
        <is>
          <t>Medium</t>
        </is>
      </c>
      <c r="M765" s="1233" t="inlineStr">
        <is>
          <t>This sheet</t>
        </is>
      </c>
      <c r="N765" s="1233" t="inlineStr">
        <is>
          <t>Recalculates live with the model</t>
        </is>
      </c>
      <c r="O765" s="1234" t="inlineStr">
        <is>
          <t>Live</t>
        </is>
      </c>
      <c r="P765" s="1233" t="inlineStr">
        <is>
          <t>Research block row 130. Value column is live and re-states on a scenario change.</t>
        </is>
      </c>
    </row>
    <row r="766" ht="46" customHeight="1" s="632">
      <c r="A766" s="1232" t="inlineStr">
        <is>
          <t>VL28</t>
        </is>
      </c>
      <c r="B766" s="1235" t="inlineStr">
        <is>
          <t>Present value of FCF</t>
        </is>
      </c>
      <c r="C766" s="1241">
        <f>'Comparable Valuation'!J131</f>
        <v/>
      </c>
      <c r="D766" s="1236" t="inlineStr">
        <is>
          <t>Rs cr</t>
        </is>
      </c>
      <c r="E766" s="1235" t="inlineStr">
        <is>
          <t>Computed in-cell</t>
        </is>
      </c>
      <c r="F766" s="1235" t="inlineStr">
        <is>
          <t>'=D127*D130</t>
        </is>
      </c>
      <c r="G766" s="1235" t="inlineStr">
        <is>
          <t>Computed</t>
        </is>
      </c>
      <c r="H766" s="1235" t="inlineStr">
        <is>
          <t>26 Sources register; Master Industry Database source log (47 cited sources)</t>
        </is>
      </c>
      <c r="I766" s="1235" t="n"/>
      <c r="J766" s="1235" t="n"/>
      <c r="K766" s="1235" t="inlineStr">
        <is>
          <t>Reconciled by 25 Audit Checks</t>
        </is>
      </c>
      <c r="L766" s="1236" t="inlineStr">
        <is>
          <t>Medium</t>
        </is>
      </c>
      <c r="M766" s="1235" t="inlineStr">
        <is>
          <t>This sheet</t>
        </is>
      </c>
      <c r="N766" s="1235" t="inlineStr">
        <is>
          <t>Recalculates live with the model</t>
        </is>
      </c>
      <c r="O766" s="1236" t="inlineStr">
        <is>
          <t>Live</t>
        </is>
      </c>
      <c r="P766" s="1235" t="inlineStr">
        <is>
          <t>Research block row 131. Value column is live and re-states on a scenario change.</t>
        </is>
      </c>
    </row>
    <row r="767" ht="46" customHeight="1" s="632">
      <c r="A767" s="1232" t="inlineStr">
        <is>
          <t>VL29</t>
        </is>
      </c>
      <c r="B767" s="1233" t="inlineStr">
        <is>
          <t>Sum of PV of explicit forecast FCF</t>
        </is>
      </c>
      <c r="C767" s="1242">
        <f>IFERROR('Comparable Valuation'!D133,"")</f>
        <v/>
      </c>
      <c r="D767" s="1234" t="n"/>
      <c r="E767" s="1233" t="inlineStr">
        <is>
          <t>Computed in-cell</t>
        </is>
      </c>
      <c r="F767" s="1233" t="inlineStr">
        <is>
          <t>'=SUM(D131:J131)</t>
        </is>
      </c>
      <c r="G767" s="1233" t="inlineStr">
        <is>
          <t>See 26 Sources</t>
        </is>
      </c>
      <c r="H767" s="1233" t="inlineStr">
        <is>
          <t>26 Sources register; Master Industry Database source log (47 cited sources)</t>
        </is>
      </c>
      <c r="I767" s="1233" t="n"/>
      <c r="J767" s="1233" t="n"/>
      <c r="K767" s="1233" t="inlineStr">
        <is>
          <t>Reconciled by 25 Audit Checks</t>
        </is>
      </c>
      <c r="L767" s="1234" t="inlineStr">
        <is>
          <t>Medium</t>
        </is>
      </c>
      <c r="M767" s="1233" t="inlineStr">
        <is>
          <t>This sheet</t>
        </is>
      </c>
      <c r="N767" s="1233" t="inlineStr">
        <is>
          <t>Quarterly</t>
        </is>
      </c>
      <c r="O767" s="1234" t="inlineStr">
        <is>
          <t>FY2026A</t>
        </is>
      </c>
      <c r="P767" s="1233" t="inlineStr">
        <is>
          <t>Research block row 133. Value column is live and re-states on a scenario change.</t>
        </is>
      </c>
    </row>
    <row r="768" ht="46" customHeight="1" s="632">
      <c r="A768" s="1232" t="inlineStr">
        <is>
          <t>VL30</t>
        </is>
      </c>
      <c r="B768" s="1235" t="inlineStr">
        <is>
          <t>Terminal EBITDA (FY2033E)</t>
        </is>
      </c>
      <c r="C768" s="1241">
        <f>IFERROR('Comparable Valuation'!D134,"")</f>
        <v/>
      </c>
      <c r="D768" s="1236" t="n"/>
      <c r="E768" s="1235" t="inlineStr">
        <is>
          <t>Cross-sheet reference (linked, not re-entered)</t>
        </is>
      </c>
      <c r="F768" s="1235" t="inlineStr">
        <is>
          <t>'='EBITDA Model'!J$103</t>
        </is>
      </c>
      <c r="G768" s="1235" t="inlineStr">
        <is>
          <t>See 26 Sources</t>
        </is>
      </c>
      <c r="H768" s="1235" t="inlineStr">
        <is>
          <t>26 Sources register; Master Industry Database source log (47 cited sources)</t>
        </is>
      </c>
      <c r="I768" s="1235" t="n"/>
      <c r="J768" s="1235" t="n"/>
      <c r="K768" s="1235" t="inlineStr">
        <is>
          <t>Reconciled by 25 Audit Checks</t>
        </is>
      </c>
      <c r="L768" s="1236" t="inlineStr">
        <is>
          <t>Medium</t>
        </is>
      </c>
      <c r="M768" s="1235" t="inlineStr">
        <is>
          <t>EBITDA Model</t>
        </is>
      </c>
      <c r="N768" s="1235" t="inlineStr">
        <is>
          <t>Quarterly</t>
        </is>
      </c>
      <c r="O768" s="1236" t="inlineStr">
        <is>
          <t>FY2026A</t>
        </is>
      </c>
      <c r="P768" s="1235" t="inlineStr">
        <is>
          <t>Research block row 134. Value column is live and re-states on a scenario change.</t>
        </is>
      </c>
    </row>
    <row r="769" ht="46" customHeight="1" s="632">
      <c r="A769" s="1232" t="inlineStr">
        <is>
          <t>VL31</t>
        </is>
      </c>
      <c r="B769" s="1233" t="inlineStr">
        <is>
          <t>Exit EV/EBITDA multiple</t>
        </is>
      </c>
      <c r="C769" s="1242">
        <f>IFERROR('Comparable Valuation'!D135,"")</f>
        <v/>
      </c>
      <c r="D769" s="1234" t="n"/>
      <c r="E769" s="1233" t="inlineStr">
        <is>
          <t>Cross-sheet reference (linked, not re-entered)</t>
        </is>
      </c>
      <c r="F769" s="1233" t="inlineStr">
        <is>
          <t>'='Model Assumptions'!$K$26</t>
        </is>
      </c>
      <c r="G769" s="1233" t="inlineStr">
        <is>
          <t>See 26 Sources</t>
        </is>
      </c>
      <c r="H769" s="1233" t="inlineStr">
        <is>
          <t>26 Sources register; Master Industry Database source log (47 cited sources)</t>
        </is>
      </c>
      <c r="I769" s="1233" t="n"/>
      <c r="J769" s="1233" t="n"/>
      <c r="K769" s="1233" t="inlineStr">
        <is>
          <t>Reconciled by 25 Audit Checks</t>
        </is>
      </c>
      <c r="L769" s="1234" t="inlineStr">
        <is>
          <t>Medium</t>
        </is>
      </c>
      <c r="M769" s="1233" t="inlineStr">
        <is>
          <t>Model Assumptions</t>
        </is>
      </c>
      <c r="N769" s="1233" t="inlineStr">
        <is>
          <t>Quarterly</t>
        </is>
      </c>
      <c r="O769" s="1234" t="inlineStr">
        <is>
          <t>FY2026A</t>
        </is>
      </c>
      <c r="P769" s="1233" t="inlineStr">
        <is>
          <t>Research block row 135. Value column is live and re-states on a scenario change.</t>
        </is>
      </c>
    </row>
    <row r="770" ht="46" customHeight="1" s="632">
      <c r="A770" s="1232" t="inlineStr">
        <is>
          <t>VL32</t>
        </is>
      </c>
      <c r="B770" s="1235" t="inlineStr">
        <is>
          <t>Terminal value</t>
        </is>
      </c>
      <c r="C770" s="1241">
        <f>IFERROR('Comparable Valuation'!D136,"")</f>
        <v/>
      </c>
      <c r="D770" s="1236" t="n"/>
      <c r="E770" s="1235" t="inlineStr">
        <is>
          <t>Computed in-cell</t>
        </is>
      </c>
      <c r="F770" s="1235" t="inlineStr">
        <is>
          <t>'=D134*D135</t>
        </is>
      </c>
      <c r="G770" s="1235" t="inlineStr">
        <is>
          <t>See 26 Sources</t>
        </is>
      </c>
      <c r="H770" s="1235" t="inlineStr">
        <is>
          <t>26 Sources register; Master Industry Database source log (47 cited sources)</t>
        </is>
      </c>
      <c r="I770" s="1235" t="n"/>
      <c r="J770" s="1235" t="n"/>
      <c r="K770" s="1235" t="inlineStr">
        <is>
          <t>Reconciled by 25 Audit Checks</t>
        </is>
      </c>
      <c r="L770" s="1236" t="inlineStr">
        <is>
          <t>Medium</t>
        </is>
      </c>
      <c r="M770" s="1235" t="inlineStr">
        <is>
          <t>This sheet</t>
        </is>
      </c>
      <c r="N770" s="1235" t="inlineStr">
        <is>
          <t>Quarterly</t>
        </is>
      </c>
      <c r="O770" s="1236" t="inlineStr">
        <is>
          <t>FY2026A</t>
        </is>
      </c>
      <c r="P770" s="1235" t="inlineStr">
        <is>
          <t>Research block row 136. Value column is live and re-states on a scenario change.</t>
        </is>
      </c>
    </row>
    <row r="771" ht="46" customHeight="1" s="632">
      <c r="A771" s="1232" t="inlineStr">
        <is>
          <t>VL33</t>
        </is>
      </c>
      <c r="B771" s="1233" t="inlineStr">
        <is>
          <t>PV of terminal value</t>
        </is>
      </c>
      <c r="C771" s="1242">
        <f>IFERROR('Comparable Valuation'!D137,"")</f>
        <v/>
      </c>
      <c r="D771" s="1234" t="n"/>
      <c r="E771" s="1233" t="inlineStr">
        <is>
          <t>Computed in-cell</t>
        </is>
      </c>
      <c r="F771" s="1233" t="inlineStr">
        <is>
          <t>'=D136*J130</t>
        </is>
      </c>
      <c r="G771" s="1233" t="inlineStr">
        <is>
          <t>See 26 Sources</t>
        </is>
      </c>
      <c r="H771" s="1233" t="inlineStr">
        <is>
          <t>26 Sources register; Master Industry Database source log (47 cited sources)</t>
        </is>
      </c>
      <c r="I771" s="1233" t="n"/>
      <c r="J771" s="1233" t="n"/>
      <c r="K771" s="1233" t="inlineStr">
        <is>
          <t>Reconciled by 25 Audit Checks</t>
        </is>
      </c>
      <c r="L771" s="1234" t="inlineStr">
        <is>
          <t>Medium</t>
        </is>
      </c>
      <c r="M771" s="1233" t="inlineStr">
        <is>
          <t>This sheet</t>
        </is>
      </c>
      <c r="N771" s="1233" t="inlineStr">
        <is>
          <t>Quarterly</t>
        </is>
      </c>
      <c r="O771" s="1234" t="inlineStr">
        <is>
          <t>FY2026A</t>
        </is>
      </c>
      <c r="P771" s="1233" t="inlineStr">
        <is>
          <t>Research block row 137. Value column is live and re-states on a scenario change.</t>
        </is>
      </c>
    </row>
    <row r="772" ht="46" customHeight="1" s="632">
      <c r="A772" s="1232" t="inlineStr">
        <is>
          <t>VL34</t>
        </is>
      </c>
      <c r="B772" s="1235" t="inlineStr">
        <is>
          <t>ENTERPRISE VALUE</t>
        </is>
      </c>
      <c r="C772" s="1241">
        <f>IFERROR('Comparable Valuation'!D138,"")</f>
        <v/>
      </c>
      <c r="D772" s="1236" t="n"/>
      <c r="E772" s="1235" t="inlineStr">
        <is>
          <t>Computed in-cell</t>
        </is>
      </c>
      <c r="F772" s="1235" t="inlineStr">
        <is>
          <t>'=D133+D137</t>
        </is>
      </c>
      <c r="G772" s="1235" t="inlineStr">
        <is>
          <t>See 26 Sources</t>
        </is>
      </c>
      <c r="H772" s="1235" t="inlineStr">
        <is>
          <t>26 Sources register; Master Industry Database source log (47 cited sources)</t>
        </is>
      </c>
      <c r="I772" s="1235" t="n"/>
      <c r="J772" s="1235" t="n"/>
      <c r="K772" s="1235" t="inlineStr">
        <is>
          <t>Reconciled by 25 Audit Checks</t>
        </is>
      </c>
      <c r="L772" s="1236" t="inlineStr">
        <is>
          <t>Medium</t>
        </is>
      </c>
      <c r="M772" s="1235" t="inlineStr">
        <is>
          <t>This sheet</t>
        </is>
      </c>
      <c r="N772" s="1235" t="inlineStr">
        <is>
          <t>Quarterly</t>
        </is>
      </c>
      <c r="O772" s="1236" t="inlineStr">
        <is>
          <t>FY2026A</t>
        </is>
      </c>
      <c r="P772" s="1235" t="inlineStr">
        <is>
          <t>Research block row 138. Value column is live and re-states on a scenario change.</t>
        </is>
      </c>
    </row>
    <row r="773" ht="46" customHeight="1" s="632">
      <c r="A773" s="1232" t="inlineStr">
        <is>
          <t>VL35</t>
        </is>
      </c>
      <c r="B773" s="1233" t="inlineStr">
        <is>
          <t>Terminal value as % of EV</t>
        </is>
      </c>
      <c r="C773" s="1242">
        <f>IFERROR('Comparable Valuation'!D139,"")</f>
        <v/>
      </c>
      <c r="D773" s="1234" t="n"/>
      <c r="E773" s="1233" t="inlineStr">
        <is>
          <t>Computed in-cell</t>
        </is>
      </c>
      <c r="F773" s="1233" t="inlineStr">
        <is>
          <t>'=IFERROR(D137/D138,"")</t>
        </is>
      </c>
      <c r="G773" s="1233" t="inlineStr">
        <is>
          <t>See 26 Sources</t>
        </is>
      </c>
      <c r="H773" s="1233" t="inlineStr">
        <is>
          <t>26 Sources register; Master Industry Database source log (47 cited sources)</t>
        </is>
      </c>
      <c r="I773" s="1233" t="n"/>
      <c r="J773" s="1233" t="n"/>
      <c r="K773" s="1233" t="inlineStr">
        <is>
          <t>Reconciled by 25 Audit Checks</t>
        </is>
      </c>
      <c r="L773" s="1234" t="inlineStr">
        <is>
          <t>Medium</t>
        </is>
      </c>
      <c r="M773" s="1233" t="inlineStr">
        <is>
          <t>This sheet</t>
        </is>
      </c>
      <c r="N773" s="1233" t="inlineStr">
        <is>
          <t>Quarterly</t>
        </is>
      </c>
      <c r="O773" s="1234" t="inlineStr">
        <is>
          <t>FY2026A</t>
        </is>
      </c>
      <c r="P773" s="1233" t="inlineStr">
        <is>
          <t>Research block row 139. Value column is live and re-states on a scenario change.</t>
        </is>
      </c>
    </row>
    <row r="774" ht="46" customHeight="1" s="632">
      <c r="A774" s="1232" t="inlineStr">
        <is>
          <t>VL36</t>
        </is>
      </c>
      <c r="B774" s="1235" t="inlineStr">
        <is>
          <t>EBIT</t>
        </is>
      </c>
      <c r="C774" s="1241">
        <f>'Comparable Valuation'!J143</f>
        <v/>
      </c>
      <c r="D774" s="1236" t="inlineStr">
        <is>
          <t>Rs cr</t>
        </is>
      </c>
      <c r="E774" s="1235" t="inlineStr">
        <is>
          <t>Cross-sheet reference (linked, not re-entered)</t>
        </is>
      </c>
      <c r="F774" s="1235" t="inlineStr">
        <is>
          <t>'='Cash Flow Model'!D$100</t>
        </is>
      </c>
      <c r="G774" s="1235" t="inlineStr">
        <is>
          <t>16 Cash Flow</t>
        </is>
      </c>
      <c r="H774" s="1235" t="inlineStr">
        <is>
          <t>26 Sources register; Master Industry Database source log (47 cited sources)</t>
        </is>
      </c>
      <c r="I774" s="1235" t="n"/>
      <c r="J774" s="1235" t="n"/>
      <c r="K774" s="1235" t="inlineStr">
        <is>
          <t>Reconciled by 25 Audit Checks</t>
        </is>
      </c>
      <c r="L774" s="1236" t="inlineStr">
        <is>
          <t>Medium</t>
        </is>
      </c>
      <c r="M774" s="1235" t="inlineStr">
        <is>
          <t>Cash Flow Model</t>
        </is>
      </c>
      <c r="N774" s="1235" t="inlineStr">
        <is>
          <t>Recalculates live with the model</t>
        </is>
      </c>
      <c r="O774" s="1236" t="inlineStr">
        <is>
          <t>Live</t>
        </is>
      </c>
      <c r="P774" s="1235" t="inlineStr">
        <is>
          <t>Research block row 143. Value column is live and re-states on a scenario change.</t>
        </is>
      </c>
    </row>
    <row r="775" ht="46" customHeight="1" s="632">
      <c r="A775" s="1232" t="inlineStr">
        <is>
          <t>VL37</t>
        </is>
      </c>
      <c r="B775" s="1233" t="inlineStr">
        <is>
          <t>Effective tax rate</t>
        </is>
      </c>
      <c r="C775" s="1242">
        <f>'Comparable Valuation'!J144</f>
        <v/>
      </c>
      <c r="D775" s="1234" t="inlineStr">
        <is>
          <t>%</t>
        </is>
      </c>
      <c r="E775" s="1233" t="inlineStr">
        <is>
          <t>Cross-sheet reference (linked, not re-entered)</t>
        </is>
      </c>
      <c r="F775" s="1233" t="inlineStr">
        <is>
          <t>'='Model Assumptions'!E$22</t>
        </is>
      </c>
      <c r="G775" s="1233" t="inlineStr">
        <is>
          <t>02 Assumptions</t>
        </is>
      </c>
      <c r="H775" s="1233" t="inlineStr">
        <is>
          <t>26 Sources register; Master Industry Database source log (47 cited sources)</t>
        </is>
      </c>
      <c r="I775" s="1233" t="n"/>
      <c r="J775" s="1233" t="n"/>
      <c r="K775" s="1233" t="inlineStr">
        <is>
          <t>Reconciled by 25 Audit Checks</t>
        </is>
      </c>
      <c r="L775" s="1234" t="inlineStr">
        <is>
          <t>Medium</t>
        </is>
      </c>
      <c r="M775" s="1233" t="inlineStr">
        <is>
          <t>Model Assumptions</t>
        </is>
      </c>
      <c r="N775" s="1233" t="inlineStr">
        <is>
          <t>Recalculates live with the model</t>
        </is>
      </c>
      <c r="O775" s="1234" t="inlineStr">
        <is>
          <t>Live</t>
        </is>
      </c>
      <c r="P775" s="1233" t="inlineStr">
        <is>
          <t>Research block row 144. Value column is live and re-states on a scenario change.</t>
        </is>
      </c>
    </row>
    <row r="776" ht="46" customHeight="1" s="632">
      <c r="A776" s="1232" t="inlineStr">
        <is>
          <t>VL38</t>
        </is>
      </c>
      <c r="B776" s="1235" t="inlineStr">
        <is>
          <t>NOPAT</t>
        </is>
      </c>
      <c r="C776" s="1241">
        <f>'Comparable Valuation'!J145</f>
        <v/>
      </c>
      <c r="D776" s="1236" t="inlineStr">
        <is>
          <t>Rs cr</t>
        </is>
      </c>
      <c r="E776" s="1235" t="inlineStr">
        <is>
          <t>Computed in-cell</t>
        </is>
      </c>
      <c r="F776" s="1235" t="inlineStr">
        <is>
          <t>'=D143*(1-D144)</t>
        </is>
      </c>
      <c r="G776" s="1235" t="inlineStr">
        <is>
          <t>Computed</t>
        </is>
      </c>
      <c r="H776" s="1235" t="inlineStr">
        <is>
          <t>26 Sources register; Master Industry Database source log (47 cited sources)</t>
        </is>
      </c>
      <c r="I776" s="1235" t="n"/>
      <c r="J776" s="1235" t="n"/>
      <c r="K776" s="1235" t="inlineStr">
        <is>
          <t>Reconciled by 25 Audit Checks</t>
        </is>
      </c>
      <c r="L776" s="1236" t="inlineStr">
        <is>
          <t>Medium</t>
        </is>
      </c>
      <c r="M776" s="1235" t="inlineStr">
        <is>
          <t>This sheet</t>
        </is>
      </c>
      <c r="N776" s="1235" t="inlineStr">
        <is>
          <t>Recalculates live with the model</t>
        </is>
      </c>
      <c r="O776" s="1236" t="inlineStr">
        <is>
          <t>Live</t>
        </is>
      </c>
      <c r="P776" s="1235" t="inlineStr">
        <is>
          <t>Research block row 145. Value column is live and re-states on a scenario change.</t>
        </is>
      </c>
    </row>
    <row r="777" ht="46" customHeight="1" s="632">
      <c r="A777" s="1232" t="inlineStr">
        <is>
          <t>VL39</t>
        </is>
      </c>
      <c r="B777" s="1233" t="inlineStr">
        <is>
          <t>Invested capital (proxy)</t>
        </is>
      </c>
      <c r="C777" s="1242">
        <f>'Comparable Valuation'!J146</f>
        <v/>
      </c>
      <c r="D777" s="1234" t="inlineStr">
        <is>
          <t>Rs cr</t>
        </is>
      </c>
      <c r="E777" s="1233" t="inlineStr">
        <is>
          <t>Cross-sheet reference (linked, not re-entered)</t>
        </is>
      </c>
      <c r="F777" s="1233" t="inlineStr">
        <is>
          <t>'=220.4*'Model Assumptions'!E$23/10+'Working Capital Model'!D$72</t>
        </is>
      </c>
      <c r="G777" s="1233" t="inlineStr">
        <is>
          <t>Computed - PROXY</t>
        </is>
      </c>
      <c r="H777" s="1233" t="inlineStr">
        <is>
          <t>26 Sources register; Master Industry Database source log (47 cited sources)</t>
        </is>
      </c>
      <c r="I777" s="1233" t="inlineStr">
        <is>
          <t>PROXY ONLY: FY2026 capacity at replacement cost plus net working capital.</t>
        </is>
      </c>
      <c r="J777" s="1233" t="inlineStr">
        <is>
          <t>The database does not carry net fixed assets, so a true invested-capital base could not be built. A replacement-cost proxy understates ROIC for older, depreciated assets and is stated as indicative.</t>
        </is>
      </c>
      <c r="K777" s="1233" t="inlineStr">
        <is>
          <t>Reconciled by 25 Audit Checks</t>
        </is>
      </c>
      <c r="L777" s="1234" t="inlineStr">
        <is>
          <t>Low</t>
        </is>
      </c>
      <c r="M777" s="1233" t="inlineStr">
        <is>
          <t>Model Assumptions, Working Capital Model</t>
        </is>
      </c>
      <c r="N777" s="1233" t="inlineStr">
        <is>
          <t>Recalculates live with the model</t>
        </is>
      </c>
      <c r="O777" s="1234" t="inlineStr">
        <is>
          <t>Live</t>
        </is>
      </c>
      <c r="P777" s="1233" t="inlineStr">
        <is>
          <t>Research block row 146. Value column is live and re-states on a scenario change.</t>
        </is>
      </c>
    </row>
    <row r="778" ht="46" customHeight="1" s="632">
      <c r="A778" s="1232" t="inlineStr">
        <is>
          <t>VL40</t>
        </is>
      </c>
      <c r="B778" s="1235" t="inlineStr">
        <is>
          <t>ROIC (indicative)</t>
        </is>
      </c>
      <c r="C778" s="1241">
        <f>'Comparable Valuation'!J147</f>
        <v/>
      </c>
      <c r="D778" s="1236" t="inlineStr">
        <is>
          <t>%</t>
        </is>
      </c>
      <c r="E778" s="1235" t="inlineStr">
        <is>
          <t>Computed in-cell</t>
        </is>
      </c>
      <c r="F778" s="1235" t="inlineStr">
        <is>
          <t>'=IFERROR(D145/D146,"")</t>
        </is>
      </c>
      <c r="G778" s="1235" t="inlineStr">
        <is>
          <t>Computed</t>
        </is>
      </c>
      <c r="H778" s="1235" t="inlineStr">
        <is>
          <t>26 Sources register; Master Industry Database source log (47 cited sources)</t>
        </is>
      </c>
      <c r="I778" s="1235" t="n"/>
      <c r="J778" s="1235" t="n"/>
      <c r="K778" s="1235" t="inlineStr">
        <is>
          <t>Reconciled by 25 Audit Checks</t>
        </is>
      </c>
      <c r="L778" s="1236" t="inlineStr">
        <is>
          <t>Low</t>
        </is>
      </c>
      <c r="M778" s="1235" t="inlineStr">
        <is>
          <t>This sheet</t>
        </is>
      </c>
      <c r="N778" s="1235" t="inlineStr">
        <is>
          <t>Recalculates live with the model</t>
        </is>
      </c>
      <c r="O778" s="1236" t="inlineStr">
        <is>
          <t>Live</t>
        </is>
      </c>
      <c r="P778" s="1235" t="inlineStr">
        <is>
          <t>Research block row 147. Value column is live and re-states on a scenario change.</t>
        </is>
      </c>
    </row>
    <row r="779" ht="46" customHeight="1" s="632">
      <c r="A779" s="1232" t="inlineStr">
        <is>
          <t>VL41</t>
        </is>
      </c>
      <c r="B779" s="1233" t="inlineStr">
        <is>
          <t>ROIC less WACC (value spread)</t>
        </is>
      </c>
      <c r="C779" s="1242">
        <f>'Comparable Valuation'!J148</f>
        <v/>
      </c>
      <c r="D779" s="1234" t="inlineStr">
        <is>
          <t>ppt</t>
        </is>
      </c>
      <c r="E779" s="1233" t="inlineStr">
        <is>
          <t>Computed in-cell</t>
        </is>
      </c>
      <c r="F779" s="1233" t="inlineStr">
        <is>
          <t>'=D147-D128</t>
        </is>
      </c>
      <c r="G779" s="1233" t="inlineStr">
        <is>
          <t>Computed</t>
        </is>
      </c>
      <c r="H779" s="1233" t="inlineStr">
        <is>
          <t>26 Sources register; Master Industry Database source log (47 cited sources)</t>
        </is>
      </c>
      <c r="I779" s="1233" t="inlineStr">
        <is>
          <t>THE VALUE-CREATION TEST.</t>
        </is>
      </c>
      <c r="J779" s="1233" t="inlineStr">
        <is>
          <t>A persistently negative spread means the industry destroys value by adding capacity, however strong the volume growth - which is the central strategic question for Indian steel and the reason capacity discipline matters more than capacity ambition.</t>
        </is>
      </c>
      <c r="K779" s="1233" t="inlineStr">
        <is>
          <t>Reconciled by 25 Audit Checks</t>
        </is>
      </c>
      <c r="L779" s="1234" t="inlineStr">
        <is>
          <t>Low</t>
        </is>
      </c>
      <c r="M779" s="1233" t="inlineStr">
        <is>
          <t>This sheet</t>
        </is>
      </c>
      <c r="N779" s="1233" t="inlineStr">
        <is>
          <t>Recalculates live with the model</t>
        </is>
      </c>
      <c r="O779" s="1234" t="inlineStr">
        <is>
          <t>Live</t>
        </is>
      </c>
      <c r="P779" s="1233" t="inlineStr">
        <is>
          <t>Research block row 148. Value column is live and re-states on a scenario change.</t>
        </is>
      </c>
    </row>
    <row r="780" ht="46" customHeight="1" s="632">
      <c r="A780" s="1232" t="inlineStr">
        <is>
          <t>VL42</t>
        </is>
      </c>
      <c r="B780" s="1235" t="inlineStr">
        <is>
          <t>Peer universe - book value for the supporting and unlisted names</t>
        </is>
      </c>
      <c r="C780" s="1235" t="n"/>
      <c r="D780" s="1236" t="inlineStr">
        <is>
          <t>Rs cr</t>
        </is>
      </c>
      <c r="E780" s="1235" t="inlineStr">
        <is>
          <t>NOT POPULATED - red fill (missing data)</t>
        </is>
      </c>
      <c r="F780" s="1235" t="inlineStr">
        <is>
          <t>(blank by design)</t>
        </is>
      </c>
      <c r="G780" s="1235" t="inlineStr">
        <is>
          <t>No reliable source located and no defensible basis for an estimate</t>
        </is>
      </c>
      <c r="H780" s="1235" t="inlineStr">
        <is>
          <t>n/a</t>
        </is>
      </c>
      <c r="I780" s="1235" t="inlineStr">
        <is>
          <t>None asserted. The cell is deliberately blank.</t>
        </is>
      </c>
      <c r="J780" s="1235" t="inlineStr">
        <is>
          <t>Book value and shareholders equity were not sourced in this research cycle, so price to book cannot be computed for any name. This is standing limitation 6 on 25 Audit Checks. The Master Industry Database carries total assets and borrowings but not equity. Book value IS now derived for the five listed majors on rows 20 to 24, by inverting return on equity against their disclosed profit after tax. The supporting names have no profit line in the model, so the same derivation cannot be applied to them.</t>
        </is>
      </c>
      <c r="K780" s="1235" t="inlineStr">
        <is>
          <t>Excluded from every headline output and from the audit checks</t>
        </is>
      </c>
      <c r="L780" s="1236" t="inlineStr">
        <is>
          <t>n/a - unavailable</t>
        </is>
      </c>
      <c r="M780" s="1235" t="inlineStr">
        <is>
          <t>This sheet</t>
        </is>
      </c>
      <c r="N780" s="1235" t="inlineStr">
        <is>
          <t>Populate when a primary source becomes available</t>
        </is>
      </c>
      <c r="O780" s="1236" t="inlineStr">
        <is>
          <t>Not available</t>
        </is>
      </c>
      <c r="P780" s="1235" t="inlineStr">
        <is>
          <t>Red (missing) cells: G25:G34</t>
        </is>
      </c>
    </row>
    <row r="781" ht="46" customHeight="1" s="632">
      <c r="A781" s="1232" t="inlineStr">
        <is>
          <t>VL43</t>
        </is>
      </c>
      <c r="B781" s="1233" t="inlineStr">
        <is>
          <t>Peer universe - market capitalisation, enterprise value, earnings and net debt for the supporting names and the two unlisted producers</t>
        </is>
      </c>
      <c r="C781" s="1233" t="n"/>
      <c r="D781" s="1234" t="inlineStr">
        <is>
          <t>Rs cr</t>
        </is>
      </c>
      <c r="E781" s="1233" t="inlineStr">
        <is>
          <t>NOT POPULATED - red fill (missing data)</t>
        </is>
      </c>
      <c r="F781" s="1233" t="inlineStr">
        <is>
          <t>(blank by design)</t>
        </is>
      </c>
      <c r="G781" s="1233" t="inlineStr">
        <is>
          <t>No reliable source located and no defensible basis for an estimate</t>
        </is>
      </c>
      <c r="H781" s="1233" t="inlineStr">
        <is>
          <t>n/a</t>
        </is>
      </c>
      <c r="I781" s="1233" t="inlineStr">
        <is>
          <t>None asserted. The cell is deliberately blank.</t>
        </is>
      </c>
      <c r="J781" s="1233" t="inlineStr">
        <is>
          <t>Share price, and therefore market capitalisation, enterprise value, earnings and every trading multiple, were not sourced for the supporting coverage names. Revenue and standardised EBITDA ARE available and are shown. Enter share prices and net debt to complete these rows. Unlisted. RINL is wholly Government-owned and publishes no balance sheet or earnings; AM/NS India is an unlisted 60:40 joint venture reporting on a 100% US dollar basis. Neither has a share price, market capitalisation or earnings per share.</t>
        </is>
      </c>
      <c r="K781" s="1233" t="inlineStr">
        <is>
          <t>Excluded from every headline output and from the audit checks</t>
        </is>
      </c>
      <c r="L781" s="1234" t="inlineStr">
        <is>
          <t>n/a - unavailable</t>
        </is>
      </c>
      <c r="M781" s="1233" t="inlineStr">
        <is>
          <t>This sheet</t>
        </is>
      </c>
      <c r="N781" s="1233" t="inlineStr">
        <is>
          <t>Populate when a primary source becomes available</t>
        </is>
      </c>
      <c r="O781" s="1234" t="inlineStr">
        <is>
          <t>Not available</t>
        </is>
      </c>
      <c r="P781" s="1233" t="inlineStr">
        <is>
          <t>Red (missing) cells: B25:H34</t>
        </is>
      </c>
    </row>
    <row r="782" ht="46" customHeight="1" s="632">
      <c r="A782" s="1232" t="inlineStr">
        <is>
          <t>VL44</t>
        </is>
      </c>
      <c r="B782" s="1235" t="inlineStr">
        <is>
          <t>Price to book for the supporting and unlisted names</t>
        </is>
      </c>
      <c r="C782" s="1235" t="n"/>
      <c r="D782" s="1236" t="inlineStr">
        <is>
          <t>x</t>
        </is>
      </c>
      <c r="E782" s="1235" t="inlineStr">
        <is>
          <t>NOT POPULATED - red fill (missing data)</t>
        </is>
      </c>
      <c r="F782" s="1235" t="inlineStr">
        <is>
          <t>(blank by design)</t>
        </is>
      </c>
      <c r="G782" s="1235" t="inlineStr">
        <is>
          <t>No reliable source located and no defensible basis for an estimate</t>
        </is>
      </c>
      <c r="H782" s="1235" t="inlineStr">
        <is>
          <t>n/a</t>
        </is>
      </c>
      <c r="I782" s="1235" t="inlineStr">
        <is>
          <t>None asserted. The cell is deliberately blank.</t>
        </is>
      </c>
      <c r="J782" s="1235" t="inlineStr">
        <is>
          <t>Book value and shareholders equity were not sourced in this research cycle, so price to book cannot be computed for any name. This is standing limitation 6 on 25 Audit Checks. The Master Industry Database carries total assets and borrowings but not equity.</t>
        </is>
      </c>
      <c r="K782" s="1235" t="inlineStr">
        <is>
          <t>Excluded from every headline output and from the audit checks</t>
        </is>
      </c>
      <c r="L782" s="1236" t="inlineStr">
        <is>
          <t>n/a - unavailable</t>
        </is>
      </c>
      <c r="M782" s="1235" t="inlineStr">
        <is>
          <t>This sheet</t>
        </is>
      </c>
      <c r="N782" s="1235" t="inlineStr">
        <is>
          <t>Populate when a primary source becomes available</t>
        </is>
      </c>
      <c r="O782" s="1236" t="inlineStr">
        <is>
          <t>Not available</t>
        </is>
      </c>
      <c r="P782" s="1235" t="inlineStr">
        <is>
          <t>Red (missing) cells: E44:E53</t>
        </is>
      </c>
    </row>
    <row r="783" ht="46" customHeight="1" s="632">
      <c r="A783" s="1232" t="inlineStr">
        <is>
          <t>VL45</t>
        </is>
      </c>
      <c r="B783" s="1233" t="inlineStr">
        <is>
          <t>Trading multiples for the supporting and unlisted names</t>
        </is>
      </c>
      <c r="C783" s="1233" t="n"/>
      <c r="D783" s="1234" t="inlineStr">
        <is>
          <t>x</t>
        </is>
      </c>
      <c r="E783" s="1233" t="inlineStr">
        <is>
          <t>NOT POPULATED - red fill (missing data)</t>
        </is>
      </c>
      <c r="F783" s="1233" t="inlineStr">
        <is>
          <t>(blank by design)</t>
        </is>
      </c>
      <c r="G783" s="1233" t="inlineStr">
        <is>
          <t>No reliable source located and no defensible basis for an estimate</t>
        </is>
      </c>
      <c r="H783" s="1233" t="inlineStr">
        <is>
          <t>n/a</t>
        </is>
      </c>
      <c r="I783" s="1233" t="inlineStr">
        <is>
          <t>None asserted. The cell is deliberately blank.</t>
        </is>
      </c>
      <c r="J783" s="1233" t="inlineStr">
        <is>
          <t>Share price, and therefore market capitalisation, enterprise value, earnings and every trading multiple, were not sourced for the supporting coverage names. Revenue and standardised EBITDA ARE available and are shown. Enter share prices and net debt to complete these rows.</t>
        </is>
      </c>
      <c r="K783" s="1233" t="inlineStr">
        <is>
          <t>Excluded from every headline output and from the audit checks</t>
        </is>
      </c>
      <c r="L783" s="1234" t="inlineStr">
        <is>
          <t>n/a - unavailable</t>
        </is>
      </c>
      <c r="M783" s="1233" t="inlineStr">
        <is>
          <t>This sheet</t>
        </is>
      </c>
      <c r="N783" s="1233" t="inlineStr">
        <is>
          <t>Populate when a primary source becomes available</t>
        </is>
      </c>
      <c r="O783" s="1234" t="inlineStr">
        <is>
          <t>Not available</t>
        </is>
      </c>
      <c r="P783" s="1233" t="inlineStr">
        <is>
          <t>Red (missing) cells: B44:G53</t>
        </is>
      </c>
    </row>
    <row r="784" ht="46" customHeight="1" s="632">
      <c r="A784" s="1232" t="inlineStr">
        <is>
          <t>VL46</t>
        </is>
      </c>
      <c r="B784" s="1235" t="inlineStr">
        <is>
          <t>Historical trading multiples FY2021-FY2026</t>
        </is>
      </c>
      <c r="C784" s="1235" t="n"/>
      <c r="D784" s="1236" t="inlineStr">
        <is>
          <t>x</t>
        </is>
      </c>
      <c r="E784" s="1235" t="inlineStr">
        <is>
          <t>NOT POPULATED - red fill (missing data)</t>
        </is>
      </c>
      <c r="F784" s="1235" t="inlineStr">
        <is>
          <t>(blank by design)</t>
        </is>
      </c>
      <c r="G784" s="1235" t="inlineStr">
        <is>
          <t>No reliable source located and no defensible basis for an estimate</t>
        </is>
      </c>
      <c r="H784" s="1235" t="inlineStr">
        <is>
          <t>n/a</t>
        </is>
      </c>
      <c r="I784" s="1235" t="inlineStr">
        <is>
          <t>None asserted. The cell is deliberately blank.</t>
        </is>
      </c>
      <c r="J784" s="1235" t="inlineStr">
        <is>
          <t>Historical trading multiples require a share-price history that was not sourced. See standing limitation 6 on 25 Audit Checks.</t>
        </is>
      </c>
      <c r="K784" s="1235" t="inlineStr">
        <is>
          <t>Excluded from every headline output and from the audit checks</t>
        </is>
      </c>
      <c r="L784" s="1236" t="inlineStr">
        <is>
          <t>n/a - unavailable</t>
        </is>
      </c>
      <c r="M784" s="1235" t="inlineStr">
        <is>
          <t>This sheet</t>
        </is>
      </c>
      <c r="N784" s="1235" t="inlineStr">
        <is>
          <t>Populate when a primary source becomes available</t>
        </is>
      </c>
      <c r="O784" s="1236" t="inlineStr">
        <is>
          <t>Not available</t>
        </is>
      </c>
      <c r="P784" s="1235" t="inlineStr">
        <is>
          <t>Red (missing) cells: B64:E69</t>
        </is>
      </c>
    </row>
    <row r="787" ht="18" customHeight="1" s="632">
      <c r="A787" s="1229" t="inlineStr">
        <is>
          <t>Industry Dashboard  -  29 documented items  (DB01 - DB29)</t>
        </is>
      </c>
      <c r="B787" s="1161" t="n"/>
      <c r="C787" s="1161" t="n"/>
      <c r="D787" s="1161" t="n"/>
      <c r="E787" s="1161" t="n"/>
      <c r="F787" s="1161" t="n"/>
      <c r="G787" s="1161" t="n"/>
      <c r="H787" s="1161" t="n"/>
      <c r="I787" s="1161" t="n"/>
      <c r="J787" s="1161" t="n"/>
      <c r="K787" s="1161" t="n"/>
      <c r="L787" s="1161" t="n"/>
      <c r="M787" s="1161" t="n"/>
      <c r="N787" s="1161" t="n"/>
      <c r="O787" s="1161" t="n"/>
      <c r="P787" s="1161" t="n"/>
    </row>
    <row r="788" ht="24" customHeight="1" s="632">
      <c r="A788" s="1230" t="inlineStr">
        <is>
          <t>Every documented number on Industry Dashboard. The Code column matches the Ref column on that sheet.</t>
        </is>
      </c>
    </row>
    <row r="789" ht="30" customHeight="1" s="632">
      <c r="A789" s="1231" t="inlineStr">
        <is>
          <t>Code</t>
        </is>
      </c>
      <c r="B789" s="1231" t="inlineStr">
        <is>
          <t>Model Item</t>
        </is>
      </c>
      <c r="C789" s="1231" t="inlineStr">
        <is>
          <t>Value</t>
        </is>
      </c>
      <c r="D789" s="1231" t="inlineStr">
        <is>
          <t>Unit</t>
        </is>
      </c>
      <c r="E789" s="1231" t="inlineStr">
        <is>
          <t>Calculation Method</t>
        </is>
      </c>
      <c r="F789" s="1231" t="inlineStr">
        <is>
          <t>Formula Used</t>
        </is>
      </c>
      <c r="G789" s="1231" t="inlineStr">
        <is>
          <t>Primary Source</t>
        </is>
      </c>
      <c r="H789" s="1231" t="inlineStr">
        <is>
          <t>Secondary Source</t>
        </is>
      </c>
      <c r="I789" s="1231" t="inlineStr">
        <is>
          <t>Assumption</t>
        </is>
      </c>
      <c r="J789" s="1231" t="inlineStr">
        <is>
          <t>Reasoning</t>
        </is>
      </c>
      <c r="K789" s="1231" t="inlineStr">
        <is>
          <t>Cross-check</t>
        </is>
      </c>
      <c r="L789" s="1231" t="inlineStr">
        <is>
          <t>Confidence Level</t>
        </is>
      </c>
      <c r="M789" s="1231" t="inlineStr">
        <is>
          <t>Linked Sheet</t>
        </is>
      </c>
      <c r="N789" s="1231" t="inlineStr">
        <is>
          <t>Update Frequency</t>
        </is>
      </c>
      <c r="O789" s="1231" t="inlineStr">
        <is>
          <t>Last Available Date</t>
        </is>
      </c>
      <c r="P789" s="1231" t="inlineStr">
        <is>
          <t>Comments</t>
        </is>
      </c>
    </row>
    <row r="790" ht="46" customHeight="1" s="632">
      <c r="A790" s="1232" t="inlineStr">
        <is>
          <t>DB01</t>
        </is>
      </c>
      <c r="B790" s="1233" t="inlineStr">
        <is>
          <t>Net debt / EBITDA</t>
        </is>
      </c>
      <c r="C790" s="1256">
        <f>'Industry Dashboard'!J55</f>
        <v/>
      </c>
      <c r="D790" s="1234" t="inlineStr">
        <is>
          <t>x</t>
        </is>
      </c>
      <c r="E790" s="1233" t="inlineStr">
        <is>
          <t>Cross-sheet reference to 17 Capital Allocation</t>
        </is>
      </c>
      <c r="F790" s="1233" t="inlineStr">
        <is>
          <t>'='Capital Allocation'!D$84</t>
        </is>
      </c>
      <c r="G790" s="1233" t="inlineStr">
        <is>
          <t>FY2026A net debt of Rs 1,85,001 cr derived from the Master Industry Database; EBITDA from the model</t>
        </is>
      </c>
      <c r="H790" s="1233" t="inlineStr">
        <is>
          <t>17 Capital Allocation rows 80 to 85</t>
        </is>
      </c>
      <c r="I790" s="1233" t="inlineStr">
        <is>
          <t>Net debt is rolled forward from unlevered free cash flow less illustrative interest. No new borrowing is assumed.</t>
        </is>
      </c>
      <c r="J790" s="1233" t="inlineStr">
        <is>
          <t>DEFECT CORRECTED. This row shipped with a FY2026A value of 1.07x and EMPTY STRINGS in all seven forecast columns, so the dashboard silently under-reported the balance sheet. It is now live across the horizon and shows the industry deleveraging to a net cash position by about FY2030E in the base case.</t>
        </is>
      </c>
      <c r="K790" s="1233" t="inlineStr">
        <is>
          <t>Must equal 17 Capital Allocation row 84 in every year; check A22 on 25 Audit Checks tests the net debt roll-forward</t>
        </is>
      </c>
      <c r="L790" s="1234" t="inlineStr">
        <is>
          <t>Medium</t>
        </is>
      </c>
      <c r="M790" s="1233" t="inlineStr">
        <is>
          <t>Capital Allocation</t>
        </is>
      </c>
      <c r="N790" s="1233" t="inlineStr">
        <is>
          <t>Quarterly</t>
        </is>
      </c>
      <c r="O790" s="1234" t="inlineStr">
        <is>
          <t>FY2026A</t>
        </is>
      </c>
      <c r="P790" s="1233" t="inlineStr">
        <is>
          <t>The only cell inside a research block that was written to, and only because it was blank.</t>
        </is>
      </c>
    </row>
    <row r="791" ht="46" customHeight="1" s="632">
      <c r="A791" s="1232" t="inlineStr">
        <is>
          <t>DB02</t>
        </is>
      </c>
      <c r="B791" s="1235" t="inlineStr">
        <is>
          <t>Dashboard navigation buttons</t>
        </is>
      </c>
      <c r="C791" s="1235" t="n"/>
      <c r="D791" s="1236" t="inlineStr">
        <is>
          <t>n/a</t>
        </is>
      </c>
      <c r="E791" s="1235" t="inlineStr">
        <is>
          <t>Internal workbook hyperlinks</t>
        </is>
      </c>
      <c r="F791" s="1235" t="inlineStr">
        <is>
          <t>location = 'Sheet Name'!A1</t>
        </is>
      </c>
      <c r="G791" s="1235" t="inlineStr">
        <is>
          <t>n/a</t>
        </is>
      </c>
      <c r="H791" s="1235" t="inlineStr">
        <is>
          <t>n/a</t>
        </is>
      </c>
      <c r="I791" s="1235" t="inlineStr">
        <is>
          <t>None.</t>
        </is>
      </c>
      <c r="J791" s="1235" t="inlineStr">
        <is>
          <t>The seven navigation labels in row 7 were text only. Each now jumps to its target sheet.</t>
        </is>
      </c>
      <c r="K791" s="1235" t="inlineStr">
        <is>
          <t>Targets verified against the workbook sheet list</t>
        </is>
      </c>
      <c r="L791" s="1236" t="inlineStr">
        <is>
          <t>High</t>
        </is>
      </c>
      <c r="M791" s="1235" t="inlineStr">
        <is>
          <t>All model sheets</t>
        </is>
      </c>
      <c r="N791" s="1235" t="inlineStr">
        <is>
          <t>On any sheet rename</t>
        </is>
      </c>
      <c r="O791" s="1236" t="inlineStr">
        <is>
          <t>n/a</t>
        </is>
      </c>
      <c r="P791" s="1235" t="inlineStr">
        <is>
          <t>Hyperlinks only.</t>
        </is>
      </c>
    </row>
    <row r="792" ht="46" customHeight="1" s="632">
      <c r="A792" s="1232" t="inlineStr">
        <is>
          <t>DB03</t>
        </is>
      </c>
      <c r="B792" s="1233" t="inlineStr">
        <is>
          <t>Apparent finished steel consumption</t>
        </is>
      </c>
      <c r="C792" s="1242">
        <f>IF(ISNUMBER('Industry Dashboard'!J32),'Industry Dashboard'!J32,'Industry Dashboard'!C32)</f>
        <v/>
      </c>
      <c r="D792" s="1234" t="inlineStr">
        <is>
          <t>Mt</t>
        </is>
      </c>
      <c r="E792" s="1233" t="inlineStr">
        <is>
          <t>Cross-sheet reference (linked, not re-entered)</t>
        </is>
      </c>
      <c r="F792" s="1233" t="inlineStr">
        <is>
          <t>'='Steel Demand Model'!D$116</t>
        </is>
      </c>
      <c r="G792" s="1233" t="inlineStr">
        <is>
          <t>04</t>
        </is>
      </c>
      <c r="H792" s="1233" t="inlineStr">
        <is>
          <t>26 Sources register; Master Industry Database source log (47 cited sources)</t>
        </is>
      </c>
      <c r="I792" s="1233" t="n"/>
      <c r="J792" s="1233" t="n"/>
      <c r="K792" s="1233" t="inlineStr">
        <is>
          <t>Reconciled by 25 Audit Checks</t>
        </is>
      </c>
      <c r="L792" s="1234" t="inlineStr">
        <is>
          <t>Medium</t>
        </is>
      </c>
      <c r="M792" s="1233" t="inlineStr">
        <is>
          <t>Steel Demand Model</t>
        </is>
      </c>
      <c r="N792" s="1233" t="inlineStr">
        <is>
          <t>Quarterly</t>
        </is>
      </c>
      <c r="O792" s="1234" t="inlineStr">
        <is>
          <t>FY2026A</t>
        </is>
      </c>
      <c r="P792" s="1233" t="inlineStr">
        <is>
          <t>Research block row 32. Value column is live and re-states on a scenario change.</t>
        </is>
      </c>
    </row>
    <row r="793" ht="46" customHeight="1" s="632">
      <c r="A793" s="1232" t="inlineStr">
        <is>
          <t>DB04</t>
        </is>
      </c>
      <c r="B793" s="1235" t="inlineStr">
        <is>
          <t>Consumption growth</t>
        </is>
      </c>
      <c r="C793" s="1241">
        <f>IF(ISNUMBER('Industry Dashboard'!J33),'Industry Dashboard'!J33,'Industry Dashboard'!C33)</f>
        <v/>
      </c>
      <c r="D793" s="1236" t="inlineStr">
        <is>
          <t>%</t>
        </is>
      </c>
      <c r="E793" s="1235" t="inlineStr">
        <is>
          <t>Cross-sheet reference (linked, not re-entered)</t>
        </is>
      </c>
      <c r="F793" s="1235" t="inlineStr">
        <is>
          <t>'='Steel Demand Model'!D$115</t>
        </is>
      </c>
      <c r="G793" s="1235" t="inlineStr">
        <is>
          <t>04</t>
        </is>
      </c>
      <c r="H793" s="1235" t="inlineStr">
        <is>
          <t>26 Sources register; Master Industry Database source log (47 cited sources)</t>
        </is>
      </c>
      <c r="I793" s="1235" t="n"/>
      <c r="J793" s="1235" t="n"/>
      <c r="K793" s="1235" t="inlineStr">
        <is>
          <t>Reconciled by 25 Audit Checks</t>
        </is>
      </c>
      <c r="L793" s="1236" t="inlineStr">
        <is>
          <t>Medium</t>
        </is>
      </c>
      <c r="M793" s="1235" t="inlineStr">
        <is>
          <t>Steel Demand Model</t>
        </is>
      </c>
      <c r="N793" s="1235" t="inlineStr">
        <is>
          <t>Quarterly</t>
        </is>
      </c>
      <c r="O793" s="1236" t="inlineStr">
        <is>
          <t>FY2026A</t>
        </is>
      </c>
      <c r="P793" s="1235" t="inlineStr">
        <is>
          <t>Research block row 33. Value column is live and re-states on a scenario change.</t>
        </is>
      </c>
    </row>
    <row r="794" ht="46" customHeight="1" s="632">
      <c r="A794" s="1232" t="inlineStr">
        <is>
          <t>DB05</t>
        </is>
      </c>
      <c r="B794" s="1233" t="inlineStr">
        <is>
          <t>Per capita consumption</t>
        </is>
      </c>
      <c r="C794" s="1242">
        <f>IF(ISNUMBER('Industry Dashboard'!J34),'Industry Dashboard'!J34,'Industry Dashboard'!C34)</f>
        <v/>
      </c>
      <c r="D794" s="1234" t="inlineStr">
        <is>
          <t>kg</t>
        </is>
      </c>
      <c r="E794" s="1233" t="inlineStr">
        <is>
          <t>Cross-sheet reference (linked, not re-entered)</t>
        </is>
      </c>
      <c r="F794" s="1233" t="inlineStr">
        <is>
          <t>'='Steel Demand Model'!D$121</t>
        </is>
      </c>
      <c r="G794" s="1233" t="inlineStr">
        <is>
          <t>04</t>
        </is>
      </c>
      <c r="H794" s="1233" t="inlineStr">
        <is>
          <t>26 Sources register; Master Industry Database source log (47 cited sources)</t>
        </is>
      </c>
      <c r="I794" s="1233" t="n"/>
      <c r="J794" s="1233" t="n"/>
      <c r="K794" s="1233" t="inlineStr">
        <is>
          <t>Reconciled by 25 Audit Checks</t>
        </is>
      </c>
      <c r="L794" s="1234" t="inlineStr">
        <is>
          <t>Medium</t>
        </is>
      </c>
      <c r="M794" s="1233" t="inlineStr">
        <is>
          <t>Steel Demand Model</t>
        </is>
      </c>
      <c r="N794" s="1233" t="inlineStr">
        <is>
          <t>Quarterly</t>
        </is>
      </c>
      <c r="O794" s="1234" t="inlineStr">
        <is>
          <t>FY2026A</t>
        </is>
      </c>
      <c r="P794" s="1233" t="inlineStr">
        <is>
          <t>Research block row 34. Value column is live and re-states on a scenario change.</t>
        </is>
      </c>
    </row>
    <row r="795" ht="46" customHeight="1" s="632">
      <c r="A795" s="1232" t="inlineStr">
        <is>
          <t>DB06</t>
        </is>
      </c>
      <c r="B795" s="1235" t="inlineStr">
        <is>
          <t>Crude steel production</t>
        </is>
      </c>
      <c r="C795" s="1241">
        <f>IF(ISNUMBER('Industry Dashboard'!J35),'Industry Dashboard'!J35,'Industry Dashboard'!C35)</f>
        <v/>
      </c>
      <c r="D795" s="1236" t="inlineStr">
        <is>
          <t>Mt</t>
        </is>
      </c>
      <c r="E795" s="1235" t="inlineStr">
        <is>
          <t>Cross-sheet reference (linked, not re-entered)</t>
        </is>
      </c>
      <c r="F795" s="1235" t="inlineStr">
        <is>
          <t>'='Steel Supply Model'!D$99</t>
        </is>
      </c>
      <c r="G795" s="1235" t="inlineStr">
        <is>
          <t>05</t>
        </is>
      </c>
      <c r="H795" s="1235" t="inlineStr">
        <is>
          <t>26 Sources register; Master Industry Database source log (47 cited sources)</t>
        </is>
      </c>
      <c r="I795" s="1235" t="n"/>
      <c r="J795" s="1235" t="n"/>
      <c r="K795" s="1235" t="inlineStr">
        <is>
          <t>Reconciled by 25 Audit Checks</t>
        </is>
      </c>
      <c r="L795" s="1236" t="inlineStr">
        <is>
          <t>Medium</t>
        </is>
      </c>
      <c r="M795" s="1235" t="inlineStr">
        <is>
          <t>Steel Supply Model</t>
        </is>
      </c>
      <c r="N795" s="1235" t="inlineStr">
        <is>
          <t>Quarterly</t>
        </is>
      </c>
      <c r="O795" s="1236" t="inlineStr">
        <is>
          <t>FY2026A</t>
        </is>
      </c>
      <c r="P795" s="1235" t="inlineStr">
        <is>
          <t>Research block row 35. Value column is live and re-states on a scenario change.</t>
        </is>
      </c>
    </row>
    <row r="796" ht="46" customHeight="1" s="632">
      <c r="A796" s="1232" t="inlineStr">
        <is>
          <t>DB07</t>
        </is>
      </c>
      <c r="B796" s="1233" t="inlineStr">
        <is>
          <t>Crude steel capacity</t>
        </is>
      </c>
      <c r="C796" s="1242">
        <f>IF(ISNUMBER('Industry Dashboard'!J36),'Industry Dashboard'!J36,'Industry Dashboard'!C36)</f>
        <v/>
      </c>
      <c r="D796" s="1234" t="inlineStr">
        <is>
          <t>Mtpa</t>
        </is>
      </c>
      <c r="E796" s="1233" t="inlineStr">
        <is>
          <t>Cross-sheet reference (linked, not re-entered)</t>
        </is>
      </c>
      <c r="F796" s="1233" t="inlineStr">
        <is>
          <t>'='Capacity Forecast'!D$101</t>
        </is>
      </c>
      <c r="G796" s="1233" t="inlineStr">
        <is>
          <t>06</t>
        </is>
      </c>
      <c r="H796" s="1233" t="inlineStr">
        <is>
          <t>26 Sources register; Master Industry Database source log (47 cited sources)</t>
        </is>
      </c>
      <c r="I796" s="1233" t="n"/>
      <c r="J796" s="1233" t="n"/>
      <c r="K796" s="1233" t="inlineStr">
        <is>
          <t>Reconciled by 25 Audit Checks</t>
        </is>
      </c>
      <c r="L796" s="1234" t="inlineStr">
        <is>
          <t>Medium</t>
        </is>
      </c>
      <c r="M796" s="1233" t="inlineStr">
        <is>
          <t>Capacity Forecast</t>
        </is>
      </c>
      <c r="N796" s="1233" t="inlineStr">
        <is>
          <t>Quarterly</t>
        </is>
      </c>
      <c r="O796" s="1234" t="inlineStr">
        <is>
          <t>FY2026A</t>
        </is>
      </c>
      <c r="P796" s="1233" t="inlineStr">
        <is>
          <t>Research block row 36. Value column is live and re-states on a scenario change.</t>
        </is>
      </c>
    </row>
    <row r="797" ht="46" customHeight="1" s="632">
      <c r="A797" s="1232" t="inlineStr">
        <is>
          <t>DB08</t>
        </is>
      </c>
      <c r="B797" s="1235" t="inlineStr">
        <is>
          <t>Capacity utilisation</t>
        </is>
      </c>
      <c r="C797" s="1241">
        <f>IF(ISNUMBER('Industry Dashboard'!J37),'Industry Dashboard'!J37,'Industry Dashboard'!C37)</f>
        <v/>
      </c>
      <c r="D797" s="1236" t="inlineStr">
        <is>
          <t>%</t>
        </is>
      </c>
      <c r="E797" s="1235" t="inlineStr">
        <is>
          <t>Cross-sheet reference (linked, not re-entered)</t>
        </is>
      </c>
      <c r="F797" s="1235" t="inlineStr">
        <is>
          <t>'='Capacity Utilisation'!D$67</t>
        </is>
      </c>
      <c r="G797" s="1235" t="inlineStr">
        <is>
          <t>08</t>
        </is>
      </c>
      <c r="H797" s="1235" t="inlineStr">
        <is>
          <t>26 Sources register; Master Industry Database source log (47 cited sources)</t>
        </is>
      </c>
      <c r="I797" s="1235" t="n"/>
      <c r="J797" s="1235" t="n"/>
      <c r="K797" s="1235" t="inlineStr">
        <is>
          <t>Reconciled by 25 Audit Checks</t>
        </is>
      </c>
      <c r="L797" s="1236" t="inlineStr">
        <is>
          <t>Medium</t>
        </is>
      </c>
      <c r="M797" s="1235" t="inlineStr">
        <is>
          <t>Capacity Utilisation</t>
        </is>
      </c>
      <c r="N797" s="1235" t="inlineStr">
        <is>
          <t>Quarterly</t>
        </is>
      </c>
      <c r="O797" s="1236" t="inlineStr">
        <is>
          <t>FY2026A</t>
        </is>
      </c>
      <c r="P797" s="1235" t="inlineStr">
        <is>
          <t>Research block row 37. Value column is live and re-states on a scenario change.</t>
        </is>
      </c>
    </row>
    <row r="798" ht="46" customHeight="1" s="632">
      <c r="A798" s="1232" t="inlineStr">
        <is>
          <t>DB09</t>
        </is>
      </c>
      <c r="B798" s="1233" t="inlineStr">
        <is>
          <t>Blended realisation</t>
        </is>
      </c>
      <c r="C798" s="1242">
        <f>IF(ISNUMBER('Industry Dashboard'!J39),'Industry Dashboard'!J39,'Industry Dashboard'!C39)</f>
        <v/>
      </c>
      <c r="D798" s="1234" t="inlineStr">
        <is>
          <t>Rs/t</t>
        </is>
      </c>
      <c r="E798" s="1233" t="inlineStr">
        <is>
          <t>Cross-sheet reference (linked, not re-entered)</t>
        </is>
      </c>
      <c r="F798" s="1233" t="inlineStr">
        <is>
          <t>'='Steel Price Forecast'!D$103</t>
        </is>
      </c>
      <c r="G798" s="1233" t="inlineStr">
        <is>
          <t>09</t>
        </is>
      </c>
      <c r="H798" s="1233" t="inlineStr">
        <is>
          <t>26 Sources register; Master Industry Database source log (47 cited sources)</t>
        </is>
      </c>
      <c r="I798" s="1233" t="n"/>
      <c r="J798" s="1233" t="n"/>
      <c r="K798" s="1233" t="inlineStr">
        <is>
          <t>Reconciled by 25 Audit Checks</t>
        </is>
      </c>
      <c r="L798" s="1234" t="inlineStr">
        <is>
          <t>Medium</t>
        </is>
      </c>
      <c r="M798" s="1233" t="inlineStr">
        <is>
          <t>Steel Price Forecast</t>
        </is>
      </c>
      <c r="N798" s="1233" t="inlineStr">
        <is>
          <t>Quarterly</t>
        </is>
      </c>
      <c r="O798" s="1234" t="inlineStr">
        <is>
          <t>FY2026A</t>
        </is>
      </c>
      <c r="P798" s="1233" t="inlineStr">
        <is>
          <t>Research block row 39. Value column is live and re-states on a scenario change.</t>
        </is>
      </c>
    </row>
    <row r="799" ht="46" customHeight="1" s="632">
      <c r="A799" s="1232" t="inlineStr">
        <is>
          <t>DB10</t>
        </is>
      </c>
      <c r="B799" s="1235" t="inlineStr">
        <is>
          <t>Iron ore 62% Fe CFR China</t>
        </is>
      </c>
      <c r="C799" s="1241">
        <f>IF(ISNUMBER('Industry Dashboard'!J40),'Industry Dashboard'!J40,'Industry Dashboard'!C40)</f>
        <v/>
      </c>
      <c r="D799" s="1236" t="inlineStr">
        <is>
          <t>US$/dmt</t>
        </is>
      </c>
      <c r="E799" s="1235" t="inlineStr">
        <is>
          <t>Cross-sheet reference (linked, not re-entered)</t>
        </is>
      </c>
      <c r="F799" s="1235" t="inlineStr">
        <is>
          <t>'='Raw Material Forecast'!D$85</t>
        </is>
      </c>
      <c r="G799" s="1235" t="inlineStr">
        <is>
          <t>10</t>
        </is>
      </c>
      <c r="H799" s="1235" t="inlineStr">
        <is>
          <t>26 Sources register; Master Industry Database source log (47 cited sources)</t>
        </is>
      </c>
      <c r="I799" s="1235" t="n"/>
      <c r="J799" s="1235" t="n"/>
      <c r="K799" s="1235" t="inlineStr">
        <is>
          <t>Reconciled by 25 Audit Checks</t>
        </is>
      </c>
      <c r="L799" s="1236" t="inlineStr">
        <is>
          <t>Medium</t>
        </is>
      </c>
      <c r="M799" s="1235" t="inlineStr">
        <is>
          <t>Raw Material Forecast</t>
        </is>
      </c>
      <c r="N799" s="1235" t="inlineStr">
        <is>
          <t>Quarterly</t>
        </is>
      </c>
      <c r="O799" s="1236" t="inlineStr">
        <is>
          <t>FY2026A</t>
        </is>
      </c>
      <c r="P799" s="1235" t="inlineStr">
        <is>
          <t>Research block row 40. Value column is live and re-states on a scenario change.</t>
        </is>
      </c>
    </row>
    <row r="800" ht="46" customHeight="1" s="632">
      <c r="A800" s="1232" t="inlineStr">
        <is>
          <t>DB11</t>
        </is>
      </c>
      <c r="B800" s="1233" t="inlineStr">
        <is>
          <t>Premium HCC coking coal</t>
        </is>
      </c>
      <c r="C800" s="1242">
        <f>IF(ISNUMBER('Industry Dashboard'!J41),'Industry Dashboard'!J41,'Industry Dashboard'!C41)</f>
        <v/>
      </c>
      <c r="D800" s="1234" t="inlineStr">
        <is>
          <t>US$/t</t>
        </is>
      </c>
      <c r="E800" s="1233" t="inlineStr">
        <is>
          <t>Cross-sheet reference (linked, not re-entered)</t>
        </is>
      </c>
      <c r="F800" s="1233" t="inlineStr">
        <is>
          <t>'='Raw Material Forecast'!D$86</t>
        </is>
      </c>
      <c r="G800" s="1233" t="inlineStr">
        <is>
          <t>10</t>
        </is>
      </c>
      <c r="H800" s="1233" t="inlineStr">
        <is>
          <t>26 Sources register; Master Industry Database source log (47 cited sources)</t>
        </is>
      </c>
      <c r="I800" s="1233" t="n"/>
      <c r="J800" s="1233" t="n"/>
      <c r="K800" s="1233" t="inlineStr">
        <is>
          <t>Reconciled by 25 Audit Checks</t>
        </is>
      </c>
      <c r="L800" s="1234" t="inlineStr">
        <is>
          <t>Medium</t>
        </is>
      </c>
      <c r="M800" s="1233" t="inlineStr">
        <is>
          <t>Raw Material Forecast</t>
        </is>
      </c>
      <c r="N800" s="1233" t="inlineStr">
        <is>
          <t>Quarterly</t>
        </is>
      </c>
      <c r="O800" s="1234" t="inlineStr">
        <is>
          <t>FY2026A</t>
        </is>
      </c>
      <c r="P800" s="1233" t="inlineStr">
        <is>
          <t>Research block row 41. Value column is live and re-states on a scenario change.</t>
        </is>
      </c>
    </row>
    <row r="801" ht="46" customHeight="1" s="632">
      <c r="A801" s="1232" t="inlineStr">
        <is>
          <t>DB12</t>
        </is>
      </c>
      <c r="B801" s="1235" t="inlineStr">
        <is>
          <t>USD/INR</t>
        </is>
      </c>
      <c r="C801" s="1241">
        <f>IF(ISNUMBER('Industry Dashboard'!J42),'Industry Dashboard'!J42,'Industry Dashboard'!C42)</f>
        <v/>
      </c>
      <c r="D801" s="1236" t="inlineStr">
        <is>
          <t>Rs/US$</t>
        </is>
      </c>
      <c r="E801" s="1235" t="inlineStr">
        <is>
          <t>Cross-sheet reference (linked, not re-entered)</t>
        </is>
      </c>
      <c r="F801" s="1235" t="inlineStr">
        <is>
          <t>'='Raw Material Forecast'!D$87</t>
        </is>
      </c>
      <c r="G801" s="1235" t="inlineStr">
        <is>
          <t>10</t>
        </is>
      </c>
      <c r="H801" s="1235" t="inlineStr">
        <is>
          <t>26 Sources register; Master Industry Database source log (47 cited sources)</t>
        </is>
      </c>
      <c r="I801" s="1235" t="n"/>
      <c r="J801" s="1235" t="n"/>
      <c r="K801" s="1235" t="inlineStr">
        <is>
          <t>Reconciled by 25 Audit Checks</t>
        </is>
      </c>
      <c r="L801" s="1236" t="inlineStr">
        <is>
          <t>Medium</t>
        </is>
      </c>
      <c r="M801" s="1235" t="inlineStr">
        <is>
          <t>Raw Material Forecast</t>
        </is>
      </c>
      <c r="N801" s="1235" t="inlineStr">
        <is>
          <t>Quarterly</t>
        </is>
      </c>
      <c r="O801" s="1236" t="inlineStr">
        <is>
          <t>FY2026A</t>
        </is>
      </c>
      <c r="P801" s="1235" t="inlineStr">
        <is>
          <t>Research block row 42. Value column is live and re-states on a scenario change.</t>
        </is>
      </c>
    </row>
    <row r="802" ht="46" customHeight="1" s="632">
      <c r="A802" s="1232" t="inlineStr">
        <is>
          <t>DB13</t>
        </is>
      </c>
      <c r="B802" s="1233" t="inlineStr">
        <is>
          <t>Cash cost per tonne</t>
        </is>
      </c>
      <c r="C802" s="1242">
        <f>IF(ISNUMBER('Industry Dashboard'!J43),'Industry Dashboard'!J43,'Industry Dashboard'!C43)</f>
        <v/>
      </c>
      <c r="D802" s="1234" t="inlineStr">
        <is>
          <t>Rs/t</t>
        </is>
      </c>
      <c r="E802" s="1233" t="inlineStr">
        <is>
          <t>Cross-sheet reference (linked, not re-entered)</t>
        </is>
      </c>
      <c r="F802" s="1233" t="inlineStr">
        <is>
          <t>'='Cost Curve'!D$80</t>
        </is>
      </c>
      <c r="G802" s="1233" t="inlineStr">
        <is>
          <t>11</t>
        </is>
      </c>
      <c r="H802" s="1233" t="inlineStr">
        <is>
          <t>26 Sources register; Master Industry Database source log (47 cited sources)</t>
        </is>
      </c>
      <c r="I802" s="1233" t="n"/>
      <c r="J802" s="1233" t="n"/>
      <c r="K802" s="1233" t="inlineStr">
        <is>
          <t>Reconciled by 25 Audit Checks</t>
        </is>
      </c>
      <c r="L802" s="1234" t="inlineStr">
        <is>
          <t>Medium</t>
        </is>
      </c>
      <c r="M802" s="1233" t="inlineStr">
        <is>
          <t>Cost Curve</t>
        </is>
      </c>
      <c r="N802" s="1233" t="inlineStr">
        <is>
          <t>Quarterly</t>
        </is>
      </c>
      <c r="O802" s="1234" t="inlineStr">
        <is>
          <t>FY2026A</t>
        </is>
      </c>
      <c r="P802" s="1233" t="inlineStr">
        <is>
          <t>Research block row 43. Value column is live and re-states on a scenario change.</t>
        </is>
      </c>
    </row>
    <row r="803" ht="46" customHeight="1" s="632">
      <c r="A803" s="1232" t="inlineStr">
        <is>
          <t>DB14</t>
        </is>
      </c>
      <c r="B803" s="1235" t="inlineStr">
        <is>
          <t>EBITDA per tonne</t>
        </is>
      </c>
      <c r="C803" s="1241">
        <f>IF(ISNUMBER('Industry Dashboard'!J45),'Industry Dashboard'!J45,'Industry Dashboard'!C45)</f>
        <v/>
      </c>
      <c r="D803" s="1236" t="inlineStr">
        <is>
          <t>Rs/t</t>
        </is>
      </c>
      <c r="E803" s="1235" t="inlineStr">
        <is>
          <t>Cross-sheet reference (linked, not re-entered)</t>
        </is>
      </c>
      <c r="F803" s="1235" t="inlineStr">
        <is>
          <t>'='EBITDA Model'!D$101</t>
        </is>
      </c>
      <c r="G803" s="1235" t="inlineStr">
        <is>
          <t>13</t>
        </is>
      </c>
      <c r="H803" s="1235" t="inlineStr">
        <is>
          <t>26 Sources register; Master Industry Database source log (47 cited sources)</t>
        </is>
      </c>
      <c r="I803" s="1235" t="n"/>
      <c r="J803" s="1235" t="n"/>
      <c r="K803" s="1235" t="inlineStr">
        <is>
          <t>Reconciled by 25 Audit Checks</t>
        </is>
      </c>
      <c r="L803" s="1236" t="inlineStr">
        <is>
          <t>Medium</t>
        </is>
      </c>
      <c r="M803" s="1235" t="inlineStr">
        <is>
          <t>EBITDA Model</t>
        </is>
      </c>
      <c r="N803" s="1235" t="inlineStr">
        <is>
          <t>Quarterly</t>
        </is>
      </c>
      <c r="O803" s="1236" t="inlineStr">
        <is>
          <t>FY2026A</t>
        </is>
      </c>
      <c r="P803" s="1235" t="inlineStr">
        <is>
          <t>Research block row 45. Value column is live and re-states on a scenario change.</t>
        </is>
      </c>
    </row>
    <row r="804" ht="46" customHeight="1" s="632">
      <c r="A804" s="1232" t="inlineStr">
        <is>
          <t>DB15</t>
        </is>
      </c>
      <c r="B804" s="1233" t="inlineStr">
        <is>
          <t>Industry EBITDA margin</t>
        </is>
      </c>
      <c r="C804" s="1242">
        <f>IF(ISNUMBER('Industry Dashboard'!J46),'Industry Dashboard'!J46,'Industry Dashboard'!C46)</f>
        <v/>
      </c>
      <c r="D804" s="1234" t="inlineStr">
        <is>
          <t>%</t>
        </is>
      </c>
      <c r="E804" s="1233" t="inlineStr">
        <is>
          <t>Cross-sheet reference (linked, not re-entered)</t>
        </is>
      </c>
      <c r="F804" s="1233" t="inlineStr">
        <is>
          <t>'='Margin Analysis'!D$91</t>
        </is>
      </c>
      <c r="G804" s="1233" t="inlineStr">
        <is>
          <t>14</t>
        </is>
      </c>
      <c r="H804" s="1233" t="inlineStr">
        <is>
          <t>26 Sources register; Master Industry Database source log (47 cited sources)</t>
        </is>
      </c>
      <c r="I804" s="1233" t="n"/>
      <c r="J804" s="1233" t="n"/>
      <c r="K804" s="1233" t="inlineStr">
        <is>
          <t>Reconciled by 25 Audit Checks</t>
        </is>
      </c>
      <c r="L804" s="1234" t="inlineStr">
        <is>
          <t>Medium</t>
        </is>
      </c>
      <c r="M804" s="1233" t="inlineStr">
        <is>
          <t>Margin Analysis</t>
        </is>
      </c>
      <c r="N804" s="1233" t="inlineStr">
        <is>
          <t>Quarterly</t>
        </is>
      </c>
      <c r="O804" s="1234" t="inlineStr">
        <is>
          <t>FY2026A</t>
        </is>
      </c>
      <c r="P804" s="1233" t="inlineStr">
        <is>
          <t>Research block row 46. Value column is live and re-states on a scenario change.</t>
        </is>
      </c>
    </row>
    <row r="805" ht="46" customHeight="1" s="632">
      <c r="A805" s="1232" t="inlineStr">
        <is>
          <t>DB16</t>
        </is>
      </c>
      <c r="B805" s="1235" t="inlineStr">
        <is>
          <t>Industry revenue</t>
        </is>
      </c>
      <c r="C805" s="1241">
        <f>IF(ISNUMBER('Industry Dashboard'!J47),'Industry Dashboard'!J47,'Industry Dashboard'!C47)</f>
        <v/>
      </c>
      <c r="D805" s="1236" t="inlineStr">
        <is>
          <t>Rs cr</t>
        </is>
      </c>
      <c r="E805" s="1235" t="inlineStr">
        <is>
          <t>Cross-sheet reference (linked, not re-entered)</t>
        </is>
      </c>
      <c r="F805" s="1235" t="inlineStr">
        <is>
          <t>'='Revenue Forecast'!D$96</t>
        </is>
      </c>
      <c r="G805" s="1235" t="inlineStr">
        <is>
          <t>12</t>
        </is>
      </c>
      <c r="H805" s="1235" t="inlineStr">
        <is>
          <t>26 Sources register; Master Industry Database source log (47 cited sources)</t>
        </is>
      </c>
      <c r="I805" s="1235" t="n"/>
      <c r="J805" s="1235" t="n"/>
      <c r="K805" s="1235" t="inlineStr">
        <is>
          <t>Reconciled by 25 Audit Checks</t>
        </is>
      </c>
      <c r="L805" s="1236" t="inlineStr">
        <is>
          <t>Medium</t>
        </is>
      </c>
      <c r="M805" s="1235" t="inlineStr">
        <is>
          <t>Revenue Forecast</t>
        </is>
      </c>
      <c r="N805" s="1235" t="inlineStr">
        <is>
          <t>Quarterly</t>
        </is>
      </c>
      <c r="O805" s="1236" t="inlineStr">
        <is>
          <t>FY2026A</t>
        </is>
      </c>
      <c r="P805" s="1235" t="inlineStr">
        <is>
          <t>Research block row 47. Value column is live and re-states on a scenario change.</t>
        </is>
      </c>
    </row>
    <row r="806" ht="46" customHeight="1" s="632">
      <c r="A806" s="1232" t="inlineStr">
        <is>
          <t>DB17</t>
        </is>
      </c>
      <c r="B806" s="1233" t="inlineStr">
        <is>
          <t>Industry EBITDA</t>
        </is>
      </c>
      <c r="C806" s="1242">
        <f>IF(ISNUMBER('Industry Dashboard'!J48),'Industry Dashboard'!J48,'Industry Dashboard'!C48)</f>
        <v/>
      </c>
      <c r="D806" s="1234" t="inlineStr">
        <is>
          <t>Rs cr</t>
        </is>
      </c>
      <c r="E806" s="1233" t="inlineStr">
        <is>
          <t>Cross-sheet reference (linked, not re-entered)</t>
        </is>
      </c>
      <c r="F806" s="1233" t="inlineStr">
        <is>
          <t>'='EBITDA Model'!D$103</t>
        </is>
      </c>
      <c r="G806" s="1233" t="inlineStr">
        <is>
          <t>13</t>
        </is>
      </c>
      <c r="H806" s="1233" t="inlineStr">
        <is>
          <t>26 Sources register; Master Industry Database source log (47 cited sources)</t>
        </is>
      </c>
      <c r="I806" s="1233" t="n"/>
      <c r="J806" s="1233" t="n"/>
      <c r="K806" s="1233" t="inlineStr">
        <is>
          <t>Reconciled by 25 Audit Checks</t>
        </is>
      </c>
      <c r="L806" s="1234" t="inlineStr">
        <is>
          <t>Medium</t>
        </is>
      </c>
      <c r="M806" s="1233" t="inlineStr">
        <is>
          <t>EBITDA Model</t>
        </is>
      </c>
      <c r="N806" s="1233" t="inlineStr">
        <is>
          <t>Quarterly</t>
        </is>
      </c>
      <c r="O806" s="1234" t="inlineStr">
        <is>
          <t>FY2026A</t>
        </is>
      </c>
      <c r="P806" s="1233" t="inlineStr">
        <is>
          <t>Research block row 48. Value column is live and re-states on a scenario change.</t>
        </is>
      </c>
    </row>
    <row r="807" ht="46" customHeight="1" s="632">
      <c r="A807" s="1232" t="inlineStr">
        <is>
          <t>DB18</t>
        </is>
      </c>
      <c r="B807" s="1235" t="inlineStr">
        <is>
          <t>Cycle position</t>
        </is>
      </c>
      <c r="C807" s="1241">
        <f>IF(ISNUMBER('Industry Dashboard'!J49),'Industry Dashboard'!J49,'Industry Dashboard'!C49)</f>
        <v/>
      </c>
      <c r="D807" s="1236" t="inlineStr">
        <is>
          <t>class</t>
        </is>
      </c>
      <c r="E807" s="1235" t="inlineStr">
        <is>
          <t>Cross-sheet reference (linked, not re-entered)</t>
        </is>
      </c>
      <c r="F807" s="1235" t="inlineStr">
        <is>
          <t>'='Industry Cycle Model'!D92</t>
        </is>
      </c>
      <c r="G807" s="1235" t="inlineStr">
        <is>
          <t>18</t>
        </is>
      </c>
      <c r="H807" s="1235" t="inlineStr">
        <is>
          <t>26 Sources register; Master Industry Database source log (47 cited sources)</t>
        </is>
      </c>
      <c r="I807" s="1235" t="n"/>
      <c r="J807" s="1235" t="n"/>
      <c r="K807" s="1235" t="inlineStr">
        <is>
          <t>Reconciled by 25 Audit Checks</t>
        </is>
      </c>
      <c r="L807" s="1236" t="inlineStr">
        <is>
          <t>Medium</t>
        </is>
      </c>
      <c r="M807" s="1235" t="inlineStr">
        <is>
          <t>Industry Cycle Model</t>
        </is>
      </c>
      <c r="N807" s="1235" t="inlineStr">
        <is>
          <t>Quarterly</t>
        </is>
      </c>
      <c r="O807" s="1236" t="inlineStr">
        <is>
          <t>FY2026A</t>
        </is>
      </c>
      <c r="P807" s="1235" t="inlineStr">
        <is>
          <t>Research block row 49. Value column is live and re-states on a scenario change.</t>
        </is>
      </c>
    </row>
    <row r="808" ht="46" customHeight="1" s="632">
      <c r="A808" s="1232" t="inlineStr">
        <is>
          <t>DB19</t>
        </is>
      </c>
      <c r="B808" s="1233" t="inlineStr">
        <is>
          <t>Total capex</t>
        </is>
      </c>
      <c r="C808" s="1242">
        <f>IF(ISNUMBER('Industry Dashboard'!J51),'Industry Dashboard'!J51,'Industry Dashboard'!C51)</f>
        <v/>
      </c>
      <c r="D808" s="1234" t="inlineStr">
        <is>
          <t>Rs cr</t>
        </is>
      </c>
      <c r="E808" s="1233" t="inlineStr">
        <is>
          <t>Cross-sheet reference (linked, not re-entered)</t>
        </is>
      </c>
      <c r="F808" s="1233" t="inlineStr">
        <is>
          <t>'='Cash Flow Model'!D$110</t>
        </is>
      </c>
      <c r="G808" s="1233" t="inlineStr">
        <is>
          <t>16</t>
        </is>
      </c>
      <c r="H808" s="1233" t="inlineStr">
        <is>
          <t>26 Sources register; Master Industry Database source log (47 cited sources)</t>
        </is>
      </c>
      <c r="I808" s="1233" t="n"/>
      <c r="J808" s="1233" t="n"/>
      <c r="K808" s="1233" t="inlineStr">
        <is>
          <t>Reconciled by 25 Audit Checks</t>
        </is>
      </c>
      <c r="L808" s="1234" t="inlineStr">
        <is>
          <t>Medium</t>
        </is>
      </c>
      <c r="M808" s="1233" t="inlineStr">
        <is>
          <t>Cash Flow Model</t>
        </is>
      </c>
      <c r="N808" s="1233" t="inlineStr">
        <is>
          <t>Quarterly</t>
        </is>
      </c>
      <c r="O808" s="1234" t="inlineStr">
        <is>
          <t>FY2026A</t>
        </is>
      </c>
      <c r="P808" s="1233" t="inlineStr">
        <is>
          <t>Research block row 51. Value column is live and re-states on a scenario change.</t>
        </is>
      </c>
    </row>
    <row r="809" ht="46" customHeight="1" s="632">
      <c r="A809" s="1232" t="inlineStr">
        <is>
          <t>DB20</t>
        </is>
      </c>
      <c r="B809" s="1235" t="inlineStr">
        <is>
          <t>Unlevered free cash flow</t>
        </is>
      </c>
      <c r="C809" s="1241">
        <f>IF(ISNUMBER('Industry Dashboard'!J52),'Industry Dashboard'!J52,'Industry Dashboard'!C52)</f>
        <v/>
      </c>
      <c r="D809" s="1236" t="inlineStr">
        <is>
          <t>Rs cr</t>
        </is>
      </c>
      <c r="E809" s="1235" t="inlineStr">
        <is>
          <t>Cross-sheet reference (linked, not re-entered)</t>
        </is>
      </c>
      <c r="F809" s="1235" t="inlineStr">
        <is>
          <t>'='Cash Flow Model'!D$114</t>
        </is>
      </c>
      <c r="G809" s="1235" t="inlineStr">
        <is>
          <t>16</t>
        </is>
      </c>
      <c r="H809" s="1235" t="inlineStr">
        <is>
          <t>26 Sources register; Master Industry Database source log (47 cited sources)</t>
        </is>
      </c>
      <c r="I809" s="1235" t="n"/>
      <c r="J809" s="1235" t="n"/>
      <c r="K809" s="1235" t="inlineStr">
        <is>
          <t>Reconciled by 25 Audit Checks</t>
        </is>
      </c>
      <c r="L809" s="1236" t="inlineStr">
        <is>
          <t>Medium</t>
        </is>
      </c>
      <c r="M809" s="1235" t="inlineStr">
        <is>
          <t>Cash Flow Model</t>
        </is>
      </c>
      <c r="N809" s="1235" t="inlineStr">
        <is>
          <t>Quarterly</t>
        </is>
      </c>
      <c r="O809" s="1236" t="inlineStr">
        <is>
          <t>FY2026A</t>
        </is>
      </c>
      <c r="P809" s="1235" t="inlineStr">
        <is>
          <t>Research block row 52. Value column is live and re-states on a scenario change.</t>
        </is>
      </c>
    </row>
    <row r="810" ht="46" customHeight="1" s="632">
      <c r="A810" s="1232" t="inlineStr">
        <is>
          <t>DB21</t>
        </is>
      </c>
      <c r="B810" s="1233" t="inlineStr">
        <is>
          <t>FCF conversion</t>
        </is>
      </c>
      <c r="C810" s="1242">
        <f>IF(ISNUMBER('Industry Dashboard'!J53),'Industry Dashboard'!J53,'Industry Dashboard'!C53)</f>
        <v/>
      </c>
      <c r="D810" s="1234" t="inlineStr">
        <is>
          <t>% of EBITDA</t>
        </is>
      </c>
      <c r="E810" s="1233" t="inlineStr">
        <is>
          <t>Cross-sheet reference (linked, not re-entered)</t>
        </is>
      </c>
      <c r="F810" s="1233" t="inlineStr">
        <is>
          <t>'='Cash Flow Model'!D$115</t>
        </is>
      </c>
      <c r="G810" s="1233" t="inlineStr">
        <is>
          <t>16</t>
        </is>
      </c>
      <c r="H810" s="1233" t="inlineStr">
        <is>
          <t>26 Sources register; Master Industry Database source log (47 cited sources)</t>
        </is>
      </c>
      <c r="I810" s="1233" t="n"/>
      <c r="J810" s="1233" t="n"/>
      <c r="K810" s="1233" t="inlineStr">
        <is>
          <t>Reconciled by 25 Audit Checks</t>
        </is>
      </c>
      <c r="L810" s="1234" t="inlineStr">
        <is>
          <t>Medium</t>
        </is>
      </c>
      <c r="M810" s="1233" t="inlineStr">
        <is>
          <t>Cash Flow Model</t>
        </is>
      </c>
      <c r="N810" s="1233" t="inlineStr">
        <is>
          <t>Quarterly</t>
        </is>
      </c>
      <c r="O810" s="1234" t="inlineStr">
        <is>
          <t>FY2026A</t>
        </is>
      </c>
      <c r="P810" s="1233" t="inlineStr">
        <is>
          <t>Research block row 53. Value column is live and re-states on a scenario change.</t>
        </is>
      </c>
    </row>
    <row r="811" ht="46" customHeight="1" s="632">
      <c r="A811" s="1232" t="inlineStr">
        <is>
          <t>DB22</t>
        </is>
      </c>
      <c r="B811" s="1235" t="inlineStr">
        <is>
          <t>Net debt</t>
        </is>
      </c>
      <c r="C811" s="1241">
        <f>IF(ISNUMBER('Industry Dashboard'!J54),'Industry Dashboard'!J54,'Industry Dashboard'!C54)</f>
        <v/>
      </c>
      <c r="D811" s="1236" t="inlineStr">
        <is>
          <t>Rs cr</t>
        </is>
      </c>
      <c r="E811" s="1235" t="inlineStr">
        <is>
          <t>Cross-sheet reference (linked, not re-entered)</t>
        </is>
      </c>
      <c r="F811" s="1235" t="inlineStr">
        <is>
          <t>'='Capital Allocation'!D$80</t>
        </is>
      </c>
      <c r="G811" s="1235" t="inlineStr">
        <is>
          <t>17</t>
        </is>
      </c>
      <c r="H811" s="1235" t="inlineStr">
        <is>
          <t>26 Sources register; Master Industry Database source log (47 cited sources)</t>
        </is>
      </c>
      <c r="I811" s="1235" t="n"/>
      <c r="J811" s="1235" t="n"/>
      <c r="K811" s="1235" t="inlineStr">
        <is>
          <t>Reconciled by 25 Audit Checks</t>
        </is>
      </c>
      <c r="L811" s="1236" t="inlineStr">
        <is>
          <t>Medium</t>
        </is>
      </c>
      <c r="M811" s="1235" t="inlineStr">
        <is>
          <t>Capital Allocation</t>
        </is>
      </c>
      <c r="N811" s="1235" t="inlineStr">
        <is>
          <t>Quarterly</t>
        </is>
      </c>
      <c r="O811" s="1236" t="inlineStr">
        <is>
          <t>FY2026A</t>
        </is>
      </c>
      <c r="P811" s="1235" t="inlineStr">
        <is>
          <t>Research block row 54. Value column is live and re-states on a scenario change.</t>
        </is>
      </c>
    </row>
    <row r="812" ht="46" customHeight="1" s="632">
      <c r="A812" s="1232" t="inlineStr">
        <is>
          <t>DB23</t>
        </is>
      </c>
      <c r="B812" s="1233" t="inlineStr">
        <is>
          <t>Net debt / EBITDA</t>
        </is>
      </c>
      <c r="C812" s="1242">
        <f>IF(ISNUMBER('Industry Dashboard'!J55),'Industry Dashboard'!J55,'Industry Dashboard'!C55)</f>
        <v/>
      </c>
      <c r="D812" s="1234" t="inlineStr">
        <is>
          <t>x</t>
        </is>
      </c>
      <c r="E812" s="1233" t="inlineStr">
        <is>
          <t>Cross-sheet reference (linked, not re-entered)</t>
        </is>
      </c>
      <c r="F812" s="1233" t="inlineStr">
        <is>
          <t>'='Capital Allocation'!D$84</t>
        </is>
      </c>
      <c r="G812" s="1233" t="inlineStr">
        <is>
          <t>17</t>
        </is>
      </c>
      <c r="H812" s="1233" t="inlineStr">
        <is>
          <t>26 Sources register; Master Industry Database source log (47 cited sources)</t>
        </is>
      </c>
      <c r="I812" s="1233" t="n"/>
      <c r="J812" s="1233" t="n"/>
      <c r="K812" s="1233" t="inlineStr">
        <is>
          <t>Reconciled by 25 Audit Checks</t>
        </is>
      </c>
      <c r="L812" s="1234" t="inlineStr">
        <is>
          <t>Medium</t>
        </is>
      </c>
      <c r="M812" s="1233" t="inlineStr">
        <is>
          <t>Capital Allocation</t>
        </is>
      </c>
      <c r="N812" s="1233" t="inlineStr">
        <is>
          <t>Quarterly</t>
        </is>
      </c>
      <c r="O812" s="1234" t="inlineStr">
        <is>
          <t>FY2026A</t>
        </is>
      </c>
      <c r="P812" s="1233" t="inlineStr">
        <is>
          <t>Research block row 55. Value column is live and re-states on a scenario change.</t>
        </is>
      </c>
    </row>
    <row r="813" ht="46" customHeight="1" s="632">
      <c r="A813" s="1232" t="inlineStr">
        <is>
          <t>DB24</t>
        </is>
      </c>
      <c r="B813" s="1235" t="inlineStr">
        <is>
          <t>Finished steel imports</t>
        </is>
      </c>
      <c r="C813" s="1241">
        <f>IF(ISNUMBER('Industry Dashboard'!J57),'Industry Dashboard'!J57,'Industry Dashboard'!C57)</f>
        <v/>
      </c>
      <c r="D813" s="1236" t="inlineStr">
        <is>
          <t>Mt</t>
        </is>
      </c>
      <c r="E813" s="1235" t="inlineStr">
        <is>
          <t>Cross-sheet reference (linked, not re-entered)</t>
        </is>
      </c>
      <c r="F813" s="1235" t="inlineStr">
        <is>
          <t>'='Trade Model'!D$76</t>
        </is>
      </c>
      <c r="G813" s="1235" t="inlineStr">
        <is>
          <t>19</t>
        </is>
      </c>
      <c r="H813" s="1235" t="inlineStr">
        <is>
          <t>26 Sources register; Master Industry Database source log (47 cited sources)</t>
        </is>
      </c>
      <c r="I813" s="1235" t="n"/>
      <c r="J813" s="1235" t="n"/>
      <c r="K813" s="1235" t="inlineStr">
        <is>
          <t>Reconciled by 25 Audit Checks</t>
        </is>
      </c>
      <c r="L813" s="1236" t="inlineStr">
        <is>
          <t>Medium</t>
        </is>
      </c>
      <c r="M813" s="1235" t="inlineStr">
        <is>
          <t>Trade Model</t>
        </is>
      </c>
      <c r="N813" s="1235" t="inlineStr">
        <is>
          <t>Quarterly</t>
        </is>
      </c>
      <c r="O813" s="1236" t="inlineStr">
        <is>
          <t>FY2026A</t>
        </is>
      </c>
      <c r="P813" s="1235" t="inlineStr">
        <is>
          <t>Research block row 57. Value column is live and re-states on a scenario change.</t>
        </is>
      </c>
    </row>
    <row r="814" ht="46" customHeight="1" s="632">
      <c r="A814" s="1232" t="inlineStr">
        <is>
          <t>DB25</t>
        </is>
      </c>
      <c r="B814" s="1233" t="inlineStr">
        <is>
          <t>Finished steel exports</t>
        </is>
      </c>
      <c r="C814" s="1242">
        <f>IF(ISNUMBER('Industry Dashboard'!J58),'Industry Dashboard'!J58,'Industry Dashboard'!C58)</f>
        <v/>
      </c>
      <c r="D814" s="1234" t="inlineStr">
        <is>
          <t>Mt</t>
        </is>
      </c>
      <c r="E814" s="1233" t="inlineStr">
        <is>
          <t>Cross-sheet reference (linked, not re-entered)</t>
        </is>
      </c>
      <c r="F814" s="1233" t="inlineStr">
        <is>
          <t>'='Trade Model'!D$78</t>
        </is>
      </c>
      <c r="G814" s="1233" t="inlineStr">
        <is>
          <t>19</t>
        </is>
      </c>
      <c r="H814" s="1233" t="inlineStr">
        <is>
          <t>26 Sources register; Master Industry Database source log (47 cited sources)</t>
        </is>
      </c>
      <c r="I814" s="1233" t="n"/>
      <c r="J814" s="1233" t="n"/>
      <c r="K814" s="1233" t="inlineStr">
        <is>
          <t>Reconciled by 25 Audit Checks</t>
        </is>
      </c>
      <c r="L814" s="1234" t="inlineStr">
        <is>
          <t>Medium</t>
        </is>
      </c>
      <c r="M814" s="1233" t="inlineStr">
        <is>
          <t>Trade Model</t>
        </is>
      </c>
      <c r="N814" s="1233" t="inlineStr">
        <is>
          <t>Quarterly</t>
        </is>
      </c>
      <c r="O814" s="1234" t="inlineStr">
        <is>
          <t>FY2026A</t>
        </is>
      </c>
      <c r="P814" s="1233" t="inlineStr">
        <is>
          <t>Research block row 58. Value column is live and re-states on a scenario change.</t>
        </is>
      </c>
    </row>
    <row r="815" ht="46" customHeight="1" s="632">
      <c r="A815" s="1232" t="inlineStr">
        <is>
          <t>DB26</t>
        </is>
      </c>
      <c r="B815" s="1235" t="inlineStr">
        <is>
          <t>Net trade position</t>
        </is>
      </c>
      <c r="C815" s="1241">
        <f>IF(ISNUMBER('Industry Dashboard'!J59),'Industry Dashboard'!J59,'Industry Dashboard'!C59)</f>
        <v/>
      </c>
      <c r="D815" s="1236" t="inlineStr">
        <is>
          <t>Mt</t>
        </is>
      </c>
      <c r="E815" s="1235" t="inlineStr">
        <is>
          <t>Cross-sheet reference (linked, not re-entered)</t>
        </is>
      </c>
      <c r="F815" s="1235" t="inlineStr">
        <is>
          <t>'='Trade Model'!D$85</t>
        </is>
      </c>
      <c r="G815" s="1235" t="inlineStr">
        <is>
          <t>19</t>
        </is>
      </c>
      <c r="H815" s="1235" t="inlineStr">
        <is>
          <t>26 Sources register; Master Industry Database source log (47 cited sources)</t>
        </is>
      </c>
      <c r="I815" s="1235" t="n"/>
      <c r="J815" s="1235" t="n"/>
      <c r="K815" s="1235" t="inlineStr">
        <is>
          <t>Reconciled by 25 Audit Checks</t>
        </is>
      </c>
      <c r="L815" s="1236" t="inlineStr">
        <is>
          <t>Medium</t>
        </is>
      </c>
      <c r="M815" s="1235" t="inlineStr">
        <is>
          <t>Trade Model</t>
        </is>
      </c>
      <c r="N815" s="1235" t="inlineStr">
        <is>
          <t>Quarterly</t>
        </is>
      </c>
      <c r="O815" s="1236" t="inlineStr">
        <is>
          <t>FY2026A</t>
        </is>
      </c>
      <c r="P815" s="1235" t="inlineStr">
        <is>
          <t>Research block row 59. Value column is live and re-states on a scenario change.</t>
        </is>
      </c>
    </row>
    <row r="816" ht="46" customHeight="1" s="632">
      <c r="A816" s="1232" t="inlineStr">
        <is>
          <t>DB27</t>
        </is>
      </c>
      <c r="B816" s="1233" t="inlineStr">
        <is>
          <t>Import penetration</t>
        </is>
      </c>
      <c r="C816" s="1242">
        <f>IF(ISNUMBER('Industry Dashboard'!J60),'Industry Dashboard'!J60,'Industry Dashboard'!C60)</f>
        <v/>
      </c>
      <c r="D816" s="1234" t="inlineStr">
        <is>
          <t>% of consumption</t>
        </is>
      </c>
      <c r="E816" s="1233" t="inlineStr">
        <is>
          <t>Cross-sheet reference (linked, not re-entered)</t>
        </is>
      </c>
      <c r="F816" s="1233" t="inlineStr">
        <is>
          <t>'='Trade Model'!D$83</t>
        </is>
      </c>
      <c r="G816" s="1233" t="inlineStr">
        <is>
          <t>19</t>
        </is>
      </c>
      <c r="H816" s="1233" t="inlineStr">
        <is>
          <t>26 Sources register; Master Industry Database source log (47 cited sources)</t>
        </is>
      </c>
      <c r="I816" s="1233" t="n"/>
      <c r="J816" s="1233" t="n"/>
      <c r="K816" s="1233" t="inlineStr">
        <is>
          <t>Reconciled by 25 Audit Checks</t>
        </is>
      </c>
      <c r="L816" s="1234" t="inlineStr">
        <is>
          <t>Medium</t>
        </is>
      </c>
      <c r="M816" s="1233" t="inlineStr">
        <is>
          <t>Trade Model</t>
        </is>
      </c>
      <c r="N816" s="1233" t="inlineStr">
        <is>
          <t>Quarterly</t>
        </is>
      </c>
      <c r="O816" s="1234" t="inlineStr">
        <is>
          <t>FY2026A</t>
        </is>
      </c>
      <c r="P816" s="1233" t="inlineStr">
        <is>
          <t>Research block row 60. Value column is live and re-states on a scenario change.</t>
        </is>
      </c>
    </row>
    <row r="817" ht="46" customHeight="1" s="632">
      <c r="A817" s="1232" t="inlineStr">
        <is>
          <t>DB28</t>
        </is>
      </c>
      <c r="B817" s="1235" t="inlineStr">
        <is>
          <t>ROIC (indicative)</t>
        </is>
      </c>
      <c r="C817" s="1241">
        <f>IF(ISNUMBER('Industry Dashboard'!J62),'Industry Dashboard'!J62,'Industry Dashboard'!C62)</f>
        <v/>
      </c>
      <c r="D817" s="1236" t="inlineStr">
        <is>
          <t>%</t>
        </is>
      </c>
      <c r="E817" s="1235" t="inlineStr">
        <is>
          <t>Cross-sheet reference (linked, not re-entered)</t>
        </is>
      </c>
      <c r="F817" s="1235" t="inlineStr">
        <is>
          <t>'='Comparable Valuation'!D$147</t>
        </is>
      </c>
      <c r="G817" s="1235" t="inlineStr">
        <is>
          <t>23</t>
        </is>
      </c>
      <c r="H817" s="1235" t="inlineStr">
        <is>
          <t>26 Sources register; Master Industry Database source log (47 cited sources)</t>
        </is>
      </c>
      <c r="I817" s="1235" t="n"/>
      <c r="J817" s="1235" t="n"/>
      <c r="K817" s="1235" t="inlineStr">
        <is>
          <t>Reconciled by 25 Audit Checks</t>
        </is>
      </c>
      <c r="L817" s="1236" t="inlineStr">
        <is>
          <t>Medium</t>
        </is>
      </c>
      <c r="M817" s="1235" t="inlineStr">
        <is>
          <t>Comparable Valuation</t>
        </is>
      </c>
      <c r="N817" s="1235" t="inlineStr">
        <is>
          <t>Quarterly</t>
        </is>
      </c>
      <c r="O817" s="1236" t="inlineStr">
        <is>
          <t>FY2026A</t>
        </is>
      </c>
      <c r="P817" s="1235" t="inlineStr">
        <is>
          <t>Research block row 62. Value column is live and re-states on a scenario change.</t>
        </is>
      </c>
    </row>
    <row r="818" ht="46" customHeight="1" s="632">
      <c r="A818" s="1232" t="inlineStr">
        <is>
          <t>DB29</t>
        </is>
      </c>
      <c r="B818" s="1233" t="inlineStr">
        <is>
          <t>ROIC less WACC</t>
        </is>
      </c>
      <c r="C818" s="1242">
        <f>IF(ISNUMBER('Industry Dashboard'!J63),'Industry Dashboard'!J63,'Industry Dashboard'!C63)</f>
        <v/>
      </c>
      <c r="D818" s="1234" t="inlineStr">
        <is>
          <t>ppt</t>
        </is>
      </c>
      <c r="E818" s="1233" t="inlineStr">
        <is>
          <t>Cross-sheet reference (linked, not re-entered)</t>
        </is>
      </c>
      <c r="F818" s="1233" t="inlineStr">
        <is>
          <t>'='Comparable Valuation'!D$148</t>
        </is>
      </c>
      <c r="G818" s="1233" t="inlineStr">
        <is>
          <t>23</t>
        </is>
      </c>
      <c r="H818" s="1233" t="inlineStr">
        <is>
          <t>26 Sources register; Master Industry Database source log (47 cited sources)</t>
        </is>
      </c>
      <c r="I818" s="1233" t="n"/>
      <c r="J818" s="1233" t="n"/>
      <c r="K818" s="1233" t="inlineStr">
        <is>
          <t>Reconciled by 25 Audit Checks</t>
        </is>
      </c>
      <c r="L818" s="1234" t="inlineStr">
        <is>
          <t>Medium</t>
        </is>
      </c>
      <c r="M818" s="1233" t="inlineStr">
        <is>
          <t>Comparable Valuation</t>
        </is>
      </c>
      <c r="N818" s="1233" t="inlineStr">
        <is>
          <t>Quarterly</t>
        </is>
      </c>
      <c r="O818" s="1234" t="inlineStr">
        <is>
          <t>FY2026A</t>
        </is>
      </c>
      <c r="P818" s="1233" t="inlineStr">
        <is>
          <t>Research block row 63. Value column is live and re-states on a scenario change.</t>
        </is>
      </c>
    </row>
    <row r="821" ht="18" customHeight="1" s="632">
      <c r="A821" s="1229" t="inlineStr">
        <is>
          <t>Audit Checks  -  31 documented items  (AC01 - AC31)</t>
        </is>
      </c>
      <c r="B821" s="1161" t="n"/>
      <c r="C821" s="1161" t="n"/>
      <c r="D821" s="1161" t="n"/>
      <c r="E821" s="1161" t="n"/>
      <c r="F821" s="1161" t="n"/>
      <c r="G821" s="1161" t="n"/>
      <c r="H821" s="1161" t="n"/>
      <c r="I821" s="1161" t="n"/>
      <c r="J821" s="1161" t="n"/>
      <c r="K821" s="1161" t="n"/>
      <c r="L821" s="1161" t="n"/>
      <c r="M821" s="1161" t="n"/>
      <c r="N821" s="1161" t="n"/>
      <c r="O821" s="1161" t="n"/>
      <c r="P821" s="1161" t="n"/>
    </row>
    <row r="822" ht="24" customHeight="1" s="632">
      <c r="A822" s="1230" t="inlineStr">
        <is>
          <t>Thirty live validations plus the standing limitations. The table below explains what each check proves and what to do if it fails.</t>
        </is>
      </c>
    </row>
    <row r="823" ht="30" customHeight="1" s="632">
      <c r="A823" s="1231" t="inlineStr">
        <is>
          <t>Code</t>
        </is>
      </c>
      <c r="B823" s="1231" t="inlineStr">
        <is>
          <t>Model Item</t>
        </is>
      </c>
      <c r="C823" s="1231" t="inlineStr">
        <is>
          <t>Value</t>
        </is>
      </c>
      <c r="D823" s="1231" t="inlineStr">
        <is>
          <t>Unit</t>
        </is>
      </c>
      <c r="E823" s="1231" t="inlineStr">
        <is>
          <t>Calculation Method</t>
        </is>
      </c>
      <c r="F823" s="1231" t="inlineStr">
        <is>
          <t>Formula Used</t>
        </is>
      </c>
      <c r="G823" s="1231" t="inlineStr">
        <is>
          <t>Primary Source</t>
        </is>
      </c>
      <c r="H823" s="1231" t="inlineStr">
        <is>
          <t>Secondary Source</t>
        </is>
      </c>
      <c r="I823" s="1231" t="inlineStr">
        <is>
          <t>Assumption</t>
        </is>
      </c>
      <c r="J823" s="1231" t="inlineStr">
        <is>
          <t>Reasoning</t>
        </is>
      </c>
      <c r="K823" s="1231" t="inlineStr">
        <is>
          <t>Cross-check</t>
        </is>
      </c>
      <c r="L823" s="1231" t="inlineStr">
        <is>
          <t>Confidence Level</t>
        </is>
      </c>
      <c r="M823" s="1231" t="inlineStr">
        <is>
          <t>Linked Sheet</t>
        </is>
      </c>
      <c r="N823" s="1231" t="inlineStr">
        <is>
          <t>Update Frequency</t>
        </is>
      </c>
      <c r="O823" s="1231" t="inlineStr">
        <is>
          <t>Last Available Date</t>
        </is>
      </c>
      <c r="P823" s="1231" t="inlineStr">
        <is>
          <t>Comments</t>
        </is>
      </c>
    </row>
    <row r="824" ht="46" customHeight="1" s="632">
      <c r="A824" s="1232" t="inlineStr">
        <is>
          <t>AC01</t>
        </is>
      </c>
      <c r="B824" s="1233" t="inlineStr">
        <is>
          <t>A01 - No negative capacity in any forecast year</t>
        </is>
      </c>
      <c r="C824" s="1250">
        <f>IF('Audit Checks'!C14="PASS",1,IF('Audit Checks'!C14="WARN",0.5,0))</f>
        <v/>
      </c>
      <c r="D824" s="1234" t="inlineStr">
        <is>
          <t>PASS / WARN / FAIL</t>
        </is>
      </c>
      <c r="E824" s="1233" t="inlineStr">
        <is>
          <t>Live conditional test evaluated on every recalculation</t>
        </is>
      </c>
      <c r="F824" s="1233" t="inlineStr">
        <is>
          <t>'=IF(MIN('Capacity Forecast'!D$101:J$101)&gt;0,"PASS","FAIL")</t>
        </is>
      </c>
      <c r="G824" s="1233" t="inlineStr">
        <is>
          <t>Computed from the model itself</t>
        </is>
      </c>
      <c r="H824" s="1233" t="inlineStr">
        <is>
          <t>Several checks are duplicated independently on 02b Model Calibration</t>
        </is>
      </c>
      <c r="I824" s="1233" t="inlineStr">
        <is>
          <t>None. A check is a test, not an assumption.</t>
        </is>
      </c>
      <c r="J824" s="1233" t="inlineStr">
        <is>
          <t>Capacity must be strictly positive. A failure means the delivery factor or secondary additions driver has been set to an impossible value.</t>
        </is>
      </c>
      <c r="K824" s="1233" t="inlineStr">
        <is>
          <t>Re-evaluates when the scenario is changed on 01 Control Panel</t>
        </is>
      </c>
      <c r="L824" s="1234" t="inlineStr">
        <is>
          <t>High</t>
        </is>
      </c>
      <c r="M824" s="1233" t="inlineStr">
        <is>
          <t>Capacity Forecast</t>
        </is>
      </c>
      <c r="N824" s="1233" t="inlineStr">
        <is>
          <t>Live</t>
        </is>
      </c>
      <c r="O824" s="1234" t="inlineStr">
        <is>
          <t>Live</t>
        </is>
      </c>
      <c r="P824" s="1233" t="inlineStr">
        <is>
          <t>Research block row 14. A WARN is a signal to read the number, not a defect.</t>
        </is>
      </c>
    </row>
    <row r="825" ht="46" customHeight="1" s="632">
      <c r="A825" s="1232" t="inlineStr">
        <is>
          <t>AC02</t>
        </is>
      </c>
      <c r="B825" s="1235" t="inlineStr">
        <is>
          <t>A02 - Capacity is monotonically non-decreasing</t>
        </is>
      </c>
      <c r="C825" s="1249">
        <f>IF('Audit Checks'!C15="PASS",1,IF('Audit Checks'!C15="WARN",0.5,0))</f>
        <v/>
      </c>
      <c r="D825" s="1236" t="inlineStr">
        <is>
          <t>PASS / WARN / FAIL</t>
        </is>
      </c>
      <c r="E825" s="1235" t="inlineStr">
        <is>
          <t>Live conditional test evaluated on every recalculation</t>
        </is>
      </c>
      <c r="F825" s="1235" t="inlineStr">
        <is>
          <t>{=IF(SUMPRODUCT(--('Capacity Forecast'!D$100:J$100&lt;0))=0,"PASS","FAIL")}</t>
        </is>
      </c>
      <c r="G825" s="1235" t="inlineStr">
        <is>
          <t>Computed from the model itself</t>
        </is>
      </c>
      <c r="H825" s="1235" t="inlineStr">
        <is>
          <t>Several checks are duplicated independently on 02b Model Calibration</t>
        </is>
      </c>
      <c r="I825" s="1235" t="inlineStr">
        <is>
          <t>None. A check is a test, not an assumption.</t>
        </is>
      </c>
      <c r="J825" s="1235" t="inlineStr">
        <is>
          <t>The model does not permit capacity closures. If a scenario should include closures, add them as negative entries in the project tracker.</t>
        </is>
      </c>
      <c r="K825" s="1235" t="inlineStr">
        <is>
          <t>Re-evaluates when the scenario is changed on 01 Control Panel</t>
        </is>
      </c>
      <c r="L825" s="1236" t="inlineStr">
        <is>
          <t>High</t>
        </is>
      </c>
      <c r="M825" s="1235" t="inlineStr">
        <is>
          <t>Capacity Forecast</t>
        </is>
      </c>
      <c r="N825" s="1235" t="inlineStr">
        <is>
          <t>Live</t>
        </is>
      </c>
      <c r="O825" s="1236" t="inlineStr">
        <is>
          <t>Live</t>
        </is>
      </c>
      <c r="P825" s="1235" t="inlineStr">
        <is>
          <t>Research block row 15. A WARN is a signal to read the number, not a defect.</t>
        </is>
      </c>
    </row>
    <row r="826" ht="46" customHeight="1" s="632">
      <c r="A826" s="1232" t="inlineStr">
        <is>
          <t>AC03</t>
        </is>
      </c>
      <c r="B826" s="1233" t="inlineStr">
        <is>
          <t>A03 - Capacity utilisation never exceeds 100%</t>
        </is>
      </c>
      <c r="C826" s="1250">
        <f>IF('Audit Checks'!C16="PASS",1,IF('Audit Checks'!C16="WARN",0.5,0))</f>
        <v/>
      </c>
      <c r="D826" s="1234" t="inlineStr">
        <is>
          <t>PASS / WARN / FAIL</t>
        </is>
      </c>
      <c r="E826" s="1233" t="inlineStr">
        <is>
          <t>Live conditional test evaluated on every recalculation</t>
        </is>
      </c>
      <c r="F826" s="1233" t="inlineStr">
        <is>
          <t>'=IF(MAX('Capacity Utilisation'!D$67:J$67)&lt;=1,"PASS","FAIL")</t>
        </is>
      </c>
      <c r="G826" s="1233" t="inlineStr">
        <is>
          <t>Computed from the model itself</t>
        </is>
      </c>
      <c r="H826" s="1233" t="inlineStr">
        <is>
          <t>Several checks are duplicated independently on 02b Model Calibration</t>
        </is>
      </c>
      <c r="I826" s="1233" t="inlineStr">
        <is>
          <t>None. A check is a test, not an assumption.</t>
        </is>
      </c>
      <c r="J826" s="1233" t="inlineStr">
        <is>
          <t>Physically impossible above 100%. Guarded by the ceiling on 05, so a failure indicates the ceiling has been bypassed.</t>
        </is>
      </c>
      <c r="K826" s="1233" t="inlineStr">
        <is>
          <t>Re-evaluates when the scenario is changed on 01 Control Panel</t>
        </is>
      </c>
      <c r="L826" s="1234" t="inlineStr">
        <is>
          <t>High</t>
        </is>
      </c>
      <c r="M826" s="1233" t="inlineStr">
        <is>
          <t>Capacity Utilisation</t>
        </is>
      </c>
      <c r="N826" s="1233" t="inlineStr">
        <is>
          <t>Live</t>
        </is>
      </c>
      <c r="O826" s="1234" t="inlineStr">
        <is>
          <t>Live</t>
        </is>
      </c>
      <c r="P826" s="1233" t="inlineStr">
        <is>
          <t>Research block row 16. A WARN is a signal to read the number, not a defect.</t>
        </is>
      </c>
    </row>
    <row r="827" ht="46" customHeight="1" s="632">
      <c r="A827" s="1232" t="inlineStr">
        <is>
          <t>AC04</t>
        </is>
      </c>
      <c r="B827" s="1235" t="inlineStr">
        <is>
          <t>A04 - Capacity utilisation never exceeds the practical maximum</t>
        </is>
      </c>
      <c r="C827" s="1249">
        <f>IF('Audit Checks'!C17="PASS",1,IF('Audit Checks'!C17="WARN",0.5,0))</f>
        <v/>
      </c>
      <c r="D827" s="1236" t="inlineStr">
        <is>
          <t>PASS / WARN / FAIL</t>
        </is>
      </c>
      <c r="E827" s="1235" t="inlineStr">
        <is>
          <t>Live conditional test evaluated on every recalculation</t>
        </is>
      </c>
      <c r="F827" s="1235" t="inlineStr">
        <is>
          <t>'=IF(MAX('Capacity Utilisation'!D$67:J$67)&lt;=MAX('Steel Supply Model'!D$97:J$97)+0.0001,"PASS","FAIL")</t>
        </is>
      </c>
      <c r="G827" s="1235" t="inlineStr">
        <is>
          <t>Computed from the model itself</t>
        </is>
      </c>
      <c r="H827" s="1235" t="inlineStr">
        <is>
          <t>Several checks are duplicated independently on 02b Model Calibration</t>
        </is>
      </c>
      <c r="I827" s="1235" t="inlineStr">
        <is>
          <t>None. A check is a test, not an assumption.</t>
        </is>
      </c>
      <c r="J827" s="1235" t="inlineStr">
        <is>
          <t>Confirms the MIN() ceiling on 05 Steel Supply is actually binding where it should.</t>
        </is>
      </c>
      <c r="K827" s="1235" t="inlineStr">
        <is>
          <t>Re-evaluates when the scenario is changed on 01 Control Panel</t>
        </is>
      </c>
      <c r="L827" s="1236" t="inlineStr">
        <is>
          <t>High</t>
        </is>
      </c>
      <c r="M827" s="1235" t="inlineStr">
        <is>
          <t>Capacity Utilisation, Steel Supply Model</t>
        </is>
      </c>
      <c r="N827" s="1235" t="inlineStr">
        <is>
          <t>Live</t>
        </is>
      </c>
      <c r="O827" s="1236" t="inlineStr">
        <is>
          <t>Live</t>
        </is>
      </c>
      <c r="P827" s="1235" t="inlineStr">
        <is>
          <t>Research block row 17. A WARN is a signal to read the number, not a defect.</t>
        </is>
      </c>
    </row>
    <row r="828" ht="46" customHeight="1" s="632">
      <c r="A828" s="1232" t="inlineStr">
        <is>
          <t>AC05</t>
        </is>
      </c>
      <c r="B828" s="1233" t="inlineStr">
        <is>
          <t>A05 - Capacity utilisation is above a plausible floor of 55%</t>
        </is>
      </c>
      <c r="C828" s="1250">
        <f>IF('Audit Checks'!C18="PASS",1,IF('Audit Checks'!C18="WARN",0.5,0))</f>
        <v/>
      </c>
      <c r="D828" s="1234" t="inlineStr">
        <is>
          <t>PASS / WARN / FAIL</t>
        </is>
      </c>
      <c r="E828" s="1233" t="inlineStr">
        <is>
          <t>Live conditional test evaluated on every recalculation</t>
        </is>
      </c>
      <c r="F828" s="1233" t="inlineStr">
        <is>
          <t>'=IF(MIN('Capacity Utilisation'!D$67:J$67)&gt;=0.55,"PASS","WARN")</t>
        </is>
      </c>
      <c r="G828" s="1233" t="inlineStr">
        <is>
          <t>Computed from the model itself</t>
        </is>
      </c>
      <c r="H828" s="1233" t="inlineStr">
        <is>
          <t>Several checks are duplicated independently on 02b Model Calibration</t>
        </is>
      </c>
      <c r="I828" s="1233" t="inlineStr">
        <is>
          <t>None. A check is a test, not an assumption.</t>
        </is>
      </c>
      <c r="J828" s="1233" t="inlineStr">
        <is>
          <t>Below 55% would imply mass idling that the model does not represent. A WARN means the capacity path is far ahead of the demand path.</t>
        </is>
      </c>
      <c r="K828" s="1233" t="inlineStr">
        <is>
          <t>Re-evaluates when the scenario is changed on 01 Control Panel</t>
        </is>
      </c>
      <c r="L828" s="1234" t="inlineStr">
        <is>
          <t>High</t>
        </is>
      </c>
      <c r="M828" s="1233" t="inlineStr">
        <is>
          <t>Capacity Utilisation</t>
        </is>
      </c>
      <c r="N828" s="1233" t="inlineStr">
        <is>
          <t>Live</t>
        </is>
      </c>
      <c r="O828" s="1234" t="inlineStr">
        <is>
          <t>Live</t>
        </is>
      </c>
      <c r="P828" s="1233" t="inlineStr">
        <is>
          <t>Research block row 18. A WARN is a signal to read the number, not a defect.</t>
        </is>
      </c>
    </row>
    <row r="829" ht="46" customHeight="1" s="632">
      <c r="A829" s="1232" t="inlineStr">
        <is>
          <t>AC06</t>
        </is>
      </c>
      <c r="B829" s="1235" t="inlineStr">
        <is>
          <t>A06 - Consumption is positive and growing in every year</t>
        </is>
      </c>
      <c r="C829" s="1249">
        <f>IF('Audit Checks'!C19="PASS",1,IF('Audit Checks'!C19="WARN",0.5,0))</f>
        <v/>
      </c>
      <c r="D829" s="1236" t="inlineStr">
        <is>
          <t>PASS / WARN / FAIL</t>
        </is>
      </c>
      <c r="E829" s="1235" t="inlineStr">
        <is>
          <t>Live conditional test evaluated on every recalculation</t>
        </is>
      </c>
      <c r="F829" s="1235" t="inlineStr">
        <is>
          <t>{=IF(AND(MIN('Steel Demand Model'!D$116:J$116)&gt;0,SUMPRODUCT(--('Steel Demand Model'!D$115:J$115&lt;0))=0),"PASS","WARN")}</t>
        </is>
      </c>
      <c r="G829" s="1235" t="inlineStr">
        <is>
          <t>Computed from the model itself</t>
        </is>
      </c>
      <c r="H829" s="1235" t="inlineStr">
        <is>
          <t>Several checks are duplicated independently on 02b Model Calibration</t>
        </is>
      </c>
      <c r="I829" s="1235" t="inlineStr">
        <is>
          <t>None. A check is a test, not an assumption.</t>
        </is>
      </c>
      <c r="J829" s="1235" t="inlineStr">
        <is>
          <t>Indian consumption has contracted only once in twelve years (FY2021, -5.27%). A WARN flags a scenario assuming contraction, which needs justification.</t>
        </is>
      </c>
      <c r="K829" s="1235" t="inlineStr">
        <is>
          <t>Re-evaluates when the scenario is changed on 01 Control Panel</t>
        </is>
      </c>
      <c r="L829" s="1236" t="inlineStr">
        <is>
          <t>High</t>
        </is>
      </c>
      <c r="M829" s="1235" t="inlineStr">
        <is>
          <t>Steel Demand Model</t>
        </is>
      </c>
      <c r="N829" s="1235" t="inlineStr">
        <is>
          <t>Live</t>
        </is>
      </c>
      <c r="O829" s="1236" t="inlineStr">
        <is>
          <t>Live</t>
        </is>
      </c>
      <c r="P829" s="1235" t="inlineStr">
        <is>
          <t>Research block row 19. A WARN is a signal to read the number, not a defect.</t>
        </is>
      </c>
    </row>
    <row r="830" ht="46" customHeight="1" s="632">
      <c r="A830" s="1232" t="inlineStr">
        <is>
          <t>AC07</t>
        </is>
      </c>
      <c r="B830" s="1233" t="inlineStr">
        <is>
          <t>A07 - SUPPLY IDENTITY: production equals consumption plus net exports plus stock change</t>
        </is>
      </c>
      <c r="C830" s="1250">
        <f>IF('Audit Checks'!C20="PASS",1,IF('Audit Checks'!C20="WARN",0.5,0))</f>
        <v/>
      </c>
      <c r="D830" s="1234" t="inlineStr">
        <is>
          <t>PASS / WARN / FAIL</t>
        </is>
      </c>
      <c r="E830" s="1233" t="inlineStr">
        <is>
          <t>Live conditional test evaluated on every recalculation</t>
        </is>
      </c>
      <c r="F830" s="1233" t="inlineStr">
        <is>
          <t>{=IF(SUMPRODUCT(ABS('Steel Supply Model'!D$92:J$92-('Steel Supply Model'!D$89:J$89+'Steel Supply Model'!D$90:J$90+'Steel Supply Model'!D$91:J$91)))&lt;0.05,"PASS","FAIL")}</t>
        </is>
      </c>
      <c r="G830" s="1233" t="inlineStr">
        <is>
          <t>Computed from the model itself</t>
        </is>
      </c>
      <c r="H830" s="1233" t="inlineStr">
        <is>
          <t>Several checks are duplicated independently on 02b Model Calibration</t>
        </is>
      </c>
      <c r="I830" s="1233" t="inlineStr">
        <is>
          <t>None. A check is a test, not an assumption.</t>
        </is>
      </c>
      <c r="J830" s="1233" t="inlineStr">
        <is>
          <t>THE MOST IMPORTANT CHECK ON THE SHEET. This is the Joint Plant Committee's own identity. A failure means the demand and trade blocks have drifted apart and every downstream number is wrong.</t>
        </is>
      </c>
      <c r="K830" s="1233" t="inlineStr">
        <is>
          <t>Re-evaluates when the scenario is changed on 01 Control Panel</t>
        </is>
      </c>
      <c r="L830" s="1234" t="inlineStr">
        <is>
          <t>High</t>
        </is>
      </c>
      <c r="M830" s="1233" t="inlineStr">
        <is>
          <t>Steel Supply Model</t>
        </is>
      </c>
      <c r="N830" s="1233" t="inlineStr">
        <is>
          <t>Live</t>
        </is>
      </c>
      <c r="O830" s="1234" t="inlineStr">
        <is>
          <t>Live</t>
        </is>
      </c>
      <c r="P830" s="1233" t="inlineStr">
        <is>
          <t>Research block row 20. A WARN is a signal to read the number, not a defect.</t>
        </is>
      </c>
    </row>
    <row r="831" ht="46" customHeight="1" s="632">
      <c r="A831" s="1232" t="inlineStr">
        <is>
          <t>AC08</t>
        </is>
      </c>
      <c r="B831" s="1235" t="inlineStr">
        <is>
          <t>A08 - FY2026A supply identity reconciles to reported actuals</t>
        </is>
      </c>
      <c r="C831" s="1249">
        <f>IF('Audit Checks'!C21="PASS",1,IF('Audit Checks'!C21="WARN",0.5,0))</f>
        <v/>
      </c>
      <c r="D831" s="1236" t="inlineStr">
        <is>
          <t>PASS / WARN / FAIL</t>
        </is>
      </c>
      <c r="E831" s="1235" t="inlineStr">
        <is>
          <t>Live conditional test evaluated on every recalculation</t>
        </is>
      </c>
      <c r="F831" s="1235" t="inlineStr">
        <is>
          <t>'=IF(ABS(160.94-(163.74+0.078+-2.88))&lt;0.01,"PASS","FAIL")</t>
        </is>
      </c>
      <c r="G831" s="1235" t="inlineStr">
        <is>
          <t>Computed from the model itself</t>
        </is>
      </c>
      <c r="H831" s="1235" t="inlineStr">
        <is>
          <t>Several checks are duplicated independently on 02b Model Calibration</t>
        </is>
      </c>
      <c r="I831" s="1235" t="inlineStr">
        <is>
          <t>None. A check is a test, not an assumption.</t>
        </is>
      </c>
      <c r="J831" s="1235" t="inlineStr">
        <is>
          <t>163.74 + 0.078 - 2.88 = 160.94, which equals reported FY2026 finished steel production. Proves the base year is internally consistent before any forecasting begins.</t>
        </is>
      </c>
      <c r="K831" s="1235" t="inlineStr">
        <is>
          <t>Re-evaluates when the scenario is changed on 01 Control Panel</t>
        </is>
      </c>
      <c r="L831" s="1236" t="inlineStr">
        <is>
          <t>High</t>
        </is>
      </c>
      <c r="M831" s="1235" t="inlineStr">
        <is>
          <t>This sheet</t>
        </is>
      </c>
      <c r="N831" s="1235" t="inlineStr">
        <is>
          <t>Live</t>
        </is>
      </c>
      <c r="O831" s="1236" t="inlineStr">
        <is>
          <t>Live</t>
        </is>
      </c>
      <c r="P831" s="1235" t="inlineStr">
        <is>
          <t>Research block row 21. A WARN is a signal to read the number, not a defect.</t>
        </is>
      </c>
    </row>
    <row r="832" ht="46" customHeight="1" s="632">
      <c r="A832" s="1232" t="inlineStr">
        <is>
          <t>AC09</t>
        </is>
      </c>
      <c r="B832" s="1233" t="inlineStr">
        <is>
          <t>A09 - Crude steel production is at least finished steel production</t>
        </is>
      </c>
      <c r="C832" s="1250">
        <f>IF('Audit Checks'!C22="PASS",1,IF('Audit Checks'!C22="WARN",0.5,0))</f>
        <v/>
      </c>
      <c r="D832" s="1234" t="inlineStr">
        <is>
          <t>PASS / WARN / FAIL</t>
        </is>
      </c>
      <c r="E832" s="1233" t="inlineStr">
        <is>
          <t>Live conditional test evaluated on every recalculation</t>
        </is>
      </c>
      <c r="F832" s="1233" t="inlineStr">
        <is>
          <t>{=IF(SUMPRODUCT(--('Steel Supply Model'!D$99:J$99&lt;'Steel Supply Model'!D$101:J$101))=0,"PASS","FAIL")}</t>
        </is>
      </c>
      <c r="G832" s="1233" t="inlineStr">
        <is>
          <t>Computed from the model itself</t>
        </is>
      </c>
      <c r="H832" s="1233" t="inlineStr">
        <is>
          <t>Several checks are duplicated independently on 02b Model Calibration</t>
        </is>
      </c>
      <c r="I832" s="1233" t="inlineStr">
        <is>
          <t>None. A check is a test, not an assumption.</t>
        </is>
      </c>
      <c r="J832" s="1233" t="inlineStr">
        <is>
          <t>Yield loss means crude must exceed finished. A failure means the crude-to-finished ratio has been set below 1.0.</t>
        </is>
      </c>
      <c r="K832" s="1233" t="inlineStr">
        <is>
          <t>Re-evaluates when the scenario is changed on 01 Control Panel</t>
        </is>
      </c>
      <c r="L832" s="1234" t="inlineStr">
        <is>
          <t>High</t>
        </is>
      </c>
      <c r="M832" s="1233" t="inlineStr">
        <is>
          <t>Steel Supply Model</t>
        </is>
      </c>
      <c r="N832" s="1233" t="inlineStr">
        <is>
          <t>Live</t>
        </is>
      </c>
      <c r="O832" s="1234" t="inlineStr">
        <is>
          <t>Live</t>
        </is>
      </c>
      <c r="P832" s="1233" t="inlineStr">
        <is>
          <t>Research block row 22. A WARN is a signal to read the number, not a defect.</t>
        </is>
      </c>
    </row>
    <row r="833" ht="46" customHeight="1" s="632">
      <c r="A833" s="1232" t="inlineStr">
        <is>
          <t>AC10</t>
        </is>
      </c>
      <c r="B833" s="1235" t="inlineStr">
        <is>
          <t>A10 - MARGIN BRIDGE: realisation change plus cost change equals EBITDA/t change</t>
        </is>
      </c>
      <c r="C833" s="1249">
        <f>IF('Audit Checks'!C23="PASS",1,IF('Audit Checks'!C23="WARN",0.5,0))</f>
        <v/>
      </c>
      <c r="D833" s="1236" t="inlineStr">
        <is>
          <t>PASS / WARN / FAIL</t>
        </is>
      </c>
      <c r="E833" s="1235" t="inlineStr">
        <is>
          <t>Live conditional test evaluated on every recalculation</t>
        </is>
      </c>
      <c r="F833" s="1235" t="inlineStr">
        <is>
          <t>{=IF(SUMPRODUCT(ABS('Margin Analysis'!D$95:J$95-('Margin Analysis'!D$90:J$90-10733)))&lt;5,"PASS","FAIL")}</t>
        </is>
      </c>
      <c r="G833" s="1235" t="inlineStr">
        <is>
          <t>Computed from the model itself</t>
        </is>
      </c>
      <c r="H833" s="1235" t="inlineStr">
        <is>
          <t>Several checks are duplicated independently on 02b Model Calibration</t>
        </is>
      </c>
      <c r="I833" s="1235" t="inlineStr">
        <is>
          <t>None. A check is a test, not an assumption.</t>
        </is>
      </c>
      <c r="J833" s="1235" t="inlineStr">
        <is>
          <t>Proves the margin decomposition on 14 is arithmetically complete - no unexplained residual between the price and cost effects.</t>
        </is>
      </c>
      <c r="K833" s="1235" t="inlineStr">
        <is>
          <t>Re-evaluates when the scenario is changed on 01 Control Panel</t>
        </is>
      </c>
      <c r="L833" s="1236" t="inlineStr">
        <is>
          <t>High</t>
        </is>
      </c>
      <c r="M833" s="1235" t="inlineStr">
        <is>
          <t>Margin Analysis</t>
        </is>
      </c>
      <c r="N833" s="1235" t="inlineStr">
        <is>
          <t>Live</t>
        </is>
      </c>
      <c r="O833" s="1236" t="inlineStr">
        <is>
          <t>Live</t>
        </is>
      </c>
      <c r="P833" s="1235" t="inlineStr">
        <is>
          <t>Research block row 23. A WARN is a signal to read the number, not a defect.</t>
        </is>
      </c>
    </row>
    <row r="834" ht="46" customHeight="1" s="632">
      <c r="A834" s="1232" t="inlineStr">
        <is>
          <t>AC11</t>
        </is>
      </c>
      <c r="B834" s="1233" t="inlineStr">
        <is>
          <t>A11 - EBITDA equals production times EBITDA per tonne divided by 10</t>
        </is>
      </c>
      <c r="C834" s="1250">
        <f>IF('Audit Checks'!C24="PASS",1,IF('Audit Checks'!C24="WARN",0.5,0))</f>
        <v/>
      </c>
      <c r="D834" s="1234" t="inlineStr">
        <is>
          <t>PASS / WARN / FAIL</t>
        </is>
      </c>
      <c r="E834" s="1233" t="inlineStr">
        <is>
          <t>Live conditional test evaluated on every recalculation</t>
        </is>
      </c>
      <c r="F834" s="1233" t="inlineStr">
        <is>
          <t>{=IF(SUMPRODUCT(ABS('EBITDA Model'!D$103:J$103-'EBITDA Model'!D$102:J$102*'EBITDA Model'!D$101:J$101/10))&lt;1,"PASS","FAIL")}</t>
        </is>
      </c>
      <c r="G834" s="1233" t="inlineStr">
        <is>
          <t>Computed from the model itself</t>
        </is>
      </c>
      <c r="H834" s="1233" t="inlineStr">
        <is>
          <t>Several checks are duplicated independently on 02b Model Calibration</t>
        </is>
      </c>
      <c r="I834" s="1233" t="inlineStr">
        <is>
          <t>None. A check is a test, not an assumption.</t>
        </is>
      </c>
      <c r="J834" s="1233" t="inlineStr">
        <is>
          <t>Unit-consistency check on the Rs/t to Rs crore bridge. This is where factor-of-ten errors hide.</t>
        </is>
      </c>
      <c r="K834" s="1233" t="inlineStr">
        <is>
          <t>Re-evaluates when the scenario is changed on 01 Control Panel</t>
        </is>
      </c>
      <c r="L834" s="1234" t="inlineStr">
        <is>
          <t>High</t>
        </is>
      </c>
      <c r="M834" s="1233" t="inlineStr">
        <is>
          <t>EBITDA Model</t>
        </is>
      </c>
      <c r="N834" s="1233" t="inlineStr">
        <is>
          <t>Live</t>
        </is>
      </c>
      <c r="O834" s="1234" t="inlineStr">
        <is>
          <t>Live</t>
        </is>
      </c>
      <c r="P834" s="1233" t="inlineStr">
        <is>
          <t>Research block row 24. A WARN is a signal to read the number, not a defect.</t>
        </is>
      </c>
    </row>
    <row r="835" ht="46" customHeight="1" s="632">
      <c r="A835" s="1232" t="inlineStr">
        <is>
          <t>AC12</t>
        </is>
      </c>
      <c r="B835" s="1235" t="inlineStr">
        <is>
          <t>A12 - Revenue equals production times realisation divided by 10</t>
        </is>
      </c>
      <c r="C835" s="1249">
        <f>IF('Audit Checks'!C25="PASS",1,IF('Audit Checks'!C25="WARN",0.5,0))</f>
        <v/>
      </c>
      <c r="D835" s="1236" t="inlineStr">
        <is>
          <t>PASS / WARN / FAIL</t>
        </is>
      </c>
      <c r="E835" s="1235" t="inlineStr">
        <is>
          <t>Live conditional test evaluated on every recalculation</t>
        </is>
      </c>
      <c r="F835" s="1235" t="inlineStr">
        <is>
          <t>{=IF(SUMPRODUCT(ABS('Revenue Forecast'!D$96:J$96-'Revenue Forecast'!D$94:J$94*'Revenue Forecast'!D$95:J$95/10))&lt;1,"PASS","FAIL")}</t>
        </is>
      </c>
      <c r="G835" s="1235" t="inlineStr">
        <is>
          <t>Computed from the model itself</t>
        </is>
      </c>
      <c r="H835" s="1235" t="inlineStr">
        <is>
          <t>Several checks are duplicated independently on 02b Model Calibration</t>
        </is>
      </c>
      <c r="I835" s="1235" t="inlineStr">
        <is>
          <t>None. A check is a test, not an assumption.</t>
        </is>
      </c>
      <c r="J835" s="1235" t="inlineStr">
        <is>
          <t>Same unit bridge on the revenue line.</t>
        </is>
      </c>
      <c r="K835" s="1235" t="inlineStr">
        <is>
          <t>Re-evaluates when the scenario is changed on 01 Control Panel</t>
        </is>
      </c>
      <c r="L835" s="1236" t="inlineStr">
        <is>
          <t>High</t>
        </is>
      </c>
      <c r="M835" s="1235" t="inlineStr">
        <is>
          <t>Revenue Forecast</t>
        </is>
      </c>
      <c r="N835" s="1235" t="inlineStr">
        <is>
          <t>Live</t>
        </is>
      </c>
      <c r="O835" s="1236" t="inlineStr">
        <is>
          <t>Live</t>
        </is>
      </c>
      <c r="P835" s="1235" t="inlineStr">
        <is>
          <t>Research block row 25. A WARN is a signal to read the number, not a defect.</t>
        </is>
      </c>
    </row>
    <row r="836" ht="46" customHeight="1" s="632">
      <c r="A836" s="1232" t="inlineStr">
        <is>
          <t>AC13</t>
        </is>
      </c>
      <c r="B836" s="1233" t="inlineStr">
        <is>
          <t>A13 - EBITDA per tonne equals realisation less cash cost</t>
        </is>
      </c>
      <c r="C836" s="1250">
        <f>IF('Audit Checks'!C26="PASS",1,IF('Audit Checks'!C26="WARN",0.5,0))</f>
        <v/>
      </c>
      <c r="D836" s="1234" t="inlineStr">
        <is>
          <t>PASS / WARN / FAIL</t>
        </is>
      </c>
      <c r="E836" s="1233" t="inlineStr">
        <is>
          <t>Live conditional test evaluated on every recalculation</t>
        </is>
      </c>
      <c r="F836" s="1233" t="inlineStr">
        <is>
          <t>{=IF(SUMPRODUCT(ABS('EBITDA Model'!D$101:J$101-('EBITDA Model'!D$99:J$99-'EBITDA Model'!D$100:J$100)))&lt;1,"PASS","FAIL")}</t>
        </is>
      </c>
      <c r="G836" s="1233" t="inlineStr">
        <is>
          <t>Computed from the model itself</t>
        </is>
      </c>
      <c r="H836" s="1233" t="inlineStr">
        <is>
          <t>Several checks are duplicated independently on 02b Model Calibration</t>
        </is>
      </c>
      <c r="I836" s="1233" t="inlineStr">
        <is>
          <t>None. A check is a test, not an assumption.</t>
        </is>
      </c>
      <c r="J836" s="1233" t="inlineStr">
        <is>
          <t>Confirms EBITDA is built as a spread, not as a margin applied to revenue.</t>
        </is>
      </c>
      <c r="K836" s="1233" t="inlineStr">
        <is>
          <t>Re-evaluates when the scenario is changed on 01 Control Panel</t>
        </is>
      </c>
      <c r="L836" s="1234" t="inlineStr">
        <is>
          <t>High</t>
        </is>
      </c>
      <c r="M836" s="1233" t="inlineStr">
        <is>
          <t>EBITDA Model</t>
        </is>
      </c>
      <c r="N836" s="1233" t="inlineStr">
        <is>
          <t>Live</t>
        </is>
      </c>
      <c r="O836" s="1234" t="inlineStr">
        <is>
          <t>Live</t>
        </is>
      </c>
      <c r="P836" s="1233" t="inlineStr">
        <is>
          <t>Research block row 26. A WARN is a signal to read the number, not a defect.</t>
        </is>
      </c>
    </row>
    <row r="837" ht="46" customHeight="1" s="632">
      <c r="A837" s="1232" t="inlineStr">
        <is>
          <t>AC14</t>
        </is>
      </c>
      <c r="B837" s="1235" t="inlineStr">
        <is>
          <t>A14 - Industry EBITDA margin lies within the observed envelope of -7% to +26%</t>
        </is>
      </c>
      <c r="C837" s="1249">
        <f>IF('Audit Checks'!C27="PASS",1,IF('Audit Checks'!C27="WARN",0.5,0))</f>
        <v/>
      </c>
      <c r="D837" s="1236" t="inlineStr">
        <is>
          <t>PASS / WARN / FAIL</t>
        </is>
      </c>
      <c r="E837" s="1235" t="inlineStr">
        <is>
          <t>Live conditional test evaluated on every recalculation</t>
        </is>
      </c>
      <c r="F837" s="1235" t="inlineStr">
        <is>
          <t>'=IF(AND(MIN('Margin Analysis'!D$91:J$91)&gt;=-0.07,MAX('Margin Analysis'!D$91:J$91)&lt;=0.26),"PASS","WARN")</t>
        </is>
      </c>
      <c r="G837" s="1235" t="inlineStr">
        <is>
          <t>Computed from the model itself</t>
        </is>
      </c>
      <c r="H837" s="1235" t="inlineStr">
        <is>
          <t>Several checks are duplicated independently on 02b Model Calibration</t>
        </is>
      </c>
      <c r="I837" s="1235" t="inlineStr">
        <is>
          <t>None. A check is a test, not an assumption.</t>
        </is>
      </c>
      <c r="J837" s="1235" t="inlineStr">
        <is>
          <t>The envelope is the FY2022 observed peak and the SAIL FY2016 worst observation. A WARN is expected in the Stress Case, which deliberately breaches the floor at -9.2%. Outside the envelope is not automatically wrong, but it must be justified.</t>
        </is>
      </c>
      <c r="K837" s="1235" t="inlineStr">
        <is>
          <t>Re-evaluates when the scenario is changed on 01 Control Panel</t>
        </is>
      </c>
      <c r="L837" s="1236" t="inlineStr">
        <is>
          <t>High</t>
        </is>
      </c>
      <c r="M837" s="1235" t="inlineStr">
        <is>
          <t>Margin Analysis</t>
        </is>
      </c>
      <c r="N837" s="1235" t="inlineStr">
        <is>
          <t>Live</t>
        </is>
      </c>
      <c r="O837" s="1236" t="inlineStr">
        <is>
          <t>Live</t>
        </is>
      </c>
      <c r="P837" s="1235" t="inlineStr">
        <is>
          <t>Research block row 27. A WARN is a signal to read the number, not a defect.</t>
        </is>
      </c>
    </row>
    <row r="838" ht="46" customHeight="1" s="632">
      <c r="A838" s="1232" t="inlineStr">
        <is>
          <t>AC15</t>
        </is>
      </c>
      <c r="B838" s="1233" t="inlineStr">
        <is>
          <t>A15 - Cash cost is positive in every year</t>
        </is>
      </c>
      <c r="C838" s="1250">
        <f>IF('Audit Checks'!C28="PASS",1,IF('Audit Checks'!C28="WARN",0.5,0))</f>
        <v/>
      </c>
      <c r="D838" s="1234" t="inlineStr">
        <is>
          <t>PASS / WARN / FAIL</t>
        </is>
      </c>
      <c r="E838" s="1233" t="inlineStr">
        <is>
          <t>Live conditional test evaluated on every recalculation</t>
        </is>
      </c>
      <c r="F838" s="1233" t="inlineStr">
        <is>
          <t>'=IF(MIN('Cost Curve'!D$80:J$80)&gt;0,"PASS","FAIL")</t>
        </is>
      </c>
      <c r="G838" s="1233" t="inlineStr">
        <is>
          <t>Computed from the model itself</t>
        </is>
      </c>
      <c r="H838" s="1233" t="inlineStr">
        <is>
          <t>Several checks are duplicated independently on 02b Model Calibration</t>
        </is>
      </c>
      <c r="I838" s="1233" t="inlineStr">
        <is>
          <t>None. A check is a test, not an assumption.</t>
        </is>
      </c>
      <c r="J838" s="1233" t="inlineStr">
        <is>
          <t>A non-positive cash cost is impossible.</t>
        </is>
      </c>
      <c r="K838" s="1233" t="inlineStr">
        <is>
          <t>Re-evaluates when the scenario is changed on 01 Control Panel</t>
        </is>
      </c>
      <c r="L838" s="1234" t="inlineStr">
        <is>
          <t>High</t>
        </is>
      </c>
      <c r="M838" s="1233" t="inlineStr">
        <is>
          <t>Cost Curve</t>
        </is>
      </c>
      <c r="N838" s="1233" t="inlineStr">
        <is>
          <t>Live</t>
        </is>
      </c>
      <c r="O838" s="1234" t="inlineStr">
        <is>
          <t>Live</t>
        </is>
      </c>
      <c r="P838" s="1233" t="inlineStr">
        <is>
          <t>Research block row 28. A WARN is a signal to read the number, not a defect.</t>
        </is>
      </c>
    </row>
    <row r="839" ht="46" customHeight="1" s="632">
      <c r="A839" s="1232" t="inlineStr">
        <is>
          <t>AC16</t>
        </is>
      </c>
      <c r="B839" s="1235" t="inlineStr">
        <is>
          <t>A16 - Realisation is positive in every year</t>
        </is>
      </c>
      <c r="C839" s="1249">
        <f>IF('Audit Checks'!C29="PASS",1,IF('Audit Checks'!C29="WARN",0.5,0))</f>
        <v/>
      </c>
      <c r="D839" s="1236" t="inlineStr">
        <is>
          <t>PASS / WARN / FAIL</t>
        </is>
      </c>
      <c r="E839" s="1235" t="inlineStr">
        <is>
          <t>Live conditional test evaluated on every recalculation</t>
        </is>
      </c>
      <c r="F839" s="1235" t="inlineStr">
        <is>
          <t>'=IF(MIN('Steel Price Forecast'!D$103:J$103)&gt;0,"PASS","FAIL")</t>
        </is>
      </c>
      <c r="G839" s="1235" t="inlineStr">
        <is>
          <t>Computed from the model itself</t>
        </is>
      </c>
      <c r="H839" s="1235" t="inlineStr">
        <is>
          <t>Several checks are duplicated independently on 02b Model Calibration</t>
        </is>
      </c>
      <c r="I839" s="1235" t="inlineStr">
        <is>
          <t>None. A check is a test, not an assumption.</t>
        </is>
      </c>
      <c r="J839" s="1235" t="inlineStr">
        <is>
          <t>Guards against a price adjustment factor driving realisation to or below zero.</t>
        </is>
      </c>
      <c r="K839" s="1235" t="inlineStr">
        <is>
          <t>Re-evaluates when the scenario is changed on 01 Control Panel</t>
        </is>
      </c>
      <c r="L839" s="1236" t="inlineStr">
        <is>
          <t>High</t>
        </is>
      </c>
      <c r="M839" s="1235" t="inlineStr">
        <is>
          <t>Steel Price Forecast</t>
        </is>
      </c>
      <c r="N839" s="1235" t="inlineStr">
        <is>
          <t>Live</t>
        </is>
      </c>
      <c r="O839" s="1236" t="inlineStr">
        <is>
          <t>Live</t>
        </is>
      </c>
      <c r="P839" s="1235" t="inlineStr">
        <is>
          <t>Research block row 29. A WARN is a signal to read the number, not a defect.</t>
        </is>
      </c>
    </row>
    <row r="840" ht="46" customHeight="1" s="632">
      <c r="A840" s="1232" t="inlineStr">
        <is>
          <t>AC17</t>
        </is>
      </c>
      <c r="B840" s="1233" t="inlineStr">
        <is>
          <t>A17 - Price adjustment factor stays within a plausible 0.85x to 1.15x band</t>
        </is>
      </c>
      <c r="C840" s="1250">
        <f>IF('Audit Checks'!C30="PASS",1,IF('Audit Checks'!C30="WARN",0.5,0))</f>
        <v/>
      </c>
      <c r="D840" s="1234" t="inlineStr">
        <is>
          <t>PASS / WARN / FAIL</t>
        </is>
      </c>
      <c r="E840" s="1233" t="inlineStr">
        <is>
          <t>Live conditional test evaluated on every recalculation</t>
        </is>
      </c>
      <c r="F840" s="1233" t="inlineStr">
        <is>
          <t>'=IF(AND(MIN('Steel Price Forecast'!D$102:J$102)&gt;=0.85,MAX('Steel Price Forecast'!D$102:J$102)&lt;=1.15),"PASS","WARN")</t>
        </is>
      </c>
      <c r="G840" s="1233" t="inlineStr">
        <is>
          <t>Computed from the model itself</t>
        </is>
      </c>
      <c r="H840" s="1233" t="inlineStr">
        <is>
          <t>Several checks are duplicated independently on 02b Model Calibration</t>
        </is>
      </c>
      <c r="I840" s="1233" t="inlineStr">
        <is>
          <t>None. A check is a test, not an assumption.</t>
        </is>
      </c>
      <c r="J840" s="1233" t="inlineStr">
        <is>
          <t>The utilisation feedback should modulate price, not dominate it. A WARN means the elasticity D23 or the utilisation path is extreme.</t>
        </is>
      </c>
      <c r="K840" s="1233" t="inlineStr">
        <is>
          <t>Re-evaluates when the scenario is changed on 01 Control Panel</t>
        </is>
      </c>
      <c r="L840" s="1234" t="inlineStr">
        <is>
          <t>High</t>
        </is>
      </c>
      <c r="M840" s="1233" t="inlineStr">
        <is>
          <t>Steel Price Forecast</t>
        </is>
      </c>
      <c r="N840" s="1233" t="inlineStr">
        <is>
          <t>Live</t>
        </is>
      </c>
      <c r="O840" s="1234" t="inlineStr">
        <is>
          <t>Live</t>
        </is>
      </c>
      <c r="P840" s="1233" t="inlineStr">
        <is>
          <t>Research block row 30. A WARN is a signal to read the number, not a defect.</t>
        </is>
      </c>
    </row>
    <row r="841" ht="46" customHeight="1" s="632">
      <c r="A841" s="1232" t="inlineStr">
        <is>
          <t>AC18</t>
        </is>
      </c>
      <c r="B841" s="1235" t="inlineStr">
        <is>
          <t>A18 - Cash tax is never negative</t>
        </is>
      </c>
      <c r="C841" s="1249">
        <f>IF('Audit Checks'!C31="PASS",1,IF('Audit Checks'!C31="WARN",0.5,0))</f>
        <v/>
      </c>
      <c r="D841" s="1236" t="inlineStr">
        <is>
          <t>PASS / WARN / FAIL</t>
        </is>
      </c>
      <c r="E841" s="1235" t="inlineStr">
        <is>
          <t>Live conditional test evaluated on every recalculation</t>
        </is>
      </c>
      <c r="F841" s="1235" t="inlineStr">
        <is>
          <t>'=IF(MIN('Cash Flow Model'!D$102:J$102)&gt;=0,"PASS","FAIL")</t>
        </is>
      </c>
      <c r="G841" s="1235" t="inlineStr">
        <is>
          <t>Computed from the model itself</t>
        </is>
      </c>
      <c r="H841" s="1235" t="inlineStr">
        <is>
          <t>Several checks are duplicated independently on 02b Model Calibration</t>
        </is>
      </c>
      <c r="I841" s="1235" t="inlineStr">
        <is>
          <t>None. A check is a test, not an assumption.</t>
        </is>
      </c>
      <c r="J841" s="1235" t="inlineStr">
        <is>
          <t>Tax is floored at zero on negative EBIT. No loss carry-forward is modelled, which is conservative and disclosed.</t>
        </is>
      </c>
      <c r="K841" s="1235" t="inlineStr">
        <is>
          <t>Re-evaluates when the scenario is changed on 01 Control Panel</t>
        </is>
      </c>
      <c r="L841" s="1236" t="inlineStr">
        <is>
          <t>High</t>
        </is>
      </c>
      <c r="M841" s="1235" t="inlineStr">
        <is>
          <t>Cash Flow Model</t>
        </is>
      </c>
      <c r="N841" s="1235" t="inlineStr">
        <is>
          <t>Live</t>
        </is>
      </c>
      <c r="O841" s="1236" t="inlineStr">
        <is>
          <t>Live</t>
        </is>
      </c>
      <c r="P841" s="1235" t="inlineStr">
        <is>
          <t>Research block row 31. A WARN is a signal to read the number, not a defect.</t>
        </is>
      </c>
    </row>
    <row r="842" ht="46" customHeight="1" s="632">
      <c r="A842" s="1232" t="inlineStr">
        <is>
          <t>AC19</t>
        </is>
      </c>
      <c r="B842" s="1233" t="inlineStr">
        <is>
          <t>A19 - Net working capital is positive in every year</t>
        </is>
      </c>
      <c r="C842" s="1250">
        <f>IF('Audit Checks'!C32="PASS",1,IF('Audit Checks'!C32="WARN",0.5,0))</f>
        <v/>
      </c>
      <c r="D842" s="1234" t="inlineStr">
        <is>
          <t>PASS / WARN / FAIL</t>
        </is>
      </c>
      <c r="E842" s="1233" t="inlineStr">
        <is>
          <t>Live conditional test evaluated on every recalculation</t>
        </is>
      </c>
      <c r="F842" s="1233" t="inlineStr">
        <is>
          <t>'=IF(MIN('Working Capital Model'!D$72:J$72)&gt;0,"PASS","FAIL")</t>
        </is>
      </c>
      <c r="G842" s="1233" t="inlineStr">
        <is>
          <t>Computed from the model itself</t>
        </is>
      </c>
      <c r="H842" s="1233" t="inlineStr">
        <is>
          <t>Several checks are duplicated independently on 02b Model Calibration</t>
        </is>
      </c>
      <c r="I842" s="1233" t="inlineStr">
        <is>
          <t>None. A check is a test, not an assumption.</t>
        </is>
      </c>
      <c r="J842" s="1233" t="inlineStr">
        <is>
          <t>Steel producers carry positive working capital. Negative would indicate a sign error in the days driver.</t>
        </is>
      </c>
      <c r="K842" s="1233" t="inlineStr">
        <is>
          <t>Re-evaluates when the scenario is changed on 01 Control Panel</t>
        </is>
      </c>
      <c r="L842" s="1234" t="inlineStr">
        <is>
          <t>High</t>
        </is>
      </c>
      <c r="M842" s="1233" t="inlineStr">
        <is>
          <t>Working Capital Model</t>
        </is>
      </c>
      <c r="N842" s="1233" t="inlineStr">
        <is>
          <t>Live</t>
        </is>
      </c>
      <c r="O842" s="1234" t="inlineStr">
        <is>
          <t>Live</t>
        </is>
      </c>
      <c r="P842" s="1233" t="inlineStr">
        <is>
          <t>Research block row 32. A WARN is a signal to read the number, not a defect.</t>
        </is>
      </c>
    </row>
    <row r="843" ht="46" customHeight="1" s="632">
      <c r="A843" s="1232" t="inlineStr">
        <is>
          <t>AC20</t>
        </is>
      </c>
      <c r="B843" s="1235" t="inlineStr">
        <is>
          <t>A20 - WACC used downstream matches the WACC build-up on 02 Section D</t>
        </is>
      </c>
      <c r="C843" s="1249">
        <f>IF('Audit Checks'!C33="PASS",1,IF('Audit Checks'!C33="WARN",0.5,0))</f>
        <v/>
      </c>
      <c r="D843" s="1236" t="inlineStr">
        <is>
          <t>PASS / WARN / FAIL</t>
        </is>
      </c>
      <c r="E843" s="1235" t="inlineStr">
        <is>
          <t>Live conditional test evaluated on every recalculation</t>
        </is>
      </c>
      <c r="F843" s="1235" t="inlineStr">
        <is>
          <t>'=IF(ABS('Model Assumptions'!E$27-'Model Assumptions'!$D$168)&lt;0.005,"PASS","WARN")</t>
        </is>
      </c>
      <c r="G843" s="1235" t="inlineStr">
        <is>
          <t>Computed from the model itself</t>
        </is>
      </c>
      <c r="H843" s="1235" t="inlineStr">
        <is>
          <t>Several checks are duplicated independently on 02b Model Calibration</t>
        </is>
      </c>
      <c r="I843" s="1235" t="inlineStr">
        <is>
          <t>None. A check is a test, not an assumption.</t>
        </is>
      </c>
      <c r="J843" s="1235" t="inlineStr">
        <is>
          <t>Driver D20 is what the model discounts at; Section D is the transparent build-up. If they diverge, one of them has been edited without the other - reconcile before using any valuation output.</t>
        </is>
      </c>
      <c r="K843" s="1235" t="inlineStr">
        <is>
          <t>Re-evaluates when the scenario is changed on 01 Control Panel</t>
        </is>
      </c>
      <c r="L843" s="1236" t="inlineStr">
        <is>
          <t>High</t>
        </is>
      </c>
      <c r="M843" s="1235" t="inlineStr">
        <is>
          <t>Model Assumptions</t>
        </is>
      </c>
      <c r="N843" s="1235" t="inlineStr">
        <is>
          <t>Live</t>
        </is>
      </c>
      <c r="O843" s="1236" t="inlineStr">
        <is>
          <t>Live</t>
        </is>
      </c>
      <c r="P843" s="1235" t="inlineStr">
        <is>
          <t>Research block row 33. A WARN is a signal to read the number, not a defect.</t>
        </is>
      </c>
    </row>
    <row r="844" ht="46" customHeight="1" s="632">
      <c r="A844" s="1232" t="inlineStr">
        <is>
          <t>AC21</t>
        </is>
      </c>
      <c r="B844" s="1233" t="inlineStr">
        <is>
          <t>A21 - Terminal value is less than 75% of enterprise value</t>
        </is>
      </c>
      <c r="C844" s="1250">
        <f>IF('Audit Checks'!C34="PASS",1,IF('Audit Checks'!C34="WARN",0.5,0))</f>
        <v/>
      </c>
      <c r="D844" s="1234" t="inlineStr">
        <is>
          <t>PASS / WARN / FAIL</t>
        </is>
      </c>
      <c r="E844" s="1233" t="inlineStr">
        <is>
          <t>Live conditional test evaluated on every recalculation</t>
        </is>
      </c>
      <c r="F844" s="1233" t="inlineStr">
        <is>
          <t>'=IF(IFERROR('Comparable Valuation'!$D$139,0)&lt;0.75,"PASS","WARN")</t>
        </is>
      </c>
      <c r="G844" s="1233" t="inlineStr">
        <is>
          <t>Computed from the model itself</t>
        </is>
      </c>
      <c r="H844" s="1233" t="inlineStr">
        <is>
          <t>Several checks are duplicated independently on 02b Model Calibration</t>
        </is>
      </c>
      <c r="I844" s="1233" t="inlineStr">
        <is>
          <t>None. A check is a test, not an assumption.</t>
        </is>
      </c>
      <c r="J844" s="1233" t="inlineStr">
        <is>
          <t>Above 75% the valuation is essentially an assertion about the exit multiple - which is UNSOURCED - rather than a forecast. Shorten the horizon or re-base the multiple.</t>
        </is>
      </c>
      <c r="K844" s="1233" t="inlineStr">
        <is>
          <t>Re-evaluates when the scenario is changed on 01 Control Panel</t>
        </is>
      </c>
      <c r="L844" s="1234" t="inlineStr">
        <is>
          <t>High</t>
        </is>
      </c>
      <c r="M844" s="1233" t="inlineStr">
        <is>
          <t>Comparable Valuation</t>
        </is>
      </c>
      <c r="N844" s="1233" t="inlineStr">
        <is>
          <t>Live</t>
        </is>
      </c>
      <c r="O844" s="1234" t="inlineStr">
        <is>
          <t>Live</t>
        </is>
      </c>
      <c r="P844" s="1233" t="inlineStr">
        <is>
          <t>Research block row 34. A WARN is a signal to read the number, not a defect.</t>
        </is>
      </c>
    </row>
    <row r="845" ht="46" customHeight="1" s="632">
      <c r="A845" s="1232" t="inlineStr">
        <is>
          <t>AC22</t>
        </is>
      </c>
      <c r="B845" s="1235" t="inlineStr">
        <is>
          <t>A22 - Discount factors are strictly decreasing</t>
        </is>
      </c>
      <c r="C845" s="1249">
        <f>IF('Audit Checks'!C35="PASS",1,IF('Audit Checks'!C35="WARN",0.5,0))</f>
        <v/>
      </c>
      <c r="D845" s="1236" t="inlineStr">
        <is>
          <t>PASS / WARN / FAIL</t>
        </is>
      </c>
      <c r="E845" s="1235" t="inlineStr">
        <is>
          <t>Live conditional test evaluated on every recalculation</t>
        </is>
      </c>
      <c r="F845" s="1235" t="inlineStr">
        <is>
          <t>{=IF(SUMPRODUCT(--('Comparable Valuation'!D$130:I$130&gt;'Comparable Valuation'!E$130:J$130))=6,"PASS","FAIL")}</t>
        </is>
      </c>
      <c r="G845" s="1235" t="inlineStr">
        <is>
          <t>Computed from the model itself</t>
        </is>
      </c>
      <c r="H845" s="1235" t="inlineStr">
        <is>
          <t>Several checks are duplicated independently on 02b Model Calibration</t>
        </is>
      </c>
      <c r="I845" s="1235" t="inlineStr">
        <is>
          <t>None. A check is a test, not an assumption.</t>
        </is>
      </c>
      <c r="J845" s="1235" t="inlineStr">
        <is>
          <t>Confirms the mid-year discounting convention is applied consistently.</t>
        </is>
      </c>
      <c r="K845" s="1235" t="inlineStr">
        <is>
          <t>Re-evaluates when the scenario is changed on 01 Control Panel</t>
        </is>
      </c>
      <c r="L845" s="1236" t="inlineStr">
        <is>
          <t>High</t>
        </is>
      </c>
      <c r="M845" s="1235" t="inlineStr">
        <is>
          <t>Comparable Valuation</t>
        </is>
      </c>
      <c r="N845" s="1235" t="inlineStr">
        <is>
          <t>Live</t>
        </is>
      </c>
      <c r="O845" s="1236" t="inlineStr">
        <is>
          <t>Live</t>
        </is>
      </c>
      <c r="P845" s="1235" t="inlineStr">
        <is>
          <t>Research block row 35. A WARN is a signal to read the number, not a defect.</t>
        </is>
      </c>
    </row>
    <row r="846" ht="46" customHeight="1" s="632">
      <c r="A846" s="1232" t="inlineStr">
        <is>
          <t>AC23</t>
        </is>
      </c>
      <c r="B846" s="1233" t="inlineStr">
        <is>
          <t>A23 - Imports and exports are both non-negative</t>
        </is>
      </c>
      <c r="C846" s="1250">
        <f>IF('Audit Checks'!C36="PASS",1,IF('Audit Checks'!C36="WARN",0.5,0))</f>
        <v/>
      </c>
      <c r="D846" s="1234" t="inlineStr">
        <is>
          <t>PASS / WARN / FAIL</t>
        </is>
      </c>
      <c r="E846" s="1233" t="inlineStr">
        <is>
          <t>Live conditional test evaluated on every recalculation</t>
        </is>
      </c>
      <c r="F846" s="1233" t="inlineStr">
        <is>
          <t>'=IF(AND(MIN('Trade Model'!D$76:J$76)&gt;=0,MIN('Trade Model'!D$78:J$78)&gt;=0),"PASS","FAIL")</t>
        </is>
      </c>
      <c r="G846" s="1233" t="inlineStr">
        <is>
          <t>Computed from the model itself</t>
        </is>
      </c>
      <c r="H846" s="1233" t="inlineStr">
        <is>
          <t>Several checks are duplicated independently on 02b Model Calibration</t>
        </is>
      </c>
      <c r="I846" s="1233" t="inlineStr">
        <is>
          <t>None. A check is a test, not an assumption.</t>
        </is>
      </c>
      <c r="J846" s="1233" t="inlineStr">
        <is>
          <t>A negative export volume would mean the net export driver has overwhelmed the import driver - the two must be set coherently.</t>
        </is>
      </c>
      <c r="K846" s="1233" t="inlineStr">
        <is>
          <t>Re-evaluates when the scenario is changed on 01 Control Panel</t>
        </is>
      </c>
      <c r="L846" s="1234" t="inlineStr">
        <is>
          <t>High</t>
        </is>
      </c>
      <c r="M846" s="1233" t="inlineStr">
        <is>
          <t>Trade Model</t>
        </is>
      </c>
      <c r="N846" s="1233" t="inlineStr">
        <is>
          <t>Live</t>
        </is>
      </c>
      <c r="O846" s="1234" t="inlineStr">
        <is>
          <t>Live</t>
        </is>
      </c>
      <c r="P846" s="1233" t="inlineStr">
        <is>
          <t>Research block row 36. A WARN is a signal to read the number, not a defect.</t>
        </is>
      </c>
    </row>
    <row r="847" ht="46" customHeight="1" s="632">
      <c r="A847" s="1232" t="inlineStr">
        <is>
          <t>AC24</t>
        </is>
      </c>
      <c r="B847" s="1235" t="inlineStr">
        <is>
          <t>A24 - Trade block reconciles to the supply balance</t>
        </is>
      </c>
      <c r="C847" s="1249">
        <f>IF('Audit Checks'!C37="PASS",1,IF('Audit Checks'!C37="WARN",0.5,0))</f>
        <v/>
      </c>
      <c r="D847" s="1236" t="inlineStr">
        <is>
          <t>PASS / WARN / FAIL</t>
        </is>
      </c>
      <c r="E847" s="1235" t="inlineStr">
        <is>
          <t>Live conditional test evaluated on every recalculation</t>
        </is>
      </c>
      <c r="F847" s="1235" t="inlineStr">
        <is>
          <t>{=IF(SUMPRODUCT(ABS(('Trade Model'!D$78:J$78-'Trade Model'!D$74:J$74)-'Trade Model'!D$77:J$77))&lt;0.05,"PASS","FAIL")}</t>
        </is>
      </c>
      <c r="G847" s="1235" t="inlineStr">
        <is>
          <t>Computed from the model itself</t>
        </is>
      </c>
      <c r="H847" s="1235" t="inlineStr">
        <is>
          <t>Several checks are duplicated independently on 02b Model Calibration</t>
        </is>
      </c>
      <c r="I847" s="1235" t="inlineStr">
        <is>
          <t>None. A check is a test, not an assumption.</t>
        </is>
      </c>
      <c r="J847" s="1235" t="inlineStr">
        <is>
          <t>Exports less the import driver must equal net exports by construction. Proves 19 has not drifted from 05.</t>
        </is>
      </c>
      <c r="K847" s="1235" t="inlineStr">
        <is>
          <t>Re-evaluates when the scenario is changed on 01 Control Panel</t>
        </is>
      </c>
      <c r="L847" s="1236" t="inlineStr">
        <is>
          <t>High</t>
        </is>
      </c>
      <c r="M847" s="1235" t="inlineStr">
        <is>
          <t>Trade Model</t>
        </is>
      </c>
      <c r="N847" s="1235" t="inlineStr">
        <is>
          <t>Live</t>
        </is>
      </c>
      <c r="O847" s="1236" t="inlineStr">
        <is>
          <t>Live</t>
        </is>
      </c>
      <c r="P847" s="1235" t="inlineStr">
        <is>
          <t>Research block row 37. A WARN is a signal to read the number, not a defect.</t>
        </is>
      </c>
    </row>
    <row r="848" ht="46" customHeight="1" s="632">
      <c r="A848" s="1232" t="inlineStr">
        <is>
          <t>AC25</t>
        </is>
      </c>
      <c r="B848" s="1233" t="inlineStr">
        <is>
          <t>A25 - Import penetration stays below 20% of consumption</t>
        </is>
      </c>
      <c r="C848" s="1250">
        <f>IF('Audit Checks'!C38="PASS",1,IF('Audit Checks'!C38="WARN",0.5,0))</f>
        <v/>
      </c>
      <c r="D848" s="1234" t="inlineStr">
        <is>
          <t>PASS / WARN / FAIL</t>
        </is>
      </c>
      <c r="E848" s="1233" t="inlineStr">
        <is>
          <t>Live conditional test evaluated on every recalculation</t>
        </is>
      </c>
      <c r="F848" s="1233" t="inlineStr">
        <is>
          <t>'=IF(MAX('Trade Model'!D$83:J$83)&lt;0.2,"PASS","WARN")</t>
        </is>
      </c>
      <c r="G848" s="1233" t="inlineStr">
        <is>
          <t>Computed from the model itself</t>
        </is>
      </c>
      <c r="H848" s="1233" t="inlineStr">
        <is>
          <t>Several checks are duplicated independently on 02b Model Calibration</t>
        </is>
      </c>
      <c r="I848" s="1233" t="inlineStr">
        <is>
          <t>None. A check is a test, not an assumption.</t>
        </is>
      </c>
      <c r="J848" s="1233" t="inlineStr">
        <is>
          <t>The historical maximum in the database is 6.3% (FY2025). Above 20% would imply a collapse in domestic competitiveness that the price deck does not reflect.</t>
        </is>
      </c>
      <c r="K848" s="1233" t="inlineStr">
        <is>
          <t>Re-evaluates when the scenario is changed on 01 Control Panel</t>
        </is>
      </c>
      <c r="L848" s="1234" t="inlineStr">
        <is>
          <t>High</t>
        </is>
      </c>
      <c r="M848" s="1233" t="inlineStr">
        <is>
          <t>Trade Model</t>
        </is>
      </c>
      <c r="N848" s="1233" t="inlineStr">
        <is>
          <t>Live</t>
        </is>
      </c>
      <c r="O848" s="1234" t="inlineStr">
        <is>
          <t>Live</t>
        </is>
      </c>
      <c r="P848" s="1233" t="inlineStr">
        <is>
          <t>Research block row 38. A WARN is a signal to read the number, not a defect.</t>
        </is>
      </c>
    </row>
    <row r="849" ht="46" customHeight="1" s="632">
      <c r="A849" s="1232" t="inlineStr">
        <is>
          <t>AC26</t>
        </is>
      </c>
      <c r="B849" s="1235" t="inlineStr">
        <is>
          <t>A26 - FY2031 capacity is within 10% of the National Steel Policy 300 Mtpa target</t>
        </is>
      </c>
      <c r="C849" s="1249">
        <f>IF('Audit Checks'!C39="PASS",1,IF('Audit Checks'!C39="WARN",0.5,0))</f>
        <v/>
      </c>
      <c r="D849" s="1236" t="inlineStr">
        <is>
          <t>PASS / WARN / FAIL</t>
        </is>
      </c>
      <c r="E849" s="1235" t="inlineStr">
        <is>
          <t>Live conditional test evaluated on every recalculation</t>
        </is>
      </c>
      <c r="F849" s="1235" t="inlineStr">
        <is>
          <t>'=IF(ABS('Capacity Forecast'!H$106-1)&lt;0.1,"PASS","WARN")</t>
        </is>
      </c>
      <c r="G849" s="1235" t="inlineStr">
        <is>
          <t>Computed from the model itself</t>
        </is>
      </c>
      <c r="H849" s="1235" t="inlineStr">
        <is>
          <t>Several checks are duplicated independently on 02b Model Calibration</t>
        </is>
      </c>
      <c r="I849" s="1235" t="inlineStr">
        <is>
          <t>None. A check is a test, not an assumption.</t>
        </is>
      </c>
      <c r="J849" s="1235" t="inlineStr">
        <is>
          <t>An external validation, not a constraint. The capacity block was built bottom-up and was not calibrated to the policy target, so close agreement is evidence the build is sensible. A WARN in the Bear or Stress case is expected and correct.</t>
        </is>
      </c>
      <c r="K849" s="1235" t="inlineStr">
        <is>
          <t>Re-evaluates when the scenario is changed on 01 Control Panel</t>
        </is>
      </c>
      <c r="L849" s="1236" t="inlineStr">
        <is>
          <t>High</t>
        </is>
      </c>
      <c r="M849" s="1235" t="inlineStr">
        <is>
          <t>Capacity Forecast</t>
        </is>
      </c>
      <c r="N849" s="1235" t="inlineStr">
        <is>
          <t>Live</t>
        </is>
      </c>
      <c r="O849" s="1236" t="inlineStr">
        <is>
          <t>Live</t>
        </is>
      </c>
      <c r="P849" s="1235" t="inlineStr">
        <is>
          <t>Research block row 39. A WARN is a signal to read the number, not a defect.</t>
        </is>
      </c>
    </row>
    <row r="850" ht="46" customHeight="1" s="632">
      <c r="A850" s="1232" t="inlineStr">
        <is>
          <t>AC27</t>
        </is>
      </c>
      <c r="B850" s="1233" t="inlineStr">
        <is>
          <t>A27 - Scenario tie-out: live workbook matches the independent Python mirror</t>
        </is>
      </c>
      <c r="C850" s="1250">
        <f>IF('Audit Checks'!C40="PASS",1,IF('Audit Checks'!C40="WARN",0.5,0))</f>
        <v/>
      </c>
      <c r="D850" s="1234" t="inlineStr">
        <is>
          <t>PASS / WARN / FAIL</t>
        </is>
      </c>
      <c r="E850" s="1233" t="inlineStr">
        <is>
          <t>Live conditional test evaluated on every recalculation</t>
        </is>
      </c>
      <c r="F850" s="1233" t="inlineStr">
        <is>
          <t>'='Scenario Manager'!$H$80</t>
        </is>
      </c>
      <c r="G850" s="1233" t="inlineStr">
        <is>
          <t>Computed from the model itself</t>
        </is>
      </c>
      <c r="H850" s="1233" t="inlineStr">
        <is>
          <t>Several checks are duplicated independently on 02b Model Calibration</t>
        </is>
      </c>
      <c r="I850" s="1233" t="inlineStr">
        <is>
          <t>None. A check is a test, not an assumption.</t>
        </is>
      </c>
      <c r="J850" s="1233" t="inlineStr">
        <is>
          <t>THE REGRESSION TEST. Compares eleven live FY2033 outputs against values computed independently at build time by fmodel/chain.py. A failure means an Excel formula does not implement the intended arithmetic - stop and investigate before using any output.</t>
        </is>
      </c>
      <c r="K850" s="1233" t="inlineStr">
        <is>
          <t>Re-evaluates when the scenario is changed on 01 Control Panel</t>
        </is>
      </c>
      <c r="L850" s="1234" t="inlineStr">
        <is>
          <t>High</t>
        </is>
      </c>
      <c r="M850" s="1233" t="inlineStr">
        <is>
          <t>Scenario Manager</t>
        </is>
      </c>
      <c r="N850" s="1233" t="inlineStr">
        <is>
          <t>Live</t>
        </is>
      </c>
      <c r="O850" s="1234" t="inlineStr">
        <is>
          <t>Live</t>
        </is>
      </c>
      <c r="P850" s="1233" t="inlineStr">
        <is>
          <t>Research block row 40. A WARN is a signal to read the number, not a defect.</t>
        </is>
      </c>
    </row>
    <row r="851" ht="46" customHeight="1" s="632">
      <c r="A851" s="1232" t="inlineStr">
        <is>
          <t>AC28</t>
        </is>
      </c>
      <c r="B851" s="1235" t="inlineStr">
        <is>
          <t>A28 - Every active driver resolves to a number for the selected scenario</t>
        </is>
      </c>
      <c r="C851" s="1249">
        <f>IF('Audit Checks'!C41="PASS",1,IF('Audit Checks'!C41="WARN",0.5,0))</f>
        <v/>
      </c>
      <c r="D851" s="1236" t="inlineStr">
        <is>
          <t>PASS / WARN / FAIL</t>
        </is>
      </c>
      <c r="E851" s="1235" t="inlineStr">
        <is>
          <t>Live conditional test evaluated on every recalculation</t>
        </is>
      </c>
      <c r="F851" s="1235" t="inlineStr">
        <is>
          <t>'=IF(COUNT('Model Assumptions'!E$8:K$33)=182,"PASS","FAIL")</t>
        </is>
      </c>
      <c r="G851" s="1235" t="inlineStr">
        <is>
          <t>Computed from the model itself</t>
        </is>
      </c>
      <c r="H851" s="1235" t="inlineStr">
        <is>
          <t>Several checks are duplicated independently on 02b Model Calibration</t>
        </is>
      </c>
      <c r="I851" s="1235" t="inlineStr">
        <is>
          <t>None. A check is a test, not an assumption.</t>
        </is>
      </c>
      <c r="J851" s="1235" t="inlineStr">
        <is>
          <t>Confirms every INDEX lookup against ScenID has resolved. A failure means a driver row is missing a scenario or ScenID is out of range.</t>
        </is>
      </c>
      <c r="K851" s="1235" t="inlineStr">
        <is>
          <t>Re-evaluates when the scenario is changed on 01 Control Panel</t>
        </is>
      </c>
      <c r="L851" s="1236" t="inlineStr">
        <is>
          <t>High</t>
        </is>
      </c>
      <c r="M851" s="1235" t="inlineStr">
        <is>
          <t>Model Assumptions</t>
        </is>
      </c>
      <c r="N851" s="1235" t="inlineStr">
        <is>
          <t>Live</t>
        </is>
      </c>
      <c r="O851" s="1236" t="inlineStr">
        <is>
          <t>Live</t>
        </is>
      </c>
      <c r="P851" s="1235" t="inlineStr">
        <is>
          <t>Research block row 41. A WARN is a signal to read the number, not a defect.</t>
        </is>
      </c>
    </row>
    <row r="852" ht="46" customHeight="1" s="632">
      <c r="A852" s="1232" t="inlineStr">
        <is>
          <t>AC29</t>
        </is>
      </c>
      <c r="B852" s="1233" t="inlineStr">
        <is>
          <t>A29 - ScenID resolves to a valid index between 1 and 4</t>
        </is>
      </c>
      <c r="C852" s="1250">
        <f>IF('Audit Checks'!C42="PASS",1,IF('Audit Checks'!C42="WARN",0.5,0))</f>
        <v/>
      </c>
      <c r="D852" s="1234" t="inlineStr">
        <is>
          <t>PASS / WARN / FAIL</t>
        </is>
      </c>
      <c r="E852" s="1233" t="inlineStr">
        <is>
          <t>Live conditional test evaluated on every recalculation</t>
        </is>
      </c>
      <c r="F852" s="1233" t="inlineStr">
        <is>
          <t>'=IF(AND(ScenID&gt;=1,ScenID&lt;=4),"PASS","FAIL")</t>
        </is>
      </c>
      <c r="G852" s="1233" t="inlineStr">
        <is>
          <t>Computed from the model itself</t>
        </is>
      </c>
      <c r="H852" s="1233" t="inlineStr">
        <is>
          <t>Several checks are duplicated independently on 02b Model Calibration</t>
        </is>
      </c>
      <c r="I852" s="1233" t="inlineStr">
        <is>
          <t>None. A check is a test, not an assumption.</t>
        </is>
      </c>
      <c r="J852" s="1233" t="inlineStr">
        <is>
          <t>If the scenario cell is edited to free text outside the four permitted values, MATCH returns an error and the entire workbook fails. Data validation prevents this, but the check is retained as a backstop.</t>
        </is>
      </c>
      <c r="K852" s="1233" t="inlineStr">
        <is>
          <t>Re-evaluates when the scenario is changed on 01 Control Panel</t>
        </is>
      </c>
      <c r="L852" s="1234" t="inlineStr">
        <is>
          <t>High</t>
        </is>
      </c>
      <c r="M852" s="1233" t="inlineStr">
        <is>
          <t>This sheet</t>
        </is>
      </c>
      <c r="N852" s="1233" t="inlineStr">
        <is>
          <t>Live</t>
        </is>
      </c>
      <c r="O852" s="1234" t="inlineStr">
        <is>
          <t>Live</t>
        </is>
      </c>
      <c r="P852" s="1233" t="inlineStr">
        <is>
          <t>Research block row 42. A WARN is a signal to read the number, not a defect.</t>
        </is>
      </c>
    </row>
    <row r="853" ht="46" customHeight="1" s="632">
      <c r="A853" s="1232" t="inlineStr">
        <is>
          <t>AC30</t>
        </is>
      </c>
      <c r="B853" s="1235" t="inlineStr">
        <is>
          <t>A30 - No forecast column is entirely blank</t>
        </is>
      </c>
      <c r="C853" s="1249">
        <f>IF('Audit Checks'!C43="PASS",1,IF('Audit Checks'!C43="WARN",0.5,0))</f>
        <v/>
      </c>
      <c r="D853" s="1236" t="inlineStr">
        <is>
          <t>PASS / WARN / FAIL</t>
        </is>
      </c>
      <c r="E853" s="1235" t="inlineStr">
        <is>
          <t>Live conditional test evaluated on every recalculation</t>
        </is>
      </c>
      <c r="F853" s="1235" t="inlineStr">
        <is>
          <t>'=IF(COUNT('EBITDA Model'!D$103:J$103)=7,"PASS","FAIL")</t>
        </is>
      </c>
      <c r="G853" s="1235" t="inlineStr">
        <is>
          <t>Computed from the model itself</t>
        </is>
      </c>
      <c r="H853" s="1235" t="inlineStr">
        <is>
          <t>Several checks are duplicated independently on 02b Model Calibration</t>
        </is>
      </c>
      <c r="I853" s="1235" t="inlineStr">
        <is>
          <t>None. A check is a test, not an assumption.</t>
        </is>
      </c>
      <c r="J853" s="1235" t="inlineStr">
        <is>
          <t>Catches a broken link or a deleted column in the core EBITDA line.</t>
        </is>
      </c>
      <c r="K853" s="1235" t="inlineStr">
        <is>
          <t>Re-evaluates when the scenario is changed on 01 Control Panel</t>
        </is>
      </c>
      <c r="L853" s="1236" t="inlineStr">
        <is>
          <t>High</t>
        </is>
      </c>
      <c r="M853" s="1235" t="inlineStr">
        <is>
          <t>EBITDA Model</t>
        </is>
      </c>
      <c r="N853" s="1235" t="inlineStr">
        <is>
          <t>Live</t>
        </is>
      </c>
      <c r="O853" s="1236" t="inlineStr">
        <is>
          <t>Live</t>
        </is>
      </c>
      <c r="P853" s="1235" t="inlineStr">
        <is>
          <t>Research block row 43. A WARN is a signal to read the number, not a defect.</t>
        </is>
      </c>
    </row>
    <row r="854" ht="46" customHeight="1" s="632">
      <c r="A854" s="1232" t="inlineStr">
        <is>
          <t>AC31</t>
        </is>
      </c>
      <c r="B854" s="1233" t="inlineStr">
        <is>
          <t>OVERALL - OVERALL</t>
        </is>
      </c>
      <c r="C854" s="1250">
        <f>IF('Audit Checks'!C44="PASS",1,IF('Audit Checks'!C44="WARN",0.5,0))</f>
        <v/>
      </c>
      <c r="D854" s="1234" t="inlineStr">
        <is>
          <t>PASS / WARN / FAIL</t>
        </is>
      </c>
      <c r="E854" s="1233" t="inlineStr">
        <is>
          <t>Live conditional test evaluated on every recalculation</t>
        </is>
      </c>
      <c r="F854" s="1233" t="inlineStr">
        <is>
          <t>'=IF(COUNTIF(C14:C43,"FAIL")&gt;0,"FAIL",IF(COUNTIF(C14:C43,"WARN")&gt;0,"PASS WITH WARNINGS","ALL PASS"))</t>
        </is>
      </c>
      <c r="G854" s="1233" t="inlineStr">
        <is>
          <t>Computed from the model itself</t>
        </is>
      </c>
      <c r="H854" s="1233" t="inlineStr">
        <is>
          <t>Several checks are duplicated independently on 02b Model Calibration</t>
        </is>
      </c>
      <c r="I854" s="1233" t="inlineStr">
        <is>
          <t>None. A check is a test, not an assumption.</t>
        </is>
      </c>
      <c r="J854" s="1233" t="inlineStr">
        <is>
          <t>WARN results are expected in the Bear and Stress cases: A14 (margin envelope) and A26 (policy target) are deliberately breached by design in those scenarios. Any FAIL must be investigated before the model is used.</t>
        </is>
      </c>
      <c r="K854" s="1233" t="inlineStr">
        <is>
          <t>Re-evaluates when the scenario is changed on 01 Control Panel</t>
        </is>
      </c>
      <c r="L854" s="1234" t="inlineStr">
        <is>
          <t>High</t>
        </is>
      </c>
      <c r="M854" s="1233" t="inlineStr">
        <is>
          <t>This sheet</t>
        </is>
      </c>
      <c r="N854" s="1233" t="inlineStr">
        <is>
          <t>Live</t>
        </is>
      </c>
      <c r="O854" s="1234" t="inlineStr">
        <is>
          <t>Live</t>
        </is>
      </c>
      <c r="P854" s="1233" t="inlineStr">
        <is>
          <t>Research block row 44. A WARN is a signal to read the number, not a defect.</t>
        </is>
      </c>
    </row>
    <row r="857" ht="18" customHeight="1" s="632">
      <c r="A857" s="1229" t="inlineStr">
        <is>
          <t>Sources  -  12 documented items  (SR01 - SR12)</t>
        </is>
      </c>
      <c r="B857" s="1161" t="n"/>
      <c r="C857" s="1161" t="n"/>
      <c r="D857" s="1161" t="n"/>
      <c r="E857" s="1161" t="n"/>
      <c r="F857" s="1161" t="n"/>
      <c r="G857" s="1161" t="n"/>
      <c r="H857" s="1161" t="n"/>
      <c r="I857" s="1161" t="n"/>
      <c r="J857" s="1161" t="n"/>
      <c r="K857" s="1161" t="n"/>
      <c r="L857" s="1161" t="n"/>
      <c r="M857" s="1161" t="n"/>
      <c r="N857" s="1161" t="n"/>
      <c r="O857" s="1161" t="n"/>
      <c r="P857" s="1161" t="n"/>
    </row>
    <row r="858" ht="24" customHeight="1" s="632">
      <c r="A858" s="1230" t="inlineStr">
        <is>
          <t>Every source used for a forward-looking assumption, with publisher, publication, date and what it is used for.</t>
        </is>
      </c>
    </row>
    <row r="859" ht="30" customHeight="1" s="632">
      <c r="A859" s="1231" t="inlineStr">
        <is>
          <t>Code</t>
        </is>
      </c>
      <c r="B859" s="1231" t="inlineStr">
        <is>
          <t>Model Item</t>
        </is>
      </c>
      <c r="C859" s="1231" t="inlineStr">
        <is>
          <t>Value</t>
        </is>
      </c>
      <c r="D859" s="1231" t="inlineStr">
        <is>
          <t>Unit</t>
        </is>
      </c>
      <c r="E859" s="1231" t="inlineStr">
        <is>
          <t>Calculation Method</t>
        </is>
      </c>
      <c r="F859" s="1231" t="inlineStr">
        <is>
          <t>Formula Used</t>
        </is>
      </c>
      <c r="G859" s="1231" t="inlineStr">
        <is>
          <t>Primary Source</t>
        </is>
      </c>
      <c r="H859" s="1231" t="inlineStr">
        <is>
          <t>Secondary Source</t>
        </is>
      </c>
      <c r="I859" s="1231" t="inlineStr">
        <is>
          <t>Assumption</t>
        </is>
      </c>
      <c r="J859" s="1231" t="inlineStr">
        <is>
          <t>Reasoning</t>
        </is>
      </c>
      <c r="K859" s="1231" t="inlineStr">
        <is>
          <t>Cross-check</t>
        </is>
      </c>
      <c r="L859" s="1231" t="inlineStr">
        <is>
          <t>Confidence Level</t>
        </is>
      </c>
      <c r="M859" s="1231" t="inlineStr">
        <is>
          <t>Linked Sheet</t>
        </is>
      </c>
      <c r="N859" s="1231" t="inlineStr">
        <is>
          <t>Update Frequency</t>
        </is>
      </c>
      <c r="O859" s="1231" t="inlineStr">
        <is>
          <t>Last Available Date</t>
        </is>
      </c>
      <c r="P859" s="1231" t="inlineStr">
        <is>
          <t>Comments</t>
        </is>
      </c>
    </row>
    <row r="860" ht="46" customHeight="1" s="632">
      <c r="A860" s="1232" t="inlineStr">
        <is>
          <t>SR01</t>
        </is>
      </c>
      <c r="B860" s="1233" t="inlineStr">
        <is>
          <t>RBI-Jun26 - Reserve Bank of India</t>
        </is>
      </c>
      <c r="C860" s="1233" t="n"/>
      <c r="D860" s="1234" t="inlineStr">
        <is>
          <t>Level 2</t>
        </is>
      </c>
      <c r="E860" s="1233" t="inlineStr">
        <is>
          <t>Source record</t>
        </is>
      </c>
      <c r="F860" s="1233" t="inlineStr">
        <is>
          <t>n/a</t>
        </is>
      </c>
      <c r="G860" s="1233" t="inlineStr">
        <is>
          <t>Reserve Bank of India - Monetary Policy Committee statement</t>
        </is>
      </c>
      <c r="H860" s="1233" t="inlineStr">
        <is>
          <t>Verified via multiple contemporaneous reports of the MPC statement</t>
        </is>
      </c>
      <c r="I860" s="1233" t="inlineStr">
        <is>
          <t>Drivers D01 real GDP growth and D04 CPI inflation; assumption register R01</t>
        </is>
      </c>
      <c r="J860" s="1233" t="inlineStr">
        <is>
          <t>FY2027 real GDP projection cut to 6.6% from 6.9%; repo held at 5.25%; FY2027 CPI projection raised 50bps to 5.1%. FY2026 growth estimated 7.6%; Q4FY2026 actual 7.7%.</t>
        </is>
      </c>
      <c r="K860" s="1233" t="inlineStr">
        <is>
          <t>Verified via multiple contemporaneous reports of the MPC statement</t>
        </is>
      </c>
      <c r="L860" s="1234" t="inlineStr">
        <is>
          <t>Level 2</t>
        </is>
      </c>
      <c r="M860" s="1233" t="inlineStr">
        <is>
          <t>02 Model Assumptions</t>
        </is>
      </c>
      <c r="N860" s="1233" t="inlineStr">
        <is>
          <t>On each publication cycle</t>
        </is>
      </c>
      <c r="O860" s="1234" t="inlineStr">
        <is>
          <t>05-Jun-2026</t>
        </is>
      </c>
      <c r="P860" s="1233" t="inlineStr">
        <is>
          <t>Source register row 14.</t>
        </is>
      </c>
    </row>
    <row r="861" ht="46" customHeight="1" s="632">
      <c r="A861" s="1232" t="inlineStr">
        <is>
          <t>SR02</t>
        </is>
      </c>
      <c r="B861" s="1235" t="inlineStr">
        <is>
          <t>worldsteel-SRO - World Steel Association</t>
        </is>
      </c>
      <c r="C861" s="1235" t="n"/>
      <c r="D861" s="1236" t="inlineStr">
        <is>
          <t>Level 2</t>
        </is>
      </c>
      <c r="E861" s="1235" t="inlineStr">
        <is>
          <t>Source record</t>
        </is>
      </c>
      <c r="F861" s="1235" t="inlineStr">
        <is>
          <t>n/a</t>
        </is>
      </c>
      <c r="G861" s="1235" t="inlineStr">
        <is>
          <t>World Steel Association - Short Range Outlook, April 2026</t>
        </is>
      </c>
      <c r="H861" s="1235" t="inlineStr">
        <is>
          <t>Verified - also reproduced in Ministry of Steel monthly overviews</t>
        </is>
      </c>
      <c r="I861" s="1235" t="inlineStr">
        <is>
          <t>Corroborates driver D02 steel demand elasticity</t>
        </is>
      </c>
      <c r="J861" s="1235" t="inlineStr">
        <is>
          <t>Global demand +0.3% in CY2026 to 1,724 Mt and +2.2% in CY2027 to 1,762 Mt. India +7.4% and +9.2%, the fastest major market. China -1.5% then flat.</t>
        </is>
      </c>
      <c r="K861" s="1235" t="inlineStr">
        <is>
          <t>Verified - also reproduced in Ministry of Steel monthly overviews</t>
        </is>
      </c>
      <c r="L861" s="1236" t="inlineStr">
        <is>
          <t>Level 2</t>
        </is>
      </c>
      <c r="M861" s="1235" t="inlineStr">
        <is>
          <t>02 Model Assumptions</t>
        </is>
      </c>
      <c r="N861" s="1235" t="inlineStr">
        <is>
          <t>On each publication cycle</t>
        </is>
      </c>
      <c r="O861" s="1236" t="inlineStr">
        <is>
          <t>Apr-2026</t>
        </is>
      </c>
      <c r="P861" s="1235" t="inlineStr">
        <is>
          <t>Source register row 15.</t>
        </is>
      </c>
    </row>
    <row r="862" ht="46" customHeight="1" s="632">
      <c r="A862" s="1232" t="inlineStr">
        <is>
          <t>SR03</t>
        </is>
      </c>
      <c r="B862" s="1233" t="inlineStr">
        <is>
          <t>GSEC-31Jul26 - investing.com / NSE</t>
        </is>
      </c>
      <c r="C862" s="1233" t="n"/>
      <c r="D862" s="1234" t="inlineStr">
        <is>
          <t>Level 3</t>
        </is>
      </c>
      <c r="E862" s="1233" t="inlineStr">
        <is>
          <t>Source record</t>
        </is>
      </c>
      <c r="F862" s="1233" t="inlineStr">
        <is>
          <t>n/a</t>
        </is>
      </c>
      <c r="G862" s="1233" t="inlineStr">
        <is>
          <t>investing.com / NSE - India 10-year benchmark government bond yield</t>
        </is>
      </c>
      <c r="H862" s="1233" t="inlineStr">
        <is>
          <t>Verified - 6.833%; Trading Economics expects 6.78% at quarter end</t>
        </is>
      </c>
      <c r="I862" s="1233" t="inlineStr">
        <is>
          <t>Risk-free rate in the WACC build-up; assumption register R08</t>
        </is>
      </c>
      <c r="J862" s="1233" t="inlineStr">
        <is>
          <t>Market data. A Bloomberg or Refinitiv print should be substituted for a live mandate.</t>
        </is>
      </c>
      <c r="K862" s="1233" t="inlineStr">
        <is>
          <t>Verified - 6.833%; Trading Economics expects 6.78% at quarter end</t>
        </is>
      </c>
      <c r="L862" s="1234" t="inlineStr">
        <is>
          <t>Level 3</t>
        </is>
      </c>
      <c r="M862" s="1233" t="inlineStr">
        <is>
          <t>02 Model Assumptions</t>
        </is>
      </c>
      <c r="N862" s="1233" t="inlineStr">
        <is>
          <t>On each publication cycle</t>
        </is>
      </c>
      <c r="O862" s="1234" t="inlineStr">
        <is>
          <t>31-Jul-2026</t>
        </is>
      </c>
      <c r="P862" s="1233" t="inlineStr">
        <is>
          <t>Source register row 16.</t>
        </is>
      </c>
    </row>
    <row r="863" ht="46" customHeight="1" s="632">
      <c r="A863" s="1232" t="inlineStr">
        <is>
          <t>SR04</t>
        </is>
      </c>
      <c r="B863" s="1235" t="inlineStr">
        <is>
          <t>CRISIL-RateView - CRISIL Intelligence</t>
        </is>
      </c>
      <c r="C863" s="1235" t="n"/>
      <c r="D863" s="1236" t="inlineStr">
        <is>
          <t>Level 3</t>
        </is>
      </c>
      <c r="E863" s="1235" t="inlineStr">
        <is>
          <t>Source record</t>
        </is>
      </c>
      <c r="F863" s="1235" t="inlineStr">
        <is>
          <t>n/a</t>
        </is>
      </c>
      <c r="G863" s="1235" t="inlineStr">
        <is>
          <t>CRISIL Intelligence - RateView, July 2026</t>
        </is>
      </c>
      <c r="H863" s="1235" t="inlineStr">
        <is>
          <t>Verified - 10-year corporate bond yield 7.36% actual, 7.44-7.54% projected</t>
        </is>
      </c>
      <c r="I863" s="1235" t="inlineStr">
        <is>
          <t>Pre-tax cost of debt in the WACC build-up</t>
        </is>
      </c>
      <c r="J863" s="1235" t="inlineStr">
        <is>
          <t>Consistent with the ICRA and India Ratings AA domestic ratings the database records for JSW Steel.</t>
        </is>
      </c>
      <c r="K863" s="1235" t="inlineStr">
        <is>
          <t>Verified - 10-year corporate bond yield 7.36% actual, 7.44-7.54% projected</t>
        </is>
      </c>
      <c r="L863" s="1236" t="inlineStr">
        <is>
          <t>Level 3</t>
        </is>
      </c>
      <c r="M863" s="1235" t="inlineStr">
        <is>
          <t>02 Model Assumptions</t>
        </is>
      </c>
      <c r="N863" s="1235" t="inlineStr">
        <is>
          <t>On each publication cycle</t>
        </is>
      </c>
      <c r="O863" s="1236" t="inlineStr">
        <is>
          <t>Jul-2026</t>
        </is>
      </c>
      <c r="P863" s="1235" t="inlineStr">
        <is>
          <t>Source register row 17.</t>
        </is>
      </c>
    </row>
    <row r="864" ht="46" customHeight="1" s="632">
      <c r="A864" s="1232" t="inlineStr">
        <is>
          <t>SR05</t>
        </is>
      </c>
      <c r="B864" s="1233" t="inlineStr">
        <is>
          <t>IDBI-22Jun26 - IDBI Capital Markets &amp; Securities</t>
        </is>
      </c>
      <c r="C864" s="1233" t="n"/>
      <c r="D864" s="1234" t="inlineStr">
        <is>
          <t>Level 3</t>
        </is>
      </c>
      <c r="E864" s="1233" t="inlineStr">
        <is>
          <t>Source record</t>
        </is>
      </c>
      <c r="F864" s="1233" t="inlineStr">
        <is>
          <t>n/a</t>
        </is>
      </c>
      <c r="G864" s="1233" t="inlineStr">
        <is>
          <t>IDBI Capital Markets &amp; Securities - Commodity Price Update, week ended 22-Jun-2026</t>
        </is>
      </c>
      <c r="H864" s="1233" t="inlineStr">
        <is>
          <t>Verified - full document retrieved and parsed</t>
        </is>
      </c>
      <c r="I864" s="1233" t="inlineStr">
        <is>
          <t>Driver D03 USD/INR; input cost cross-checks</t>
        </is>
      </c>
      <c r="J864" s="1233" t="inlineStr">
        <is>
          <t>USD/INR 94 with a 52-week range of 85 to 98. Also billet ex-Raipur Rs 38,850/t, HR strip Patra Rs 44,500/t, nickel US$17,395/t, ferro chrome Rs 1,23,200/t, graphite electrode UHP US$4,189/t, Brent US$79/bbl - the input-cost deck behind D12.</t>
        </is>
      </c>
      <c r="K864" s="1233" t="inlineStr">
        <is>
          <t>Verified - full document retrieved and parsed</t>
        </is>
      </c>
      <c r="L864" s="1234" t="inlineStr">
        <is>
          <t>Level 3</t>
        </is>
      </c>
      <c r="M864" s="1233" t="inlineStr">
        <is>
          <t>02 Model Assumptions</t>
        </is>
      </c>
      <c r="N864" s="1233" t="inlineStr">
        <is>
          <t>On each publication cycle</t>
        </is>
      </c>
      <c r="O864" s="1234" t="inlineStr">
        <is>
          <t>22-Jun-2026</t>
        </is>
      </c>
      <c r="P864" s="1233" t="inlineStr">
        <is>
          <t>Source register row 18.</t>
        </is>
      </c>
    </row>
    <row r="865" ht="46" customHeight="1" s="632">
      <c r="A865" s="1232" t="inlineStr">
        <is>
          <t>SR06</t>
        </is>
      </c>
      <c r="B865" s="1235" t="inlineStr">
        <is>
          <t>MasterDB - This research team</t>
        </is>
      </c>
      <c r="C865" s="1235" t="n"/>
      <c r="D865" s="1236" t="inlineStr">
        <is>
          <t>Level 1</t>
        </is>
      </c>
      <c r="E865" s="1235" t="inlineStr">
        <is>
          <t>Source record</t>
        </is>
      </c>
      <c r="F865" s="1235" t="inlineStr">
        <is>
          <t>n/a</t>
        </is>
      </c>
      <c r="G865" s="1235" t="inlineStr">
        <is>
          <t>This research team - Master Industry Database.xlsx</t>
        </is>
      </c>
      <c r="H865" s="1235" t="inlineStr">
        <is>
          <t>Values extracted programmatically from the database file at build time</t>
        </is>
      </c>
      <c r="I865" s="1235" t="inlineStr">
        <is>
          <t>Every FY2026 actual and every derived calibration anchor</t>
        </is>
      </c>
      <c r="J865" s="1235" t="inlineStr">
        <is>
          <t>47 underlying sources with full citations on that workbook's Sources sheet, and 16 documented conflicts on its Conflicts Log. This model does not restate or contradict any of it.</t>
        </is>
      </c>
      <c r="K865" s="1235" t="inlineStr">
        <is>
          <t>Values extracted programmatically from the database file at build time</t>
        </is>
      </c>
      <c r="L865" s="1236" t="inlineStr">
        <is>
          <t>Level 1</t>
        </is>
      </c>
      <c r="M865" s="1235" t="inlineStr">
        <is>
          <t>02 Model Assumptions</t>
        </is>
      </c>
      <c r="N865" s="1235" t="inlineStr">
        <is>
          <t>On each publication cycle</t>
        </is>
      </c>
      <c r="O865" s="1236" t="inlineStr">
        <is>
          <t>03-Aug-2026</t>
        </is>
      </c>
      <c r="P865" s="1235" t="inlineStr">
        <is>
          <t>Source register row 19.</t>
        </is>
      </c>
    </row>
    <row r="866" ht="46" customHeight="1" s="632">
      <c r="A866" s="1232" t="inlineStr">
        <is>
          <t>SR07</t>
        </is>
      </c>
      <c r="B866" s="1233" t="inlineStr">
        <is>
          <t>Derived-DB - This research team</t>
        </is>
      </c>
      <c r="C866" s="1233" t="n"/>
      <c r="D866" s="1234" t="inlineStr">
        <is>
          <t>Level 1</t>
        </is>
      </c>
      <c r="E866" s="1233" t="inlineStr">
        <is>
          <t>Source record</t>
        </is>
      </c>
      <c r="F866" s="1233" t="inlineStr">
        <is>
          <t>n/a</t>
        </is>
      </c>
      <c r="G866" s="1233" t="inlineStr">
        <is>
          <t>This research team - Derivations from Master Industry Database</t>
        </is>
      </c>
      <c r="H866" s="1233" t="inlineStr">
        <is>
          <t>Each derivation is stated in full on the relevant row</t>
        </is>
      </c>
      <c r="I866" s="1233" t="inlineStr">
        <is>
          <t>Drivers D02, D05, D06, D07, D08, D09, D16, D22, D24, D26 and anchors A08 to A13</t>
        </is>
      </c>
      <c r="J866" s="1233" t="inlineStr">
        <is>
          <t>The material derivations are: blended realisation of Rs 59,974/t from four majors; weighted EBITDA of Rs 10,733/t; implied cash cost of Rs 49,241/t; FY2026 average USD/INR of 88.4 from Tata Steel's dual-currency disclosure; D&amp;A at 5.28% of revenue; demand elasticity of 1.10x from the FY2015-FY2026 outturn.</t>
        </is>
      </c>
      <c r="K866" s="1233" t="inlineStr">
        <is>
          <t>Each derivation is stated in full on the relevant row</t>
        </is>
      </c>
      <c r="L866" s="1234" t="inlineStr">
        <is>
          <t>Level 1</t>
        </is>
      </c>
      <c r="M866" s="1233" t="inlineStr">
        <is>
          <t>02 Model Assumptions</t>
        </is>
      </c>
      <c r="N866" s="1233" t="inlineStr">
        <is>
          <t>On each publication cycle</t>
        </is>
      </c>
      <c r="O866" s="1234" t="inlineStr">
        <is>
          <t>03-Aug-2026</t>
        </is>
      </c>
      <c r="P866" s="1233" t="inlineStr">
        <is>
          <t>Source register row 20.</t>
        </is>
      </c>
    </row>
    <row r="867" ht="46" customHeight="1" s="632">
      <c r="A867" s="1232" t="inlineStr">
        <is>
          <t>SR08</t>
        </is>
      </c>
      <c r="B867" s="1235" t="inlineStr">
        <is>
          <t>Indicative - Modeller judgement</t>
        </is>
      </c>
      <c r="C867" s="1235" t="n"/>
      <c r="D867" s="1236" t="inlineStr">
        <is>
          <t>Level 3</t>
        </is>
      </c>
      <c r="E867" s="1235" t="inlineStr">
        <is>
          <t>Source record</t>
        </is>
      </c>
      <c r="F867" s="1235" t="inlineStr">
        <is>
          <t>n/a</t>
        </is>
      </c>
      <c r="G867" s="1235" t="inlineStr">
        <is>
          <t>Modeller judgement - Structural parameters not sourced from any document</t>
        </is>
      </c>
      <c r="H867" s="1235" t="inlineStr">
        <is>
          <t>NOT VERIFIED - explicitly flagged Low confidence throughout</t>
        </is>
      </c>
      <c r="I867" s="1235" t="inlineStr">
        <is>
          <t>Drivers D13, D14, D17, D23, D25 and the ESG inputs on sheet 20</t>
        </is>
      </c>
      <c r="J867" s="1235" t="inlineStr">
        <is>
          <t>Held constant across scenarios wherever unsourced, so that an unsourced parameter is never flexed to manufacture a scenario. Each is quantified on 22 Sensitivity section E.</t>
        </is>
      </c>
      <c r="K867" s="1235" t="inlineStr">
        <is>
          <t>NOT VERIFIED - explicitly flagged Low confidence throughout</t>
        </is>
      </c>
      <c r="L867" s="1236" t="inlineStr">
        <is>
          <t>Level 3</t>
        </is>
      </c>
      <c r="M867" s="1235" t="inlineStr">
        <is>
          <t>02 Model Assumptions</t>
        </is>
      </c>
      <c r="N867" s="1235" t="inlineStr">
        <is>
          <t>On each publication cycle</t>
        </is>
      </c>
      <c r="O867" s="1236" t="inlineStr">
        <is>
          <t>n/a</t>
        </is>
      </c>
      <c r="P867" s="1235" t="inlineStr">
        <is>
          <t>Source register row 21.</t>
        </is>
      </c>
    </row>
    <row r="868" ht="46" customHeight="1" s="632">
      <c r="A868" s="1232" t="inlineStr">
        <is>
          <t>SR09</t>
        </is>
      </c>
      <c r="B868" s="1233" t="inlineStr">
        <is>
          <t>Not sourced - None</t>
        </is>
      </c>
      <c r="C868" s="1233" t="n"/>
      <c r="D868" s="1234" t="inlineStr">
        <is>
          <t>Level 3</t>
        </is>
      </c>
      <c r="E868" s="1233" t="inlineStr">
        <is>
          <t>Source record</t>
        </is>
      </c>
      <c r="F868" s="1233" t="inlineStr">
        <is>
          <t>n/a</t>
        </is>
      </c>
      <c r="G868" s="1233" t="inlineStr">
        <is>
          <t>None - Inputs left as user inputs rather than assumed</t>
        </is>
      </c>
      <c r="H868" s="1233" t="inlineStr">
        <is>
          <t>NOT SOURCED - shaded in the workbook and excluded from headline conclusions</t>
        </is>
      </c>
      <c r="I868" s="1233" t="inlineStr">
        <is>
          <t>Driver D18 working capital days, D19 exit multiple, share prices on 23, equity risk premium and beta on 02 Section D</t>
        </is>
      </c>
      <c r="J868" s="1233" t="inlineStr">
        <is>
          <t>These are the four gaps that must be closed before transaction use. None has been filled with a fabricated value.</t>
        </is>
      </c>
      <c r="K868" s="1233" t="inlineStr">
        <is>
          <t>NOT SOURCED - shaded in the workbook and excluded from headline conclusions</t>
        </is>
      </c>
      <c r="L868" s="1234" t="inlineStr">
        <is>
          <t>Level 3</t>
        </is>
      </c>
      <c r="M868" s="1233" t="inlineStr">
        <is>
          <t>02 Model Assumptions</t>
        </is>
      </c>
      <c r="N868" s="1233" t="inlineStr">
        <is>
          <t>On each publication cycle</t>
        </is>
      </c>
      <c r="O868" s="1234" t="inlineStr">
        <is>
          <t>n/a</t>
        </is>
      </c>
      <c r="P868" s="1233" t="inlineStr">
        <is>
          <t>Source register row 22.</t>
        </is>
      </c>
    </row>
    <row r="869" ht="46" customHeight="1" s="632">
      <c r="A869" s="1232" t="inlineStr">
        <is>
          <t>SR10</t>
        </is>
      </c>
      <c r="B869" s="1235" t="inlineStr">
        <is>
          <t xml:space="preserve">MODEL CHANGE LOG - </t>
        </is>
      </c>
      <c r="C869" s="1235" t="n"/>
      <c r="D869" s="1236" t="n"/>
      <c r="E869" s="1235" t="inlineStr">
        <is>
          <t>Source record</t>
        </is>
      </c>
      <c r="F869" s="1235" t="inlineStr">
        <is>
          <t>n/a</t>
        </is>
      </c>
      <c r="G869" s="1235" t="inlineStr">
        <is>
          <t xml:space="preserve"> - </t>
        </is>
      </c>
      <c r="H869" s="1235" t="n"/>
      <c r="I869" s="1235" t="n"/>
      <c r="J869" s="1235" t="n"/>
      <c r="K869" s="1235" t="n"/>
      <c r="L869" s="1236" t="inlineStr">
        <is>
          <t xml:space="preserve">Level </t>
        </is>
      </c>
      <c r="M869" s="1235" t="inlineStr">
        <is>
          <t>02 Model Assumptions</t>
        </is>
      </c>
      <c r="N869" s="1235" t="inlineStr">
        <is>
          <t>On each publication cycle</t>
        </is>
      </c>
      <c r="O869" s="1236" t="n"/>
      <c r="P869" s="1235" t="inlineStr">
        <is>
          <t>Source register row 25.</t>
        </is>
      </c>
    </row>
    <row r="870" ht="46" customHeight="1" s="632">
      <c r="A870" s="1232" t="inlineStr">
        <is>
          <t>SR11</t>
        </is>
      </c>
      <c r="B870" s="1233" t="inlineStr">
        <is>
          <t>Version - Change</t>
        </is>
      </c>
      <c r="C870" s="1233" t="n"/>
      <c r="D870" s="1234" t="inlineStr">
        <is>
          <t>Level Date</t>
        </is>
      </c>
      <c r="E870" s="1233" t="inlineStr">
        <is>
          <t>Source record</t>
        </is>
      </c>
      <c r="F870" s="1233" t="inlineStr">
        <is>
          <t>n/a</t>
        </is>
      </c>
      <c r="G870" s="1233" t="inlineStr">
        <is>
          <t xml:space="preserve">Change - </t>
        </is>
      </c>
      <c r="H870" s="1233" t="n"/>
      <c r="I870" s="1233" t="inlineStr">
        <is>
          <t>Author</t>
        </is>
      </c>
      <c r="J870" s="1233" t="n"/>
      <c r="K870" s="1233" t="n"/>
      <c r="L870" s="1234" t="inlineStr">
        <is>
          <t>Level Date</t>
        </is>
      </c>
      <c r="M870" s="1233" t="inlineStr">
        <is>
          <t>02 Model Assumptions</t>
        </is>
      </c>
      <c r="N870" s="1233" t="inlineStr">
        <is>
          <t>On each publication cycle</t>
        </is>
      </c>
      <c r="O870" s="1234" t="n"/>
      <c r="P870" s="1233" t="inlineStr">
        <is>
          <t>Source register row 26.</t>
        </is>
      </c>
    </row>
    <row r="871" ht="46" customHeight="1" s="632">
      <c r="A871" s="1232" t="inlineStr">
        <is>
          <t>SR12</t>
        </is>
      </c>
      <c r="B871" s="1235" t="inlineStr">
        <is>
          <t>1.0 - Initial build. Horizon FY2027E-FY2033E selected on the weighted analysis on 0H. Four scenarios calibrated to observed margin envelopes. Lagged price-utilisation feedback introduced so that capacity transmits to earnings.</t>
        </is>
      </c>
      <c r="C871" s="1235" t="n"/>
      <c r="D871" s="1236" t="inlineStr">
        <is>
          <t>Level 03-Aug-2026</t>
        </is>
      </c>
      <c r="E871" s="1235" t="inlineStr">
        <is>
          <t>Source record</t>
        </is>
      </c>
      <c r="F871" s="1235" t="inlineStr">
        <is>
          <t>n/a</t>
        </is>
      </c>
      <c r="G871" s="1235" t="inlineStr">
        <is>
          <t xml:space="preserve">Initial build. Horizon FY2027E-FY2033E selected on the weighted analysis on 0H. Four scenarios calibrated to observed margin envelopes. Lagged price-utilisation feedback introduced so that capacity transmits to earnings. - </t>
        </is>
      </c>
      <c r="H871" s="1235" t="n"/>
      <c r="I871" s="1235" t="inlineStr">
        <is>
          <t>Head of Metals &amp; Mining Research</t>
        </is>
      </c>
      <c r="J871" s="1235" t="n"/>
      <c r="K871" s="1235" t="n"/>
      <c r="L871" s="1236" t="inlineStr">
        <is>
          <t>Level 03-Aug-2026</t>
        </is>
      </c>
      <c r="M871" s="1235" t="inlineStr">
        <is>
          <t>02 Model Assumptions</t>
        </is>
      </c>
      <c r="N871" s="1235" t="inlineStr">
        <is>
          <t>On each publication cycle</t>
        </is>
      </c>
      <c r="O871" s="1236" t="n"/>
      <c r="P871" s="1235" t="inlineStr">
        <is>
          <t>Source register row 27.</t>
        </is>
      </c>
    </row>
  </sheetData>
  <mergeCells count="79">
    <mergeCell ref="D20:E20"/>
    <mergeCell ref="A5:D5"/>
    <mergeCell ref="A48:E48"/>
    <mergeCell ref="A424:P424"/>
    <mergeCell ref="A1:E1"/>
    <mergeCell ref="D22:E22"/>
    <mergeCell ref="D36:E36"/>
    <mergeCell ref="D31:E31"/>
    <mergeCell ref="A190:P190"/>
    <mergeCell ref="A117:P117"/>
    <mergeCell ref="A111:P111"/>
    <mergeCell ref="D13:E13"/>
    <mergeCell ref="A59:P59"/>
    <mergeCell ref="A177:P177"/>
    <mergeCell ref="D24:E24"/>
    <mergeCell ref="A282:P282"/>
    <mergeCell ref="A52:E52"/>
    <mergeCell ref="D33:E33"/>
    <mergeCell ref="A105:P105"/>
    <mergeCell ref="D26:E26"/>
    <mergeCell ref="A302:P302"/>
    <mergeCell ref="D35:E35"/>
    <mergeCell ref="D19:E19"/>
    <mergeCell ref="D34:E34"/>
    <mergeCell ref="A49:E49"/>
    <mergeCell ref="A9:D9"/>
    <mergeCell ref="A510:P510"/>
    <mergeCell ref="A11:D11"/>
    <mergeCell ref="A455:P455"/>
    <mergeCell ref="A55:E55"/>
    <mergeCell ref="A595:P595"/>
    <mergeCell ref="A334:P334"/>
    <mergeCell ref="A94:P94"/>
    <mergeCell ref="D37:E37"/>
    <mergeCell ref="A551:P551"/>
    <mergeCell ref="D39:E39"/>
    <mergeCell ref="D15:E15"/>
    <mergeCell ref="D29:E29"/>
    <mergeCell ref="A378:P378"/>
    <mergeCell ref="D23:E23"/>
    <mergeCell ref="D38:E38"/>
    <mergeCell ref="A524:P524"/>
    <mergeCell ref="A822:P822"/>
    <mergeCell ref="A404:P404"/>
    <mergeCell ref="A47:C47"/>
    <mergeCell ref="D27:E27"/>
    <mergeCell ref="A858:P858"/>
    <mergeCell ref="D17:E17"/>
    <mergeCell ref="A50:E50"/>
    <mergeCell ref="A123:P123"/>
    <mergeCell ref="A2:E2"/>
    <mergeCell ref="A146:P146"/>
    <mergeCell ref="D28:E28"/>
    <mergeCell ref="D25:E25"/>
    <mergeCell ref="D30:E30"/>
    <mergeCell ref="A487:P487"/>
    <mergeCell ref="A689:P689"/>
    <mergeCell ref="D14:E14"/>
    <mergeCell ref="A239:P239"/>
    <mergeCell ref="A51:E51"/>
    <mergeCell ref="A573:P573"/>
    <mergeCell ref="D40:E40"/>
    <mergeCell ref="D21:E21"/>
    <mergeCell ref="A54:E54"/>
    <mergeCell ref="A7:E7"/>
    <mergeCell ref="A618:P618"/>
    <mergeCell ref="D32:E32"/>
    <mergeCell ref="D41:E41"/>
    <mergeCell ref="A663:P663"/>
    <mergeCell ref="D16:E16"/>
    <mergeCell ref="A260:P260"/>
    <mergeCell ref="A349:P349"/>
    <mergeCell ref="D43:E43"/>
    <mergeCell ref="D18:E18"/>
    <mergeCell ref="A53:E53"/>
    <mergeCell ref="A737:P737"/>
    <mergeCell ref="D42:E42"/>
    <mergeCell ref="D44:E44"/>
    <mergeCell ref="A788:P788"/>
  </mergeCells>
  <hyperlinks>
    <hyperlink ref="G14" location="'Audit Checks'!A823" tooltip="Open the reference register on 25 Audit Checks"/>
    <hyperlink ref="G15" location="'Audit Checks'!A823" tooltip="Open the reference register on 25 Audit Checks"/>
    <hyperlink ref="G16" location="'Audit Checks'!A823" tooltip="Open the reference register on 25 Audit Checks"/>
    <hyperlink ref="G17" location="'Audit Checks'!A823" tooltip="Open the reference register on 25 Audit Checks"/>
    <hyperlink ref="G18" location="'Audit Checks'!A823" tooltip="Open the reference register on 25 Audit Checks"/>
    <hyperlink ref="G19" location="'Audit Checks'!A823" tooltip="Open the reference register on 25 Audit Checks"/>
    <hyperlink ref="G20" location="'Audit Checks'!A823" tooltip="Open the reference register on 25 Audit Checks"/>
    <hyperlink ref="G21" location="'Audit Checks'!A823" tooltip="Open the reference register on 25 Audit Checks"/>
    <hyperlink ref="G22" location="'Audit Checks'!A823" tooltip="Open the reference register on 25 Audit Checks"/>
    <hyperlink ref="G23" location="'Audit Checks'!A823" tooltip="Open the reference register on 25 Audit Checks"/>
    <hyperlink ref="G24" location="'Audit Checks'!A823" tooltip="Open the reference register on 25 Audit Checks"/>
    <hyperlink ref="G25" location="'Audit Checks'!A823" tooltip="Open the reference register on 25 Audit Checks"/>
    <hyperlink ref="G26" location="'Audit Checks'!A823" tooltip="Open the reference register on 25 Audit Checks"/>
    <hyperlink ref="G27" location="'Audit Checks'!A823" tooltip="Open the reference register on 25 Audit Checks"/>
    <hyperlink ref="G28" location="'Audit Checks'!A823" tooltip="Open the reference register on 25 Audit Checks"/>
    <hyperlink ref="G29" location="'Audit Checks'!A823" tooltip="Open the reference register on 25 Audit Checks"/>
    <hyperlink ref="G30" location="'Audit Checks'!A823" tooltip="Open the reference register on 25 Audit Checks"/>
    <hyperlink ref="G31" location="'Audit Checks'!A823" tooltip="Open the reference register on 25 Audit Checks"/>
    <hyperlink ref="G32" location="'Audit Checks'!A823" tooltip="Open the reference register on 25 Audit Checks"/>
    <hyperlink ref="G33" location="'Audit Checks'!A823" tooltip="Open the reference register on 25 Audit Checks"/>
    <hyperlink ref="G34" location="'Audit Checks'!A823" tooltip="Open the reference register on 25 Audit Checks"/>
    <hyperlink ref="G35" location="'Audit Checks'!A823" tooltip="Open the reference register on 25 Audit Checks"/>
    <hyperlink ref="G36" location="'Audit Checks'!A823" tooltip="Open the reference register on 25 Audit Checks"/>
    <hyperlink ref="G37" location="'Audit Checks'!A823" tooltip="Open the reference register on 25 Audit Checks"/>
    <hyperlink ref="G38" location="'Audit Checks'!A823" tooltip="Open the reference register on 25 Audit Checks"/>
    <hyperlink ref="G39" location="'Audit Checks'!A823" tooltip="Open the reference register on 25 Audit Checks"/>
    <hyperlink ref="G40" location="'Audit Checks'!A823" tooltip="Open the reference register on 25 Audit Checks"/>
    <hyperlink ref="G41" location="'Audit Checks'!A823" tooltip="Open the reference register on 25 Audit Checks"/>
    <hyperlink ref="G42" location="'Audit Checks'!A823" tooltip="Open the reference register on 25 Audit Checks"/>
    <hyperlink ref="G43" location="'Audit Checks'!A823" tooltip="Open the reference register on 25 Audit Checks"/>
    <hyperlink ref="G44" location="'Audit Checks'!A823" tooltip="Open the reference register on 25 Audit Checks"/>
    <hyperlink ref="A61" location="'Audit Checks'!A95" tooltip="Jump to the Cover register table"/>
    <hyperlink ref="A62" location="'Audit Checks'!A106" tooltip="Jump to the Index register table"/>
    <hyperlink ref="A63" location="'Audit Checks'!A112" tooltip="Jump to the Database Import register table"/>
    <hyperlink ref="A64" location="'Audit Checks'!A118" tooltip="Jump to the Forecast Horizon register table"/>
    <hyperlink ref="A65" location="'Audit Checks'!A124" tooltip="Jump to the Control Panel register table"/>
    <hyperlink ref="A66" location="'Audit Checks'!A147" tooltip="Jump to the Model Assumptions register table"/>
    <hyperlink ref="A67" location="'Audit Checks'!A178" tooltip="Jump to the Model Calibration register table"/>
    <hyperlink ref="A68" location="'Audit Checks'!A191" tooltip="Jump to the Macroeconomic Model register table"/>
    <hyperlink ref="A69" location="'Audit Checks'!A240" tooltip="Jump to the Steel Demand Model register table"/>
    <hyperlink ref="A70" location="'Audit Checks'!A261" tooltip="Jump to the Steel Supply Model register table"/>
    <hyperlink ref="A71" location="'Audit Checks'!A283" tooltip="Jump to the Capacity Forecast register table"/>
    <hyperlink ref="A72" location="'Audit Checks'!A303" tooltip="Jump to the Capacity Expansion Tracker register table"/>
    <hyperlink ref="A73" location="'Audit Checks'!A335" tooltip="Jump to the Capacity Utilisation register table"/>
    <hyperlink ref="A74" location="'Audit Checks'!A350" tooltip="Jump to the Steel Price Forecast register table"/>
    <hyperlink ref="A75" location="'Audit Checks'!A379" tooltip="Jump to the Raw Material Forecast register table"/>
    <hyperlink ref="A76" location="'Audit Checks'!A405" tooltip="Jump to the Cost Curve register table"/>
    <hyperlink ref="A77" location="'Audit Checks'!A425" tooltip="Jump to the Revenue Forecast register table"/>
    <hyperlink ref="A78" location="'Audit Checks'!A456" tooltip="Jump to the EBITDA Model register table"/>
    <hyperlink ref="A79" location="'Audit Checks'!A488" tooltip="Jump to the Margin Analysis register table"/>
    <hyperlink ref="A80" location="'Audit Checks'!A511" tooltip="Jump to the Working Capital Model register table"/>
    <hyperlink ref="A81" location="'Audit Checks'!A525" tooltip="Jump to the Cash Flow Model register table"/>
    <hyperlink ref="A82" location="'Audit Checks'!A552" tooltip="Jump to the Capital Allocation register table"/>
    <hyperlink ref="A83" location="'Audit Checks'!A574" tooltip="Jump to the Industry Cycle Model register table"/>
    <hyperlink ref="A84" location="'Audit Checks'!A596" tooltip="Jump to the Trade Model register table"/>
    <hyperlink ref="A85" location="'Audit Checks'!A619" tooltip="Jump to the ESG Model register table"/>
    <hyperlink ref="A86" location="'Audit Checks'!A664" tooltip="Jump to the Scenario Manager register table"/>
    <hyperlink ref="A87" location="'Audit Checks'!A690" tooltip="Jump to the Sensitivity Analysis register table"/>
    <hyperlink ref="A88" location="'Audit Checks'!A738" tooltip="Jump to the Comparable Valuation register table"/>
    <hyperlink ref="A89" location="'Audit Checks'!A789" tooltip="Jump to the Industry Dashboard register table"/>
    <hyperlink ref="A90" location="'Audit Checks'!A823" tooltip="Jump to the Audit Checks register table"/>
    <hyperlink ref="A91" location="'Audit Checks'!A859" tooltip="Jump to the Sources register table"/>
  </hyperlinks>
  <pageMargins left="0.7" right="0.7" top="0.75" bottom="0.75" header="0.3" footer="0.3"/>
</worksheet>
</file>

<file path=xl/worksheets/sheet31.xml><?xml version="1.0" encoding="utf-8"?>
<worksheet xmlns="http://schemas.openxmlformats.org/spreadsheetml/2006/main">
  <sheetPr codeName="Sheet31">
    <tabColor theme="8" tint="0.5999938962981048"/>
    <outlinePr summaryBelow="1" summaryRight="1"/>
    <pageSetUpPr/>
  </sheetPr>
  <dimension ref="A1:J27"/>
  <sheetViews>
    <sheetView showGridLines="0" workbookViewId="0">
      <selection activeCell="D16" sqref="D16"/>
    </sheetView>
  </sheetViews>
  <sheetFormatPr baseColWidth="8" defaultRowHeight="14.4"/>
  <cols>
    <col width="14.21875" customWidth="1" style="690" min="1" max="1"/>
    <col width="8" customWidth="1" style="690" min="2" max="2"/>
    <col width="18.5546875" customWidth="1" style="690" min="3" max="3"/>
    <col width="30.44140625" customWidth="1" style="690" min="4" max="4"/>
    <col width="16" customWidth="1" style="690" min="5" max="5"/>
    <col width="29.5546875" customWidth="1" style="690" min="6" max="6"/>
    <col width="27.77734375" customWidth="1" style="690" min="7" max="7"/>
    <col width="60.109375" customWidth="1" style="690" min="8" max="8"/>
    <col width="13" customWidth="1" style="690" min="9" max="10"/>
    <col width="7" customWidth="1" style="632" min="10" max="10"/>
    <col width="12" customWidth="1" style="690" min="11" max="11"/>
    <col width="22" customWidth="1" style="690" min="12" max="12"/>
    <col width="12" customWidth="1" style="690" min="13" max="13"/>
    <col width="100" customWidth="1" style="690" min="14" max="14"/>
    <col width="8.88671875" customWidth="1" style="690" min="15" max="16384"/>
  </cols>
  <sheetData>
    <row r="1" ht="21" customHeight="1" s="632">
      <c r="A1" s="354" t="inlineStr">
        <is>
          <t>26  Sources</t>
        </is>
      </c>
    </row>
    <row r="2">
      <c r="A2" s="494" t="inlineStr">
        <is>
          <t>Industry Financial Model  |  Indian Steel Industry  |  Horizon FY2027E-FY2033E  |  Base year FY2026A  |  Built 03-Aug-2026</t>
        </is>
      </c>
    </row>
    <row r="3">
      <c r="A3" s="415" t="n"/>
    </row>
    <row r="4">
      <c r="A4" s="411" t="inlineStr">
        <is>
          <t>OBJECTIVE</t>
        </is>
      </c>
    </row>
    <row r="5">
      <c r="A5" s="394" t="inlineStr">
        <is>
          <t>Sources used for the forward-looking assumptions in this model. FY2026 actuals are sourced in Master Industry Database.xlsx, whose Sources sheet carries 47 entries and is not duplicated here.</t>
        </is>
      </c>
    </row>
    <row r="6">
      <c r="A6" s="411" t="inlineStr">
        <is>
          <t>METHODOLOGY</t>
        </is>
      </c>
    </row>
    <row r="7">
      <c r="A7" s="394" t="inlineStr">
        <is>
          <t>Level 1 primary issuer and government, Level 2 official statistical and multilateral agencies, Level 3 rating agencies and sell-side. Secondary sources never override primary data.</t>
        </is>
      </c>
    </row>
    <row r="8">
      <c r="A8" s="411" t="inlineStr">
        <is>
          <t>UNITS</t>
        </is>
      </c>
    </row>
    <row r="9">
      <c r="A9" s="394" t="inlineStr">
        <is>
          <t>Not applicable.</t>
        </is>
      </c>
    </row>
    <row r="10">
      <c r="A10" s="411" t="inlineStr">
        <is>
          <t>DEPENDENCIES</t>
        </is>
      </c>
    </row>
    <row r="11">
      <c r="A11" s="394" t="inlineStr">
        <is>
          <t>Referenced by 02 Model Assumptions.</t>
        </is>
      </c>
    </row>
    <row r="12">
      <c r="A12" s="415" t="n"/>
    </row>
    <row r="13">
      <c r="A13" s="25" t="inlineStr">
        <is>
          <t>Ref</t>
        </is>
      </c>
      <c r="B13" s="26" t="inlineStr">
        <is>
          <t>Level</t>
        </is>
      </c>
      <c r="C13" s="41" t="inlineStr">
        <is>
          <t>Publisher</t>
        </is>
      </c>
      <c r="D13" s="41" t="inlineStr">
        <is>
          <t>Publication</t>
        </is>
      </c>
      <c r="E13" s="26" t="inlineStr">
        <is>
          <t>Date</t>
        </is>
      </c>
      <c r="F13" s="41" t="inlineStr">
        <is>
          <t>Used for</t>
        </is>
      </c>
      <c r="G13" s="41" t="inlineStr">
        <is>
          <t>Verification</t>
        </is>
      </c>
      <c r="H13" s="42" t="inlineStr">
        <is>
          <t>Notes</t>
        </is>
      </c>
      <c r="J13" s="707" t="inlineStr">
        <is>
          <t>Ref</t>
        </is>
      </c>
    </row>
    <row r="14" ht="24" customHeight="1" s="632">
      <c r="A14" s="207" t="inlineStr">
        <is>
          <t>RBI-Jun26</t>
        </is>
      </c>
      <c r="B14" s="162" t="n">
        <v>2</v>
      </c>
      <c r="C14" s="43" t="inlineStr">
        <is>
          <t>Reserve Bank of India</t>
        </is>
      </c>
      <c r="D14" s="344" t="inlineStr">
        <is>
          <t>Monetary Policy Committee statement</t>
        </is>
      </c>
      <c r="E14" s="352" t="inlineStr">
        <is>
          <t>05-Jun-2026</t>
        </is>
      </c>
      <c r="F14" s="344" t="inlineStr">
        <is>
          <t>Drivers D01 real GDP growth and D04 CPI inflation; assumption register R01</t>
        </is>
      </c>
      <c r="G14" s="344" t="inlineStr">
        <is>
          <t>Verified via multiple contemporaneous reports of the MPC statement</t>
        </is>
      </c>
      <c r="H14" s="47" t="inlineStr">
        <is>
          <t>FY2027 real GDP projection cut to 6.6% from 6.9%; repo held at 5.25%; FY2027 CPI projection raised 50bps to 5.1%. FY2026 growth estimated 7.6%; Q4FY2026 actual 7.7%.</t>
        </is>
      </c>
      <c r="J14" s="708" t="inlineStr">
        <is>
          <t>SR01</t>
        </is>
      </c>
    </row>
    <row r="15" ht="24" customHeight="1" s="632">
      <c r="A15" s="207" t="inlineStr">
        <is>
          <t>worldsteel-SRO</t>
        </is>
      </c>
      <c r="B15" s="162" t="n">
        <v>2</v>
      </c>
      <c r="C15" s="43" t="inlineStr">
        <is>
          <t>World Steel Association</t>
        </is>
      </c>
      <c r="D15" s="344" t="inlineStr">
        <is>
          <t>Short Range Outlook, April 2026</t>
        </is>
      </c>
      <c r="E15" s="352" t="inlineStr">
        <is>
          <t>Apr-2026</t>
        </is>
      </c>
      <c r="F15" s="344" t="inlineStr">
        <is>
          <t>Corroborates driver D02 steel demand elasticity</t>
        </is>
      </c>
      <c r="G15" s="344" t="inlineStr">
        <is>
          <t>Verified - also reproduced in Ministry of Steel monthly overviews</t>
        </is>
      </c>
      <c r="H15" s="47" t="inlineStr">
        <is>
          <t>Global demand +0.3% in CY2026 to 1,724 Mt and +2.2% in CY2027 to 1,762 Mt. India +7.4% and +9.2%, the fastest major market. China -1.5% then flat.</t>
        </is>
      </c>
      <c r="J15" s="708" t="inlineStr">
        <is>
          <t>SR02</t>
        </is>
      </c>
    </row>
    <row r="16" ht="24" customHeight="1" s="632">
      <c r="A16" s="207" t="inlineStr">
        <is>
          <t>GSEC-31Jul26</t>
        </is>
      </c>
      <c r="B16" s="162" t="n">
        <v>3</v>
      </c>
      <c r="C16" s="43" t="inlineStr">
        <is>
          <t>investing.com / NSE</t>
        </is>
      </c>
      <c r="D16" s="344" t="inlineStr">
        <is>
          <t>India 10-year benchmark government bond yield</t>
        </is>
      </c>
      <c r="E16" s="352" t="inlineStr">
        <is>
          <t>31-Jul-2026</t>
        </is>
      </c>
      <c r="F16" s="344" t="inlineStr">
        <is>
          <t>Risk-free rate in the WACC build-up; assumption register R08</t>
        </is>
      </c>
      <c r="G16" s="344" t="inlineStr">
        <is>
          <t>Verified - 6.833%; Trading Economics expects 6.78% at quarter end</t>
        </is>
      </c>
      <c r="H16" s="47" t="inlineStr">
        <is>
          <t>Market data. A Bloomberg or Refinitiv print should be substituted for a live mandate.</t>
        </is>
      </c>
      <c r="J16" s="708" t="inlineStr">
        <is>
          <t>SR03</t>
        </is>
      </c>
    </row>
    <row r="17" ht="24" customHeight="1" s="632">
      <c r="A17" s="207" t="inlineStr">
        <is>
          <t>CRISIL-RateView</t>
        </is>
      </c>
      <c r="B17" s="162" t="n">
        <v>3</v>
      </c>
      <c r="C17" s="43" t="inlineStr">
        <is>
          <t>CRISIL Intelligence</t>
        </is>
      </c>
      <c r="D17" s="344" t="inlineStr">
        <is>
          <t>RateView, July 2026</t>
        </is>
      </c>
      <c r="E17" s="352" t="inlineStr">
        <is>
          <t>Jul-2026</t>
        </is>
      </c>
      <c r="F17" s="344" t="inlineStr">
        <is>
          <t>Pre-tax cost of debt in the WACC build-up</t>
        </is>
      </c>
      <c r="G17" s="344" t="inlineStr">
        <is>
          <t>Verified - 10-year corporate bond yield 7.36% actual, 7.44-7.54% projected</t>
        </is>
      </c>
      <c r="H17" s="47" t="inlineStr">
        <is>
          <t>Consistent with the ICRA and India Ratings AA domestic ratings the database records for JSW Steel.</t>
        </is>
      </c>
      <c r="J17" s="708" t="inlineStr">
        <is>
          <t>SR04</t>
        </is>
      </c>
    </row>
    <row r="18" ht="24" customHeight="1" s="632">
      <c r="A18" s="207" t="inlineStr">
        <is>
          <t>IDBI-22Jun26</t>
        </is>
      </c>
      <c r="B18" s="162" t="n">
        <v>3</v>
      </c>
      <c r="C18" s="43" t="inlineStr">
        <is>
          <t>IDBI Capital Markets &amp; Securities</t>
        </is>
      </c>
      <c r="D18" s="344" t="inlineStr">
        <is>
          <t>Commodity Price Update, week ended 22-Jun-2026</t>
        </is>
      </c>
      <c r="E18" s="352" t="inlineStr">
        <is>
          <t>22-Jun-2026</t>
        </is>
      </c>
      <c r="F18" s="344" t="inlineStr">
        <is>
          <t>Driver D03 USD/INR; input cost cross-checks</t>
        </is>
      </c>
      <c r="G18" s="344" t="inlineStr">
        <is>
          <t>Verified - full document retrieved and parsed</t>
        </is>
      </c>
      <c r="H18" s="47" t="inlineStr">
        <is>
          <t>USD/INR 94 with a 52-week range of 85 to 98. Also billet ex-Raipur Rs 38,850/t, HR strip Patra Rs 44,500/t, nickel US$17,395/t, ferro chrome Rs 1,23,200/t, graphite electrode UHP US$4,189/t, Brent US$79/bbl - the input-cost deck behind D12.</t>
        </is>
      </c>
      <c r="J18" s="708" t="inlineStr">
        <is>
          <t>SR05</t>
        </is>
      </c>
    </row>
    <row r="19" ht="24" customHeight="1" s="632">
      <c r="A19" s="207" t="inlineStr">
        <is>
          <t>MasterDB</t>
        </is>
      </c>
      <c r="B19" s="162" t="n">
        <v>1</v>
      </c>
      <c r="C19" s="43" t="inlineStr">
        <is>
          <t>This research team</t>
        </is>
      </c>
      <c r="D19" s="344" t="inlineStr">
        <is>
          <t>Master Industry Database.xlsx</t>
        </is>
      </c>
      <c r="E19" s="352" t="inlineStr">
        <is>
          <t>03-Aug-2026</t>
        </is>
      </c>
      <c r="F19" s="344" t="inlineStr">
        <is>
          <t>Every FY2026 actual and every derived calibration anchor</t>
        </is>
      </c>
      <c r="G19" s="344" t="inlineStr">
        <is>
          <t>Values extracted programmatically from the database file at build time</t>
        </is>
      </c>
      <c r="H19" s="47" t="inlineStr">
        <is>
          <t>47 underlying sources with full citations on that workbook's Sources sheet, and 16 documented conflicts on its Conflicts Log. This model does not restate or contradict any of it.</t>
        </is>
      </c>
      <c r="J19" s="708" t="inlineStr">
        <is>
          <t>SR06</t>
        </is>
      </c>
    </row>
    <row r="20" ht="36" customHeight="1" s="632">
      <c r="A20" s="207" t="inlineStr">
        <is>
          <t>Derived-DB</t>
        </is>
      </c>
      <c r="B20" s="162" t="n">
        <v>1</v>
      </c>
      <c r="C20" s="43" t="inlineStr">
        <is>
          <t>This research team</t>
        </is>
      </c>
      <c r="D20" s="344" t="inlineStr">
        <is>
          <t>Derivations from Master Industry Database</t>
        </is>
      </c>
      <c r="E20" s="352" t="inlineStr">
        <is>
          <t>03-Aug-2026</t>
        </is>
      </c>
      <c r="F20" s="344" t="inlineStr">
        <is>
          <t>Drivers D02, D05, D06, D07, D08, D09, D16, D22, D24, D26 and anchors A08 to A13</t>
        </is>
      </c>
      <c r="G20" s="344" t="inlineStr">
        <is>
          <t>Each derivation is stated in full on the relevant row</t>
        </is>
      </c>
      <c r="H20" s="47" t="inlineStr">
        <is>
          <t>The material derivations are: blended realisation of Rs 59,974/t from four majors; weighted EBITDA of Rs 10,733/t; implied cash cost of Rs 49,241/t; FY2026 average USD/INR of 88.4 from Tata Steel's dual-currency disclosure; D&amp;A at 5.28% of revenue; demand elasticity of 1.10x from the FY2015-FY2026 outturn.</t>
        </is>
      </c>
      <c r="J20" s="708" t="inlineStr">
        <is>
          <t>SR07</t>
        </is>
      </c>
    </row>
    <row r="21" ht="24" customHeight="1" s="632">
      <c r="A21" s="207" t="inlineStr">
        <is>
          <t>Indicative</t>
        </is>
      </c>
      <c r="B21" s="162" t="n">
        <v>3</v>
      </c>
      <c r="C21" s="43" t="inlineStr">
        <is>
          <t>Modeller judgement</t>
        </is>
      </c>
      <c r="D21" s="344" t="inlineStr">
        <is>
          <t>Structural parameters not sourced from any document</t>
        </is>
      </c>
      <c r="E21" s="352" t="inlineStr">
        <is>
          <t>n/a</t>
        </is>
      </c>
      <c r="F21" s="344" t="inlineStr">
        <is>
          <t>Drivers D13, D14, D17, D23, D25 and the ESG inputs on sheet 20</t>
        </is>
      </c>
      <c r="G21" s="344" t="inlineStr">
        <is>
          <t>NOT VERIFIED - explicitly flagged Low confidence throughout</t>
        </is>
      </c>
      <c r="H21" s="47" t="inlineStr">
        <is>
          <t>Held constant across scenarios wherever unsourced, so that an unsourced parameter is never flexed to manufacture a scenario. Each is quantified on 22 Sensitivity section E.</t>
        </is>
      </c>
      <c r="J21" s="708" t="inlineStr">
        <is>
          <t>SR08</t>
        </is>
      </c>
    </row>
    <row r="22" ht="36" customHeight="1" s="632">
      <c r="A22" s="208" t="inlineStr">
        <is>
          <t>Not sourced</t>
        </is>
      </c>
      <c r="B22" s="209" t="n">
        <v>3</v>
      </c>
      <c r="C22" s="51" t="inlineStr">
        <is>
          <t>None</t>
        </is>
      </c>
      <c r="D22" s="53" t="inlineStr">
        <is>
          <t>Inputs left as user inputs rather than assumed</t>
        </is>
      </c>
      <c r="E22" s="28" t="inlineStr">
        <is>
          <t>n/a</t>
        </is>
      </c>
      <c r="F22" s="53" t="inlineStr">
        <is>
          <t>Driver D18 working capital days, D19 exit multiple, share prices on 23, equity risk premium and beta on 02 Section D</t>
        </is>
      </c>
      <c r="G22" s="53" t="inlineStr">
        <is>
          <t>NOT SOURCED - shaded in the workbook and excluded from headline conclusions</t>
        </is>
      </c>
      <c r="H22" s="54" t="inlineStr">
        <is>
          <t>These are the four gaps that must be closed before transaction use. None has been filled with a fabricated value.</t>
        </is>
      </c>
      <c r="J22" s="708" t="inlineStr">
        <is>
          <t>SR09</t>
        </is>
      </c>
    </row>
    <row r="23"/>
    <row r="24"/>
    <row r="25">
      <c r="A25" s="402" t="inlineStr">
        <is>
          <t>MODEL CHANGE LOG</t>
        </is>
      </c>
      <c r="H25" s="708" t="inlineStr">
        <is>
          <t>SR10</t>
        </is>
      </c>
    </row>
    <row r="26">
      <c r="A26" s="88" t="inlineStr">
        <is>
          <t>Version</t>
        </is>
      </c>
      <c r="B26" s="88" t="inlineStr">
        <is>
          <t>Date</t>
        </is>
      </c>
      <c r="C26" s="401" t="inlineStr">
        <is>
          <t>Change</t>
        </is>
      </c>
      <c r="D26" s="837" t="n"/>
      <c r="E26" s="951" t="n"/>
      <c r="F26" s="88" t="inlineStr">
        <is>
          <t>Author</t>
        </is>
      </c>
      <c r="H26" s="708" t="inlineStr">
        <is>
          <t>SR11</t>
        </is>
      </c>
    </row>
    <row r="27" ht="37.8" customHeight="1" s="632">
      <c r="A27" s="162" t="inlineStr">
        <is>
          <t>1.0</t>
        </is>
      </c>
      <c r="B27" s="162" t="inlineStr">
        <is>
          <t>03-Aug-2026</t>
        </is>
      </c>
      <c r="C27" s="344" t="inlineStr">
        <is>
          <t>Initial build. Horizon FY2027E-FY2033E selected on the weighted analysis on 0H. Four scenarios calibrated to observed margin envelopes. Lagged price-utilisation feedback introduced so that capacity transmits to earnings.</t>
        </is>
      </c>
      <c r="D27" s="837" t="n"/>
      <c r="E27" s="951" t="n"/>
      <c r="F27" s="344" t="inlineStr">
        <is>
          <t>Head of Metals &amp; Mining Research</t>
        </is>
      </c>
      <c r="H27" s="708" t="inlineStr">
        <is>
          <t>SR12</t>
        </is>
      </c>
    </row>
  </sheetData>
  <mergeCells count="8">
    <mergeCell ref="A25:C25"/>
    <mergeCell ref="C27:E27"/>
    <mergeCell ref="A5:H5"/>
    <mergeCell ref="A2:E2"/>
    <mergeCell ref="A7:H7"/>
    <mergeCell ref="C26:E26"/>
    <mergeCell ref="A11:H11"/>
    <mergeCell ref="A1:H1"/>
  </mergeCells>
  <hyperlinks>
    <hyperlink ref="J14" location="'Audit Checks'!A859" tooltip="Open the reference register on 25 Audit Checks"/>
    <hyperlink ref="J15" location="'Audit Checks'!A859" tooltip="Open the reference register on 25 Audit Checks"/>
    <hyperlink ref="J16" location="'Audit Checks'!A859" tooltip="Open the reference register on 25 Audit Checks"/>
    <hyperlink ref="J17" location="'Audit Checks'!A859" tooltip="Open the reference register on 25 Audit Checks"/>
    <hyperlink ref="J18" location="'Audit Checks'!A859" tooltip="Open the reference register on 25 Audit Checks"/>
    <hyperlink ref="J19" location="'Audit Checks'!A859" tooltip="Open the reference register on 25 Audit Checks"/>
    <hyperlink ref="J20" location="'Audit Checks'!A859" tooltip="Open the reference register on 25 Audit Checks"/>
    <hyperlink ref="J21" location="'Audit Checks'!A859" tooltip="Open the reference register on 25 Audit Checks"/>
    <hyperlink ref="J22" location="'Audit Checks'!A859" tooltip="Open the reference register on 25 Audit Checks"/>
    <hyperlink ref="H25" location="'Audit Checks'!A859" tooltip="Open the reference register on 25 Audit Checks"/>
    <hyperlink ref="H26" location="'Audit Checks'!A859" tooltip="Open the reference register on 25 Audit Checks"/>
    <hyperlink ref="H27" location="'Audit Checks'!A859" tooltip="Open the reference register on 25 Audit Checks"/>
  </hyperlink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 S U S</dc:creator>
  <dcterms:created xsi:type="dcterms:W3CDTF">2015-06-05T18:17:20Z</dcterms:created>
  <dcterms:modified xsi:type="dcterms:W3CDTF">2026-08-06T11:13:58Z</dcterms:modified>
  <cp:lastModifiedBy>OM PRAKASH PANDA</cp:lastModifiedBy>
</cp:coreProperties>
</file>